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1. Earthworks\"/>
    </mc:Choice>
  </mc:AlternateContent>
  <xr:revisionPtr revIDLastSave="0" documentId="13_ncr:1_{3BCDF7AB-D4C0-4735-A817-F328F126F670}" xr6:coauthVersionLast="47" xr6:coauthVersionMax="47" xr10:uidLastSave="{00000000-0000-0000-0000-000000000000}"/>
  <bookViews>
    <workbookView xWindow="-108" yWindow="-108" windowWidth="23256" windowHeight="12576" tabRatio="869" activeTab="5" xr2:uid="{00000000-000D-0000-FFFF-FFFF00000000}"/>
  </bookViews>
  <sheets>
    <sheet name="1200C" sheetId="118" r:id="rId1"/>
    <sheet name="1200D" sheetId="119" r:id="rId2"/>
    <sheet name="1200DM" sheetId="122" r:id="rId3"/>
    <sheet name="1200LE" sheetId="160" r:id="rId4"/>
    <sheet name="1200MM" sheetId="170" r:id="rId5"/>
    <sheet name="Summary" sheetId="85" r:id="rId6"/>
  </sheets>
  <definedNames>
    <definedName name="IHDR1">#REF!</definedName>
    <definedName name="IHDR2">#REF!</definedName>
    <definedName name="Item1">#REF!</definedName>
    <definedName name="Item2">#REF!</definedName>
    <definedName name="_xlnm.Print_Area" localSheetId="0">'1200C'!$A$1:$G$51</definedName>
    <definedName name="_xlnm.Print_Area" localSheetId="1">'1200D'!$A$1:$G$53</definedName>
    <definedName name="_xlnm.Print_Area" localSheetId="2">'1200DM'!$A$1:$G$48</definedName>
    <definedName name="_xlnm.Print_Area" localSheetId="3">'1200LE'!$A$1:$G$51</definedName>
    <definedName name="_xlnm.Print_Area" localSheetId="4">'1200MM'!$A$1:$G$53</definedName>
    <definedName name="_xlnm.Print_Area" localSheetId="5">Summary!$A$1:$C$33</definedName>
    <definedName name="_xlnm.Print_Titles" localSheetId="0">'1200C'!$1:$4</definedName>
    <definedName name="_xlnm.Print_Titles" localSheetId="1">'1200D'!$1:$4</definedName>
    <definedName name="_xlnm.Print_Titles" localSheetId="2">'1200DM'!$1:$4</definedName>
    <definedName name="_xlnm.Print_Titles" localSheetId="3">'1200LE'!$1:$4</definedName>
    <definedName name="_xlnm.Print_Titles" localSheetId="4">'1200MM'!$1:$4</definedName>
    <definedName name="_xlnm.Print_Titles" localSheetId="5">Summary!$2:$2</definedName>
  </definedNames>
  <calcPr calcId="191029"/>
  <customWorkbookViews>
    <customWorkbookView name="Check print" guid="{2EDF0EB6-99CD-4F2D-9A62-9FC3582DB372}" maximized="1" windowWidth="1020" windowHeight="634" activeSheetId="1"/>
    <customWorkbookView name="Bill print" guid="{1BB185C8-6C96-4F6D-A64B-DBE584AAA7D2}" maximized="1" windowWidth="1020" windowHeight="634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85" l="1"/>
  <c r="C8" i="85"/>
  <c r="G52" i="170"/>
  <c r="G21" i="170"/>
  <c r="G15" i="170"/>
  <c r="G11" i="170"/>
  <c r="C7" i="85"/>
  <c r="G50" i="160"/>
  <c r="G37" i="160"/>
  <c r="G33" i="160"/>
  <c r="G31" i="160"/>
  <c r="G27" i="160"/>
  <c r="G21" i="160"/>
  <c r="G19" i="160"/>
  <c r="G15" i="160"/>
  <c r="G11" i="160"/>
  <c r="C6" i="85"/>
  <c r="C5" i="85"/>
  <c r="G29" i="122"/>
  <c r="G47" i="122" s="1"/>
  <c r="G15" i="122"/>
  <c r="G11" i="122"/>
  <c r="G52" i="119"/>
  <c r="G27" i="119"/>
  <c r="G23" i="119"/>
  <c r="G21" i="119"/>
  <c r="G17" i="119"/>
  <c r="G15" i="119"/>
  <c r="G11" i="119"/>
  <c r="C4" i="85"/>
  <c r="G50" i="118"/>
  <c r="G21" i="118"/>
  <c r="G19" i="118"/>
  <c r="G15" i="118"/>
  <c r="G13" i="118"/>
  <c r="G9" i="118"/>
</calcChain>
</file>

<file path=xl/sharedStrings.xml><?xml version="1.0" encoding="utf-8"?>
<sst xmlns="http://schemas.openxmlformats.org/spreadsheetml/2006/main" count="212" uniqueCount="129">
  <si>
    <t>m</t>
  </si>
  <si>
    <t>m³</t>
  </si>
  <si>
    <t>m²</t>
  </si>
  <si>
    <t>number</t>
  </si>
  <si>
    <t>DESCRIPTION</t>
  </si>
  <si>
    <t>UNIT</t>
  </si>
  <si>
    <t>QUANTITY</t>
  </si>
  <si>
    <t>RATE</t>
  </si>
  <si>
    <t>AMOUNT</t>
  </si>
  <si>
    <t>ITEM</t>
  </si>
  <si>
    <t>SANS 1200C</t>
  </si>
  <si>
    <t>SITE CLEARANCE</t>
  </si>
  <si>
    <t>Clear and grub:</t>
  </si>
  <si>
    <t>8.2.2</t>
  </si>
  <si>
    <t>Remove and grub large trees and tree stumps of girth:</t>
  </si>
  <si>
    <t>.01 Over 1,0 m and up to and including 2,0 m</t>
  </si>
  <si>
    <t>.02 Over 2,0 m and up to and including 3,0 m</t>
  </si>
  <si>
    <t>8.2.3</t>
  </si>
  <si>
    <t>ha</t>
  </si>
  <si>
    <t>8.2.4</t>
  </si>
  <si>
    <t>Reclear surfaces (only on instructions from the Engineer):</t>
  </si>
  <si>
    <t>Take down existing fences</t>
  </si>
  <si>
    <t>km</t>
  </si>
  <si>
    <t>8.2.10</t>
  </si>
  <si>
    <t xml:space="preserve">Remove topsoil to nominal depth of 150 mm and stockpile           </t>
  </si>
  <si>
    <t>NO</t>
  </si>
  <si>
    <t>PAYMENT</t>
  </si>
  <si>
    <t>REFERS</t>
  </si>
  <si>
    <t>TO</t>
  </si>
  <si>
    <t>SANS 1200D</t>
  </si>
  <si>
    <t>EARTHWORKS</t>
  </si>
  <si>
    <t>Bulk excavation:</t>
  </si>
  <si>
    <t>Importing of materials:</t>
  </si>
  <si>
    <t>8.3.4</t>
  </si>
  <si>
    <t>Overhaul:</t>
  </si>
  <si>
    <t xml:space="preserve">.01 Limited overhaul              </t>
  </si>
  <si>
    <t xml:space="preserve">.02 Long overhaul               </t>
  </si>
  <si>
    <t>m³-km</t>
  </si>
  <si>
    <t>8.3.6</t>
  </si>
  <si>
    <t xml:space="preserve">.01 Intermediate excavation </t>
  </si>
  <si>
    <t>.02 Hard rock excavation</t>
  </si>
  <si>
    <t>8.2.1</t>
  </si>
  <si>
    <t>SANS 1200DM</t>
  </si>
  <si>
    <t>EARTHWORKS (ROADS, SUBGRADE)</t>
  </si>
  <si>
    <t>8.3.2</t>
  </si>
  <si>
    <t>Treatment of roadbed:</t>
  </si>
  <si>
    <t>.01 Roadbed preparation and compaction of material to:</t>
  </si>
  <si>
    <t>.01 Ripping</t>
  </si>
  <si>
    <t>Cut to fill:</t>
  </si>
  <si>
    <t>Borrow to fill:</t>
  </si>
  <si>
    <t>PSDM 8.3.4</t>
  </si>
  <si>
    <t xml:space="preserve">Gravel surface layer </t>
  </si>
  <si>
    <t>8.3.3</t>
  </si>
  <si>
    <t>Scheduled reinforcement items:</t>
  </si>
  <si>
    <t>SANS 1200 DM</t>
  </si>
  <si>
    <t>8.3.1</t>
  </si>
  <si>
    <t>8.4.2</t>
  </si>
  <si>
    <t>SANS 1200LE</t>
  </si>
  <si>
    <t>STORMWATER DRAINAGE</t>
  </si>
  <si>
    <t>Supply and lay class C portal and rectangular culverts:</t>
  </si>
  <si>
    <t>.01 Complete with precast invert slab:</t>
  </si>
  <si>
    <t>Scheduled formwork items:</t>
  </si>
  <si>
    <t>.01 Rough</t>
  </si>
  <si>
    <t>Scheduled concrete items:</t>
  </si>
  <si>
    <t>.01 Blinding layer in:</t>
  </si>
  <si>
    <t>8.4.3</t>
  </si>
  <si>
    <t>.02 Strength concrete:</t>
  </si>
  <si>
    <t>8.4.4</t>
  </si>
  <si>
    <t>.03 Unformed surface finishes:</t>
  </si>
  <si>
    <t>.01  Wood-floated finish</t>
  </si>
  <si>
    <t>SANS 1200MM</t>
  </si>
  <si>
    <t>ANCILLARY ROADWORKS</t>
  </si>
  <si>
    <t>GUARDRAILS</t>
  </si>
  <si>
    <t>Guardrails on timber posts:</t>
  </si>
  <si>
    <t>.01 Galvanized</t>
  </si>
  <si>
    <t>End units</t>
  </si>
  <si>
    <t>.01 Aluminium sheet (2,0 mm thick), of area:</t>
  </si>
  <si>
    <t>.01 Up to 2 m²</t>
  </si>
  <si>
    <t xml:space="preserve">TOTAL CARRIED TO SUMMARY PAGE </t>
  </si>
  <si>
    <t xml:space="preserve">SANS 1200 C </t>
  </si>
  <si>
    <t xml:space="preserve">SANS 1200 D </t>
  </si>
  <si>
    <t>SANS 1200 LE</t>
  </si>
  <si>
    <t>SANS 1200 MM</t>
  </si>
  <si>
    <t>.01 Clear and grub vegetation and trees of girth up to 1 m and dispose of as directed by the Engineer within freehaul distance of 2km</t>
  </si>
  <si>
    <t xml:space="preserve">.01 Excavate in all materials and stockpile: </t>
  </si>
  <si>
    <t>.01 Access road</t>
  </si>
  <si>
    <t>Rate Only</t>
  </si>
  <si>
    <t>.01 Extra-over for importation of materials from commercial sources G6 material for the access road</t>
  </si>
  <si>
    <t>.02 Extra-over for importation of materials from commercial sources wearing course material for the access road</t>
  </si>
  <si>
    <t>.03 Extra over items 140.01</t>
  </si>
  <si>
    <t>.01 Minimum of 90% of modified AASHTO maximum density for parking area</t>
  </si>
  <si>
    <t>.02 In-place treatment of roadbed in intermediate or hard material by:</t>
  </si>
  <si>
    <t>.01 Compact to 95% of modified AASHTO maximum density</t>
  </si>
  <si>
    <t xml:space="preserve"> 8.3.16</t>
  </si>
  <si>
    <t>.01 Construct the gravel wearing course with material from commercial sources</t>
  </si>
  <si>
    <t xml:space="preserve">.01  1500 mm x 900 mm  </t>
  </si>
  <si>
    <t>.01 High-tensile welded mesh, ref. number 395</t>
  </si>
  <si>
    <t>.02 High-tensile welded mesh, ref. number 617</t>
  </si>
  <si>
    <t>.01 Grade 10 concrete, minimum thickness 50 mm</t>
  </si>
  <si>
    <t>.01 Class 35MPa/ 19. mm concrete in slabs</t>
  </si>
  <si>
    <t>.02 Class 35MPa/19. mm concrete in wing walls</t>
  </si>
  <si>
    <t>.01 End units</t>
  </si>
  <si>
    <t>Road signs including sign faces, retro-reflective material, timber sign supports, excavation, concrete footings, backfilling etc. complete.</t>
  </si>
  <si>
    <t>.01 Compact to 95% of Mod. AASHTO max. density</t>
  </si>
  <si>
    <t>130.01</t>
  </si>
  <si>
    <t>130.02</t>
  </si>
  <si>
    <t>130.03</t>
  </si>
  <si>
    <t>130.04</t>
  </si>
  <si>
    <t xml:space="preserve">1200 C </t>
  </si>
  <si>
    <t>140.01</t>
  </si>
  <si>
    <t>140.02</t>
  </si>
  <si>
    <t>140.03</t>
  </si>
  <si>
    <t xml:space="preserve">1200 D </t>
  </si>
  <si>
    <t>147.01</t>
  </si>
  <si>
    <t>147.02</t>
  </si>
  <si>
    <t>147.03</t>
  </si>
  <si>
    <t>147.04</t>
  </si>
  <si>
    <t>1200 DM</t>
  </si>
  <si>
    <t>214.01</t>
  </si>
  <si>
    <t>214.02</t>
  </si>
  <si>
    <t>214.03</t>
  </si>
  <si>
    <t>214.04</t>
  </si>
  <si>
    <t>1200 LE</t>
  </si>
  <si>
    <t>229.01</t>
  </si>
  <si>
    <t>229.02</t>
  </si>
  <si>
    <t>229.03</t>
  </si>
  <si>
    <t>1200 MM</t>
  </si>
  <si>
    <t>SUMMARY OF SCHEDULE OF QUANTITIES - BILL 15</t>
  </si>
  <si>
    <t>BILL 15 SUM CARRIED TO SUMMARY OF CONVEYANCE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</si>
</sst>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_ &quot;R&quot;\ * #,##0.00_ ;_ &quot;R&quot;\ * \-#,##0.00_ ;_ &quot;R&quot;\ * &quot;-&quot;??_ ;_ @_ "/>
    <numFmt numFmtId="166" formatCode="#,##0.00;\-#,##0.00;&quot;&quot;"/>
    <numFmt numFmtId="167" formatCode="General_)"/>
    <numFmt numFmtId="168" formatCode="#,##0.0_);\(#,##0.0\)"/>
    <numFmt numFmtId="169" formatCode="#.00"/>
    <numFmt numFmtId="170" formatCode="#."/>
    <numFmt numFmtId="171" formatCode="m\o\n\th\ d\,\ yyyy"/>
    <numFmt numFmtId="172" formatCode="_ * #,##0.00_ ;_ * \-#,##0.00_ ;_ * &quot;-&quot;??_ ;_ @_ "/>
    <numFmt numFmtId="173" formatCode="&quot;R&quot;#,##0.00"/>
    <numFmt numFmtId="174" formatCode="[&gt;=1000]#,##0;General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2"/>
      <name val="Arial"/>
      <family val="2"/>
    </font>
    <font>
      <sz val="8"/>
      <name val="Times New Roman"/>
      <family val="1"/>
    </font>
    <font>
      <sz val="1"/>
      <color indexed="8"/>
      <name val="Courier"/>
      <family val="3"/>
    </font>
    <font>
      <b/>
      <sz val="10"/>
      <name val="Times New Roman"/>
      <family val="1"/>
    </font>
    <font>
      <b/>
      <sz val="1"/>
      <color indexed="8"/>
      <name val="Courier"/>
      <family val="3"/>
    </font>
    <font>
      <sz val="12"/>
      <name val="Helv"/>
    </font>
    <font>
      <sz val="10"/>
      <name val="Helv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i/>
      <u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38">
    <xf numFmtId="0" fontId="0" fillId="0" borderId="0"/>
    <xf numFmtId="0" fontId="6" fillId="0" borderId="0">
      <alignment horizontal="center" wrapText="1"/>
      <protection locked="0"/>
    </xf>
    <xf numFmtId="43" fontId="3" fillId="0" borderId="0" applyFont="0" applyFill="0" applyBorder="0" applyAlignment="0" applyProtection="0"/>
    <xf numFmtId="3" fontId="1" fillId="0" borderId="0" applyFont="0" applyFill="0" applyBorder="0" applyAlignment="0" applyProtection="0"/>
    <xf numFmtId="171" fontId="7" fillId="0" borderId="0">
      <protection locked="0"/>
    </xf>
    <xf numFmtId="169" fontId="7" fillId="0" borderId="0">
      <protection locked="0"/>
    </xf>
    <xf numFmtId="167" fontId="8" fillId="0" borderId="1" applyBorder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70" fontId="9" fillId="0" borderId="0">
      <protection locked="0"/>
    </xf>
    <xf numFmtId="170" fontId="9" fillId="0" borderId="0">
      <protection locked="0"/>
    </xf>
    <xf numFmtId="168" fontId="10" fillId="2" borderId="0"/>
    <xf numFmtId="0" fontId="3" fillId="0" borderId="0"/>
    <xf numFmtId="0" fontId="1" fillId="0" borderId="0"/>
    <xf numFmtId="43" fontId="2" fillId="0" borderId="4" applyNumberFormat="0" applyBorder="0" applyAlignment="0" applyProtection="0">
      <alignment vertical="top" wrapText="1"/>
    </xf>
    <xf numFmtId="0" fontId="5" fillId="0" borderId="5" applyNumberFormat="0" applyFill="0" applyBorder="0" applyProtection="0">
      <alignment vertical="center" wrapText="1"/>
    </xf>
    <xf numFmtId="0" fontId="4" fillId="0" borderId="0"/>
    <xf numFmtId="14" fontId="6" fillId="0" borderId="0">
      <alignment horizontal="center" wrapText="1"/>
      <protection locked="0"/>
    </xf>
    <xf numFmtId="9" fontId="3" fillId="0" borderId="0" applyFont="0" applyFill="0" applyBorder="0" applyAlignment="0" applyProtection="0"/>
    <xf numFmtId="4" fontId="11" fillId="0" borderId="6"/>
    <xf numFmtId="170" fontId="7" fillId="0" borderId="7">
      <protection locked="0"/>
    </xf>
    <xf numFmtId="49" fontId="1" fillId="0" borderId="0"/>
    <xf numFmtId="165" fontId="1" fillId="0" borderId="0" applyFont="0" applyFill="0" applyBorder="0" applyAlignment="0" applyProtection="0"/>
    <xf numFmtId="0" fontId="1" fillId="0" borderId="0"/>
    <xf numFmtId="165" fontId="12" fillId="0" borderId="0" applyFont="0" applyFill="0" applyBorder="0" applyAlignment="0" applyProtection="0"/>
    <xf numFmtId="0" fontId="13" fillId="0" borderId="0"/>
    <xf numFmtId="172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5" fillId="0" borderId="15"/>
    <xf numFmtId="172" fontId="1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0" fontId="1" fillId="0" borderId="0"/>
  </cellStyleXfs>
  <cellXfs count="80">
    <xf numFmtId="0" fontId="0" fillId="0" borderId="0" xfId="0"/>
    <xf numFmtId="0" fontId="1" fillId="0" borderId="9" xfId="13" applyBorder="1" applyAlignment="1" applyProtection="1">
      <alignment horizontal="center" vertical="top" wrapText="1"/>
      <protection locked="0"/>
    </xf>
    <xf numFmtId="0" fontId="1" fillId="0" borderId="0" xfId="0" applyFont="1"/>
    <xf numFmtId="49" fontId="1" fillId="0" borderId="0" xfId="21"/>
    <xf numFmtId="49" fontId="2" fillId="0" borderId="0" xfId="21" applyFont="1"/>
    <xf numFmtId="0" fontId="1" fillId="0" borderId="0" xfId="24" applyNumberFormat="1" applyFont="1" applyBorder="1"/>
    <xf numFmtId="4" fontId="1" fillId="0" borderId="10" xfId="21" applyNumberFormat="1" applyBorder="1"/>
    <xf numFmtId="165" fontId="1" fillId="0" borderId="0" xfId="24" applyFont="1" applyBorder="1"/>
    <xf numFmtId="4" fontId="1" fillId="0" borderId="0" xfId="21" applyNumberFormat="1"/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12" xfId="23" applyFont="1" applyBorder="1" applyAlignment="1">
      <alignment horizontal="left" vertical="top"/>
    </xf>
    <xf numFmtId="0" fontId="1" fillId="0" borderId="12" xfId="23" applyBorder="1" applyAlignment="1">
      <alignment vertical="top" wrapText="1"/>
    </xf>
    <xf numFmtId="0" fontId="1" fillId="0" borderId="12" xfId="23" applyBorder="1" applyAlignment="1">
      <alignment horizontal="center" vertical="top"/>
    </xf>
    <xf numFmtId="166" fontId="1" fillId="0" borderId="12" xfId="23" applyNumberFormat="1" applyBorder="1" applyAlignment="1">
      <alignment vertical="top"/>
    </xf>
    <xf numFmtId="172" fontId="2" fillId="0" borderId="13" xfId="30" applyFont="1" applyBorder="1" applyAlignment="1">
      <alignment horizontal="center" vertical="top"/>
    </xf>
    <xf numFmtId="0" fontId="1" fillId="0" borderId="9" xfId="13" applyBorder="1" applyAlignment="1" applyProtection="1">
      <alignment horizontal="center"/>
      <protection locked="0"/>
    </xf>
    <xf numFmtId="0" fontId="1" fillId="0" borderId="9" xfId="23" applyBorder="1" applyAlignment="1" applyProtection="1">
      <alignment horizontal="center" vertical="top"/>
      <protection locked="0"/>
    </xf>
    <xf numFmtId="2" fontId="1" fillId="0" borderId="9" xfId="23" applyNumberFormat="1" applyBorder="1" applyAlignment="1" applyProtection="1">
      <alignment horizontal="center" vertical="top"/>
      <protection locked="0"/>
    </xf>
    <xf numFmtId="0" fontId="1" fillId="0" borderId="0" xfId="23" applyAlignment="1">
      <alignment horizontal="left" vertical="top" wrapText="1"/>
    </xf>
    <xf numFmtId="0" fontId="1" fillId="0" borderId="9" xfId="13" applyBorder="1" applyAlignment="1" applyProtection="1">
      <alignment horizontal="center" wrapText="1"/>
      <protection locked="0"/>
    </xf>
    <xf numFmtId="0" fontId="1" fillId="0" borderId="0" xfId="23" applyAlignment="1">
      <alignment horizontal="left" vertical="top" wrapText="1" indent="1"/>
    </xf>
    <xf numFmtId="0" fontId="2" fillId="0" borderId="0" xfId="23" applyFont="1" applyAlignment="1">
      <alignment horizontal="left" vertical="top" wrapText="1"/>
    </xf>
    <xf numFmtId="0" fontId="1" fillId="0" borderId="12" xfId="23" applyBorder="1" applyAlignment="1">
      <alignment vertical="top"/>
    </xf>
    <xf numFmtId="0" fontId="1" fillId="0" borderId="8" xfId="23" applyBorder="1" applyAlignment="1">
      <alignment vertical="top"/>
    </xf>
    <xf numFmtId="0" fontId="1" fillId="0" borderId="8" xfId="23" applyBorder="1" applyAlignment="1">
      <alignment horizontal="center" vertical="top"/>
    </xf>
    <xf numFmtId="4" fontId="1" fillId="0" borderId="11" xfId="23" applyNumberFormat="1" applyBorder="1" applyAlignment="1" applyProtection="1">
      <alignment horizontal="right" vertical="center"/>
      <protection locked="0"/>
    </xf>
    <xf numFmtId="4" fontId="1" fillId="0" borderId="12" xfId="23" applyNumberFormat="1" applyBorder="1" applyAlignment="1">
      <alignment vertical="center"/>
    </xf>
    <xf numFmtId="0" fontId="1" fillId="0" borderId="0" xfId="23" applyAlignment="1">
      <alignment horizontal="center" vertical="top"/>
    </xf>
    <xf numFmtId="0" fontId="1" fillId="0" borderId="13" xfId="23" applyBorder="1" applyAlignment="1">
      <alignment vertical="top"/>
    </xf>
    <xf numFmtId="0" fontId="1" fillId="0" borderId="10" xfId="23" applyBorder="1" applyAlignment="1">
      <alignment vertical="top"/>
    </xf>
    <xf numFmtId="0" fontId="1" fillId="0" borderId="10" xfId="23" applyBorder="1" applyAlignment="1">
      <alignment horizontal="center" vertical="top"/>
    </xf>
    <xf numFmtId="4" fontId="1" fillId="0" borderId="14" xfId="23" applyNumberFormat="1" applyBorder="1" applyAlignment="1" applyProtection="1">
      <alignment horizontal="right" vertical="center"/>
      <protection locked="0"/>
    </xf>
    <xf numFmtId="4" fontId="1" fillId="0" borderId="13" xfId="23" applyNumberFormat="1" applyBorder="1" applyAlignment="1">
      <alignment vertical="center"/>
    </xf>
    <xf numFmtId="0" fontId="0" fillId="0" borderId="0" xfId="0" applyAlignment="1">
      <alignment horizontal="left" vertical="top"/>
    </xf>
    <xf numFmtId="173" fontId="0" fillId="0" borderId="0" xfId="0" applyNumberFormat="1" applyAlignment="1">
      <alignment horizontal="right"/>
    </xf>
    <xf numFmtId="0" fontId="5" fillId="0" borderId="0" xfId="13" applyFont="1" applyAlignment="1" applyProtection="1">
      <alignment vertical="top"/>
      <protection locked="0"/>
    </xf>
    <xf numFmtId="49" fontId="1" fillId="0" borderId="10" xfId="21" applyBorder="1"/>
    <xf numFmtId="165" fontId="1" fillId="0" borderId="10" xfId="24" applyFont="1" applyBorder="1"/>
    <xf numFmtId="49" fontId="1" fillId="0" borderId="8" xfId="21" applyBorder="1" applyAlignment="1">
      <alignment vertical="center" wrapText="1"/>
    </xf>
    <xf numFmtId="49" fontId="1" fillId="0" borderId="8" xfId="21" applyBorder="1" applyAlignment="1">
      <alignment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9" xfId="23" applyBorder="1" applyAlignment="1" applyProtection="1">
      <alignment horizontal="left" vertical="top" wrapText="1"/>
      <protection locked="0"/>
    </xf>
    <xf numFmtId="172" fontId="2" fillId="0" borderId="9" xfId="31" applyFont="1" applyBorder="1" applyAlignment="1">
      <alignment horizontal="center" vertical="top"/>
    </xf>
    <xf numFmtId="0" fontId="1" fillId="0" borderId="9" xfId="23" applyBorder="1" applyAlignment="1" applyProtection="1">
      <alignment horizontal="left" vertical="top"/>
      <protection locked="0"/>
    </xf>
    <xf numFmtId="0" fontId="2" fillId="0" borderId="0" xfId="23" applyFont="1" applyAlignment="1">
      <alignment horizontal="left" vertical="top"/>
    </xf>
    <xf numFmtId="166" fontId="2" fillId="0" borderId="0" xfId="23" applyNumberFormat="1" applyFont="1" applyAlignment="1">
      <alignment horizontal="left" vertical="top"/>
    </xf>
    <xf numFmtId="172" fontId="2" fillId="0" borderId="9" xfId="34" applyFont="1" applyBorder="1" applyAlignment="1">
      <alignment horizontal="center" vertical="top"/>
    </xf>
    <xf numFmtId="166" fontId="2" fillId="0" borderId="9" xfId="34" applyNumberFormat="1" applyFont="1" applyBorder="1" applyAlignment="1">
      <alignment horizontal="center" vertical="top"/>
    </xf>
    <xf numFmtId="166" fontId="2" fillId="0" borderId="9" xfId="34" applyNumberFormat="1" applyFont="1" applyBorder="1" applyAlignment="1" applyProtection="1">
      <alignment horizontal="center" vertical="top"/>
      <protection locked="0"/>
    </xf>
    <xf numFmtId="172" fontId="2" fillId="0" borderId="13" xfId="34" applyFont="1" applyBorder="1" applyAlignment="1">
      <alignment horizontal="center" vertical="top"/>
    </xf>
    <xf numFmtId="166" fontId="2" fillId="0" borderId="13" xfId="34" applyNumberFormat="1" applyFont="1" applyBorder="1" applyAlignment="1">
      <alignment horizontal="center" vertical="top"/>
    </xf>
    <xf numFmtId="166" fontId="2" fillId="0" borderId="13" xfId="34" applyNumberFormat="1" applyFont="1" applyBorder="1" applyAlignment="1" applyProtection="1">
      <alignment horizontal="center" vertical="top"/>
      <protection locked="0"/>
    </xf>
    <xf numFmtId="0" fontId="1" fillId="0" borderId="9" xfId="34" applyNumberFormat="1" applyFont="1" applyFill="1" applyBorder="1" applyAlignment="1" applyProtection="1">
      <alignment vertical="top"/>
      <protection locked="0"/>
    </xf>
    <xf numFmtId="174" fontId="1" fillId="0" borderId="9" xfId="34" applyNumberFormat="1" applyFont="1" applyFill="1" applyBorder="1" applyAlignment="1" applyProtection="1">
      <alignment horizontal="right"/>
      <protection locked="0"/>
    </xf>
    <xf numFmtId="172" fontId="1" fillId="0" borderId="9" xfId="34" applyFont="1" applyFill="1" applyBorder="1" applyAlignment="1" applyProtection="1">
      <alignment horizontal="right" shrinkToFit="1"/>
      <protection locked="0"/>
    </xf>
    <xf numFmtId="4" fontId="1" fillId="0" borderId="8" xfId="34" applyNumberFormat="1" applyFont="1" applyBorder="1" applyAlignment="1">
      <alignment horizontal="center" vertical="top" wrapText="1"/>
    </xf>
    <xf numFmtId="0" fontId="2" fillId="0" borderId="9" xfId="23" applyFont="1" applyBorder="1" applyAlignment="1">
      <alignment horizontal="center" vertical="top"/>
    </xf>
    <xf numFmtId="4" fontId="2" fillId="0" borderId="0" xfId="23" applyNumberFormat="1" applyFont="1" applyAlignment="1" applyProtection="1">
      <alignment horizontal="left" vertical="center"/>
      <protection locked="0"/>
    </xf>
    <xf numFmtId="4" fontId="1" fillId="0" borderId="0" xfId="34" applyNumberFormat="1" applyFont="1" applyBorder="1" applyAlignment="1">
      <alignment horizontal="center" vertical="top" wrapText="1"/>
    </xf>
    <xf numFmtId="4" fontId="1" fillId="0" borderId="10" xfId="34" applyNumberFormat="1" applyFont="1" applyBorder="1" applyAlignment="1">
      <alignment horizontal="center" vertical="top" wrapText="1"/>
    </xf>
    <xf numFmtId="172" fontId="1" fillId="0" borderId="9" xfId="34" applyFont="1" applyFill="1" applyBorder="1" applyAlignment="1" applyProtection="1">
      <alignment horizontal="center" vertical="top"/>
      <protection locked="0"/>
    </xf>
    <xf numFmtId="172" fontId="1" fillId="0" borderId="6" xfId="34" applyFont="1" applyFill="1" applyBorder="1" applyAlignment="1" applyProtection="1">
      <alignment horizontal="center" vertical="top"/>
      <protection locked="0"/>
    </xf>
    <xf numFmtId="172" fontId="1" fillId="0" borderId="6" xfId="34" applyFont="1" applyFill="1" applyBorder="1" applyAlignment="1" applyProtection="1">
      <alignment horizontal="right" shrinkToFit="1"/>
      <protection locked="0"/>
    </xf>
    <xf numFmtId="166" fontId="2" fillId="0" borderId="0" xfId="23" applyNumberFormat="1" applyFont="1" applyAlignment="1">
      <alignment horizontal="right" vertical="top"/>
    </xf>
    <xf numFmtId="0" fontId="1" fillId="0" borderId="9" xfId="34" applyNumberFormat="1" applyFont="1" applyFill="1" applyBorder="1" applyAlignment="1" applyProtection="1">
      <alignment horizontal="center" vertical="top"/>
      <protection locked="0"/>
    </xf>
    <xf numFmtId="0" fontId="1" fillId="0" borderId="6" xfId="34" applyNumberFormat="1" applyFont="1" applyFill="1" applyBorder="1" applyAlignment="1" applyProtection="1">
      <alignment horizontal="center" vertical="top"/>
      <protection locked="0"/>
    </xf>
    <xf numFmtId="0" fontId="1" fillId="0" borderId="0" xfId="23" applyAlignment="1">
      <alignment vertical="top" wrapText="1"/>
    </xf>
    <xf numFmtId="0" fontId="1" fillId="0" borderId="8" xfId="23" applyBorder="1" applyAlignment="1">
      <alignment vertical="top" wrapText="1"/>
    </xf>
    <xf numFmtId="4" fontId="1" fillId="0" borderId="6" xfId="23" applyNumberFormat="1" applyBorder="1" applyAlignment="1" applyProtection="1">
      <alignment horizontal="right" vertical="center"/>
      <protection locked="0"/>
    </xf>
    <xf numFmtId="0" fontId="1" fillId="0" borderId="10" xfId="23" applyBorder="1" applyAlignment="1">
      <alignment vertical="top" wrapText="1"/>
    </xf>
    <xf numFmtId="0" fontId="2" fillId="0" borderId="9" xfId="0" applyFont="1" applyBorder="1" applyAlignment="1">
      <alignment horizontal="center" vertical="top"/>
    </xf>
    <xf numFmtId="0" fontId="1" fillId="0" borderId="9" xfId="23" applyBorder="1" applyAlignment="1" applyProtection="1">
      <alignment horizontal="center" vertical="top" wrapText="1"/>
      <protection locked="0"/>
    </xf>
    <xf numFmtId="173" fontId="1" fillId="0" borderId="10" xfId="24" applyNumberFormat="1" applyFont="1" applyBorder="1" applyAlignment="1">
      <alignment horizontal="right"/>
    </xf>
    <xf numFmtId="173" fontId="1" fillId="0" borderId="0" xfId="24" applyNumberFormat="1" applyFont="1" applyBorder="1" applyAlignment="1">
      <alignment horizontal="right"/>
    </xf>
    <xf numFmtId="4" fontId="1" fillId="0" borderId="9" xfId="23" applyNumberFormat="1" applyBorder="1" applyAlignment="1">
      <alignment horizontal="right" vertical="center"/>
    </xf>
    <xf numFmtId="0" fontId="2" fillId="0" borderId="9" xfId="23" applyFont="1" applyBorder="1" applyAlignment="1" applyProtection="1">
      <alignment horizontal="center" vertical="top"/>
      <protection locked="0"/>
    </xf>
    <xf numFmtId="173" fontId="0" fillId="0" borderId="0" xfId="0" applyNumberFormat="1" applyAlignment="1">
      <alignment horizontal="left" vertical="top" wrapText="1"/>
    </xf>
    <xf numFmtId="164" fontId="1" fillId="0" borderId="0" xfId="35" applyFont="1" applyFill="1"/>
  </cellXfs>
  <cellStyles count="38">
    <cellStyle name="args.style" xfId="1" xr:uid="{00000000-0005-0000-0000-000000000000}"/>
    <cellStyle name="Comma" xfId="35" builtinId="3"/>
    <cellStyle name="Comma 2" xfId="2" xr:uid="{00000000-0005-0000-0000-000002000000}"/>
    <cellStyle name="Comma 3" xfId="26" xr:uid="{00000000-0005-0000-0000-000003000000}"/>
    <cellStyle name="Comma 3 2" xfId="31" xr:uid="{00000000-0005-0000-0000-000004000000}"/>
    <cellStyle name="Comma 4" xfId="29" xr:uid="{00000000-0005-0000-0000-000005000000}"/>
    <cellStyle name="Comma 4 2" xfId="33" xr:uid="{00000000-0005-0000-0000-000006000000}"/>
    <cellStyle name="Comma 4 2 2" xfId="34" xr:uid="{00000000-0005-0000-0000-000007000000}"/>
    <cellStyle name="Comma 5" xfId="30" xr:uid="{00000000-0005-0000-0000-000008000000}"/>
    <cellStyle name="Comma0" xfId="3" xr:uid="{00000000-0005-0000-0000-000009000000}"/>
    <cellStyle name="Currency 2" xfId="22" xr:uid="{00000000-0005-0000-0000-00000A000000}"/>
    <cellStyle name="Currency 3" xfId="24" xr:uid="{00000000-0005-0000-0000-00000B000000}"/>
    <cellStyle name="Currency 4" xfId="27" xr:uid="{00000000-0005-0000-0000-00000C000000}"/>
    <cellStyle name="Date" xfId="4" xr:uid="{00000000-0005-0000-0000-00000D000000}"/>
    <cellStyle name="Fixed" xfId="5" xr:uid="{00000000-0005-0000-0000-00000E000000}"/>
    <cellStyle name="header" xfId="6" xr:uid="{00000000-0005-0000-0000-00000F000000}"/>
    <cellStyle name="Header1" xfId="7" xr:uid="{00000000-0005-0000-0000-000010000000}"/>
    <cellStyle name="Header2" xfId="8" xr:uid="{00000000-0005-0000-0000-000011000000}"/>
    <cellStyle name="Heading1" xfId="9" xr:uid="{00000000-0005-0000-0000-000012000000}"/>
    <cellStyle name="Heading2" xfId="10" xr:uid="{00000000-0005-0000-0000-000013000000}"/>
    <cellStyle name="Input Cells" xfId="11" xr:uid="{00000000-0005-0000-0000-000014000000}"/>
    <cellStyle name="Normal" xfId="0" builtinId="0"/>
    <cellStyle name="Normal 10" xfId="36" xr:uid="{00000000-0005-0000-0000-000016000000}"/>
    <cellStyle name="Normal 11" xfId="37" xr:uid="{06ABC8DD-1A15-4ADF-9BF2-71FD38EB062D}"/>
    <cellStyle name="Normal 2" xfId="12" xr:uid="{00000000-0005-0000-0000-000017000000}"/>
    <cellStyle name="Normal 3" xfId="21" xr:uid="{00000000-0005-0000-0000-000018000000}"/>
    <cellStyle name="Normal 4" xfId="23" xr:uid="{00000000-0005-0000-0000-000019000000}"/>
    <cellStyle name="Normal 5" xfId="25" xr:uid="{00000000-0005-0000-0000-00001A000000}"/>
    <cellStyle name="Normal_Bill of quantities" xfId="13" xr:uid="{00000000-0005-0000-0000-00001B000000}"/>
    <cellStyle name="Opskrif" xfId="14" xr:uid="{00000000-0005-0000-0000-00001C000000}"/>
    <cellStyle name="OPSKRIF1" xfId="15" xr:uid="{00000000-0005-0000-0000-00001D000000}"/>
    <cellStyle name="OPSKRIFTE" xfId="16" xr:uid="{00000000-0005-0000-0000-00001E000000}"/>
    <cellStyle name="or" xfId="28" xr:uid="{00000000-0005-0000-0000-00001F000000}"/>
    <cellStyle name="per.style" xfId="17" xr:uid="{00000000-0005-0000-0000-000020000000}"/>
    <cellStyle name="Percent 2" xfId="18" xr:uid="{00000000-0005-0000-0000-000021000000}"/>
    <cellStyle name="Percent 3" xfId="32" xr:uid="{00000000-0005-0000-0000-000022000000}"/>
    <cellStyle name="T.b.a." xfId="19" xr:uid="{00000000-0005-0000-0000-000023000000}"/>
    <cellStyle name="Total" xfId="20" builtinId="25" customBuiltin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</sheetPr>
  <dimension ref="A1:G51"/>
  <sheetViews>
    <sheetView view="pageBreakPreview" topLeftCell="A6" zoomScaleNormal="100" zoomScaleSheetLayoutView="100" workbookViewId="0">
      <selection activeCell="C21" sqref="C21"/>
    </sheetView>
  </sheetViews>
  <sheetFormatPr defaultColWidth="18.6640625" defaultRowHeight="13.2" x14ac:dyDescent="0.25"/>
  <cols>
    <col min="1" max="1" width="10.6640625" style="2" customWidth="1"/>
    <col min="2" max="2" width="7.6640625" style="2" customWidth="1"/>
    <col min="3" max="3" width="32.6640625" style="2" customWidth="1"/>
    <col min="4" max="4" width="8.6640625" style="2" customWidth="1"/>
    <col min="5" max="5" width="9.6640625" style="79" customWidth="1"/>
    <col min="6" max="6" width="11.6640625" style="2" customWidth="1"/>
    <col min="7" max="7" width="12.6640625" style="2" customWidth="1"/>
    <col min="8" max="16384" width="18.6640625" style="2"/>
  </cols>
  <sheetData>
    <row r="1" spans="1:7" x14ac:dyDescent="0.25">
      <c r="A1" s="46"/>
      <c r="B1" s="46"/>
      <c r="C1" s="46"/>
      <c r="D1" s="46"/>
      <c r="E1" s="47"/>
      <c r="F1" s="47"/>
      <c r="G1" s="65" t="s">
        <v>79</v>
      </c>
    </row>
    <row r="2" spans="1:7" x14ac:dyDescent="0.25">
      <c r="A2" s="41" t="s">
        <v>26</v>
      </c>
      <c r="B2" s="11"/>
      <c r="C2" s="12"/>
      <c r="D2" s="13"/>
      <c r="E2" s="14"/>
      <c r="F2" s="14"/>
      <c r="G2" s="14"/>
    </row>
    <row r="3" spans="1:7" x14ac:dyDescent="0.25">
      <c r="A3" s="9" t="s">
        <v>27</v>
      </c>
      <c r="B3" s="44" t="s">
        <v>9</v>
      </c>
      <c r="C3" s="48" t="s">
        <v>4</v>
      </c>
      <c r="D3" s="48" t="s">
        <v>5</v>
      </c>
      <c r="E3" s="49" t="s">
        <v>6</v>
      </c>
      <c r="F3" s="50" t="s">
        <v>7</v>
      </c>
      <c r="G3" s="49" t="s">
        <v>8</v>
      </c>
    </row>
    <row r="4" spans="1:7" x14ac:dyDescent="0.25">
      <c r="A4" s="42" t="s">
        <v>28</v>
      </c>
      <c r="B4" s="15" t="s">
        <v>25</v>
      </c>
      <c r="C4" s="51"/>
      <c r="D4" s="51"/>
      <c r="E4" s="52"/>
      <c r="F4" s="53"/>
      <c r="G4" s="52"/>
    </row>
    <row r="5" spans="1:7" ht="26.4" x14ac:dyDescent="0.25">
      <c r="A5" s="73" t="s">
        <v>10</v>
      </c>
      <c r="B5" s="77">
        <v>130</v>
      </c>
      <c r="C5" s="22" t="s">
        <v>11</v>
      </c>
      <c r="D5" s="16"/>
      <c r="E5" s="54"/>
      <c r="F5" s="66"/>
      <c r="G5" s="67"/>
    </row>
    <row r="6" spans="1:7" x14ac:dyDescent="0.25">
      <c r="A6" s="17"/>
      <c r="B6" s="18"/>
      <c r="C6" s="19"/>
      <c r="D6" s="1"/>
      <c r="E6" s="54"/>
      <c r="F6" s="62"/>
      <c r="G6" s="63"/>
    </row>
    <row r="7" spans="1:7" x14ac:dyDescent="0.25">
      <c r="A7" s="43" t="s">
        <v>41</v>
      </c>
      <c r="B7" s="72" t="s">
        <v>104</v>
      </c>
      <c r="C7" s="22" t="s">
        <v>12</v>
      </c>
      <c r="D7" s="20"/>
      <c r="E7" s="55"/>
      <c r="F7" s="56"/>
      <c r="G7" s="64"/>
    </row>
    <row r="8" spans="1:7" x14ac:dyDescent="0.25">
      <c r="A8" s="17"/>
      <c r="B8" s="18"/>
      <c r="C8" s="19"/>
      <c r="D8" s="1"/>
      <c r="E8" s="54"/>
      <c r="F8" s="62"/>
      <c r="G8" s="63"/>
    </row>
    <row r="9" spans="1:7" ht="52.8" x14ac:dyDescent="0.25">
      <c r="A9" s="45"/>
      <c r="B9" s="18"/>
      <c r="C9" s="19" t="s">
        <v>83</v>
      </c>
      <c r="D9" s="20" t="s">
        <v>18</v>
      </c>
      <c r="E9" s="55">
        <v>0.1</v>
      </c>
      <c r="F9" s="56">
        <v>10500</v>
      </c>
      <c r="G9" s="64">
        <f>E9*F9</f>
        <v>1050</v>
      </c>
    </row>
    <row r="10" spans="1:7" x14ac:dyDescent="0.25">
      <c r="A10" s="17"/>
      <c r="B10" s="18"/>
      <c r="C10" s="19"/>
      <c r="D10" s="1"/>
      <c r="E10" s="54"/>
      <c r="F10" s="62"/>
      <c r="G10" s="63"/>
    </row>
    <row r="11" spans="1:7" ht="26.4" x14ac:dyDescent="0.25">
      <c r="A11" s="43" t="s">
        <v>13</v>
      </c>
      <c r="B11" s="72" t="s">
        <v>105</v>
      </c>
      <c r="C11" s="22" t="s">
        <v>14</v>
      </c>
      <c r="D11" s="20"/>
      <c r="E11" s="55"/>
      <c r="F11" s="56"/>
      <c r="G11" s="64"/>
    </row>
    <row r="12" spans="1:7" x14ac:dyDescent="0.25">
      <c r="A12" s="17"/>
      <c r="B12" s="18"/>
      <c r="C12" s="19"/>
      <c r="D12" s="1"/>
      <c r="E12" s="54"/>
      <c r="F12" s="62"/>
      <c r="G12" s="63"/>
    </row>
    <row r="13" spans="1:7" ht="26.4" x14ac:dyDescent="0.25">
      <c r="A13" s="45"/>
      <c r="B13" s="18"/>
      <c r="C13" s="19" t="s">
        <v>15</v>
      </c>
      <c r="D13" s="20" t="s">
        <v>3</v>
      </c>
      <c r="E13" s="55">
        <v>1</v>
      </c>
      <c r="F13" s="56">
        <v>2500</v>
      </c>
      <c r="G13" s="64">
        <f>E13*F13</f>
        <v>2500</v>
      </c>
    </row>
    <row r="14" spans="1:7" x14ac:dyDescent="0.25">
      <c r="A14" s="17"/>
      <c r="B14" s="18"/>
      <c r="C14" s="19"/>
      <c r="D14" s="1"/>
      <c r="E14" s="54"/>
      <c r="F14" s="62"/>
      <c r="G14" s="63"/>
    </row>
    <row r="15" spans="1:7" ht="26.4" x14ac:dyDescent="0.25">
      <c r="A15" s="45"/>
      <c r="B15" s="18"/>
      <c r="C15" s="19" t="s">
        <v>16</v>
      </c>
      <c r="D15" s="20" t="s">
        <v>3</v>
      </c>
      <c r="E15" s="55">
        <v>1</v>
      </c>
      <c r="F15" s="56">
        <v>50000</v>
      </c>
      <c r="G15" s="64">
        <f>E15*F15</f>
        <v>50000</v>
      </c>
    </row>
    <row r="16" spans="1:7" x14ac:dyDescent="0.25">
      <c r="A16" s="17"/>
      <c r="B16" s="18"/>
      <c r="C16" s="19"/>
      <c r="D16" s="1"/>
      <c r="E16" s="54"/>
      <c r="F16" s="62"/>
      <c r="G16" s="63"/>
    </row>
    <row r="17" spans="1:7" ht="26.4" x14ac:dyDescent="0.25">
      <c r="A17" s="43" t="s">
        <v>19</v>
      </c>
      <c r="B17" s="72" t="s">
        <v>106</v>
      </c>
      <c r="C17" s="22" t="s">
        <v>20</v>
      </c>
      <c r="D17" s="20"/>
      <c r="E17" s="55"/>
      <c r="F17" s="56"/>
      <c r="G17" s="64"/>
    </row>
    <row r="18" spans="1:7" x14ac:dyDescent="0.25">
      <c r="A18" s="17"/>
      <c r="B18" s="18"/>
      <c r="C18" s="19"/>
      <c r="D18" s="1"/>
      <c r="E18" s="54"/>
      <c r="F18" s="62"/>
      <c r="G18" s="63"/>
    </row>
    <row r="19" spans="1:7" x14ac:dyDescent="0.25">
      <c r="A19" s="45"/>
      <c r="B19" s="18"/>
      <c r="C19" s="19" t="s">
        <v>21</v>
      </c>
      <c r="D19" s="20" t="s">
        <v>22</v>
      </c>
      <c r="E19" s="55">
        <v>0.1</v>
      </c>
      <c r="F19" s="56">
        <v>2500</v>
      </c>
      <c r="G19" s="64">
        <f>E19*F19</f>
        <v>250</v>
      </c>
    </row>
    <row r="20" spans="1:7" x14ac:dyDescent="0.25">
      <c r="A20" s="17"/>
      <c r="B20" s="18"/>
      <c r="C20" s="19"/>
      <c r="D20" s="1"/>
      <c r="E20" s="54"/>
      <c r="F20" s="62"/>
      <c r="G20" s="63"/>
    </row>
    <row r="21" spans="1:7" ht="26.4" x14ac:dyDescent="0.25">
      <c r="A21" s="43" t="s">
        <v>23</v>
      </c>
      <c r="B21" s="72" t="s">
        <v>107</v>
      </c>
      <c r="C21" s="22" t="s">
        <v>24</v>
      </c>
      <c r="D21" s="20" t="s">
        <v>1</v>
      </c>
      <c r="E21" s="55">
        <v>15</v>
      </c>
      <c r="F21" s="56">
        <v>115</v>
      </c>
      <c r="G21" s="64">
        <f>E21*F21</f>
        <v>1725</v>
      </c>
    </row>
    <row r="22" spans="1:7" x14ac:dyDescent="0.25">
      <c r="A22" s="17"/>
      <c r="B22" s="18"/>
      <c r="C22" s="19"/>
      <c r="D22" s="1"/>
      <c r="E22" s="54"/>
      <c r="F22" s="62"/>
      <c r="G22" s="63"/>
    </row>
    <row r="23" spans="1:7" x14ac:dyDescent="0.25">
      <c r="A23" s="17"/>
      <c r="B23" s="18"/>
      <c r="C23" s="19"/>
      <c r="D23" s="1"/>
      <c r="E23" s="54"/>
      <c r="F23" s="62"/>
      <c r="G23" s="63"/>
    </row>
    <row r="24" spans="1:7" x14ac:dyDescent="0.25">
      <c r="A24" s="17"/>
      <c r="B24" s="18"/>
      <c r="C24" s="19"/>
      <c r="D24" s="1"/>
      <c r="E24" s="54"/>
      <c r="F24" s="62"/>
      <c r="G24" s="63"/>
    </row>
    <row r="25" spans="1:7" x14ac:dyDescent="0.25">
      <c r="A25" s="17"/>
      <c r="B25" s="18"/>
      <c r="C25" s="19"/>
      <c r="D25" s="1"/>
      <c r="E25" s="54"/>
      <c r="F25" s="62"/>
      <c r="G25" s="63"/>
    </row>
    <row r="26" spans="1:7" x14ac:dyDescent="0.25">
      <c r="A26" s="17"/>
      <c r="B26" s="18"/>
      <c r="C26" s="19"/>
      <c r="D26" s="1"/>
      <c r="E26" s="54"/>
      <c r="F26" s="62"/>
      <c r="G26" s="63"/>
    </row>
    <row r="27" spans="1:7" x14ac:dyDescent="0.25">
      <c r="A27" s="17"/>
      <c r="B27" s="18"/>
      <c r="C27" s="19"/>
      <c r="D27" s="1"/>
      <c r="E27" s="54"/>
      <c r="F27" s="62"/>
      <c r="G27" s="63"/>
    </row>
    <row r="28" spans="1:7" x14ac:dyDescent="0.25">
      <c r="A28" s="17"/>
      <c r="B28" s="18"/>
      <c r="C28" s="19"/>
      <c r="D28" s="1"/>
      <c r="E28" s="54"/>
      <c r="F28" s="62"/>
      <c r="G28" s="63"/>
    </row>
    <row r="29" spans="1:7" x14ac:dyDescent="0.25">
      <c r="A29" s="17"/>
      <c r="B29" s="18"/>
      <c r="C29" s="19"/>
      <c r="D29" s="1"/>
      <c r="E29" s="54"/>
      <c r="F29" s="62"/>
      <c r="G29" s="63"/>
    </row>
    <row r="30" spans="1:7" x14ac:dyDescent="0.25">
      <c r="A30" s="17"/>
      <c r="B30" s="18"/>
      <c r="C30" s="19"/>
      <c r="D30" s="1"/>
      <c r="E30" s="54"/>
      <c r="F30" s="62"/>
      <c r="G30" s="63"/>
    </row>
    <row r="31" spans="1:7" x14ac:dyDescent="0.25">
      <c r="A31" s="17"/>
      <c r="B31" s="18"/>
      <c r="C31" s="19"/>
      <c r="D31" s="1"/>
      <c r="E31" s="54"/>
      <c r="F31" s="62"/>
      <c r="G31" s="63"/>
    </row>
    <row r="32" spans="1:7" x14ac:dyDescent="0.25">
      <c r="A32" s="17"/>
      <c r="B32" s="18"/>
      <c r="C32" s="19"/>
      <c r="D32" s="1"/>
      <c r="E32" s="54"/>
      <c r="F32" s="62"/>
      <c r="G32" s="63"/>
    </row>
    <row r="33" spans="1:7" x14ac:dyDescent="0.25">
      <c r="A33" s="17"/>
      <c r="B33" s="18"/>
      <c r="C33" s="19"/>
      <c r="D33" s="1"/>
      <c r="E33" s="54"/>
      <c r="F33" s="62"/>
      <c r="G33" s="63"/>
    </row>
    <row r="34" spans="1:7" x14ac:dyDescent="0.25">
      <c r="A34" s="17"/>
      <c r="B34" s="18"/>
      <c r="C34" s="19"/>
      <c r="D34" s="1"/>
      <c r="E34" s="54"/>
      <c r="F34" s="62"/>
      <c r="G34" s="63"/>
    </row>
    <row r="35" spans="1:7" x14ac:dyDescent="0.25">
      <c r="A35" s="17"/>
      <c r="B35" s="18"/>
      <c r="C35" s="19"/>
      <c r="D35" s="1"/>
      <c r="E35" s="54"/>
      <c r="F35" s="62"/>
      <c r="G35" s="63"/>
    </row>
    <row r="36" spans="1:7" x14ac:dyDescent="0.25">
      <c r="A36" s="17"/>
      <c r="B36" s="18"/>
      <c r="C36" s="19"/>
      <c r="D36" s="1"/>
      <c r="E36" s="54"/>
      <c r="F36" s="62"/>
      <c r="G36" s="63"/>
    </row>
    <row r="37" spans="1:7" x14ac:dyDescent="0.25">
      <c r="A37" s="17"/>
      <c r="B37" s="18"/>
      <c r="C37" s="19"/>
      <c r="D37" s="1"/>
      <c r="E37" s="54"/>
      <c r="F37" s="62"/>
      <c r="G37" s="63"/>
    </row>
    <row r="38" spans="1:7" x14ac:dyDescent="0.25">
      <c r="A38" s="17"/>
      <c r="B38" s="18"/>
      <c r="C38" s="19"/>
      <c r="D38" s="1"/>
      <c r="E38" s="54"/>
      <c r="F38" s="62"/>
      <c r="G38" s="63"/>
    </row>
    <row r="39" spans="1:7" x14ac:dyDescent="0.25">
      <c r="A39" s="17"/>
      <c r="B39" s="18"/>
      <c r="C39" s="19"/>
      <c r="D39" s="1"/>
      <c r="E39" s="54"/>
      <c r="F39" s="62"/>
      <c r="G39" s="63"/>
    </row>
    <row r="40" spans="1:7" x14ac:dyDescent="0.25">
      <c r="A40" s="17"/>
      <c r="B40" s="18"/>
      <c r="C40" s="19"/>
      <c r="D40" s="1"/>
      <c r="E40" s="54"/>
      <c r="F40" s="62"/>
      <c r="G40" s="63"/>
    </row>
    <row r="41" spans="1:7" x14ac:dyDescent="0.25">
      <c r="A41" s="17"/>
      <c r="B41" s="18"/>
      <c r="C41" s="19"/>
      <c r="D41" s="1"/>
      <c r="E41" s="54"/>
      <c r="F41" s="62"/>
      <c r="G41" s="63"/>
    </row>
    <row r="42" spans="1:7" x14ac:dyDescent="0.25">
      <c r="A42" s="17"/>
      <c r="B42" s="18"/>
      <c r="C42" s="19"/>
      <c r="D42" s="1"/>
      <c r="E42" s="54"/>
      <c r="F42" s="62"/>
      <c r="G42" s="63"/>
    </row>
    <row r="43" spans="1:7" x14ac:dyDescent="0.25">
      <c r="A43" s="17"/>
      <c r="B43" s="18"/>
      <c r="C43" s="19"/>
      <c r="D43" s="1"/>
      <c r="E43" s="54"/>
      <c r="F43" s="62"/>
      <c r="G43" s="63"/>
    </row>
    <row r="44" spans="1:7" x14ac:dyDescent="0.25">
      <c r="A44" s="17"/>
      <c r="B44" s="18"/>
      <c r="C44" s="19"/>
      <c r="D44" s="1"/>
      <c r="E44" s="54"/>
      <c r="F44" s="62"/>
      <c r="G44" s="63"/>
    </row>
    <row r="45" spans="1:7" x14ac:dyDescent="0.25">
      <c r="A45" s="17"/>
      <c r="B45" s="18"/>
      <c r="C45" s="19"/>
      <c r="D45" s="1"/>
      <c r="E45" s="54"/>
      <c r="F45" s="62"/>
      <c r="G45" s="63"/>
    </row>
    <row r="46" spans="1:7" x14ac:dyDescent="0.25">
      <c r="A46" s="17"/>
      <c r="B46" s="18"/>
      <c r="C46" s="19"/>
      <c r="D46" s="1"/>
      <c r="E46" s="54"/>
      <c r="F46" s="62"/>
      <c r="G46" s="63"/>
    </row>
    <row r="47" spans="1:7" x14ac:dyDescent="0.25">
      <c r="A47" s="17"/>
      <c r="B47" s="18"/>
      <c r="C47" s="19"/>
      <c r="D47" s="1"/>
      <c r="E47" s="54"/>
      <c r="F47" s="62"/>
      <c r="G47" s="63"/>
    </row>
    <row r="48" spans="1:7" x14ac:dyDescent="0.25">
      <c r="A48" s="17"/>
      <c r="B48" s="18"/>
      <c r="C48" s="19"/>
      <c r="D48" s="1"/>
      <c r="E48" s="54"/>
      <c r="F48" s="62"/>
      <c r="G48" s="63"/>
    </row>
    <row r="49" spans="1:7" x14ac:dyDescent="0.25">
      <c r="A49" s="23"/>
      <c r="B49" s="69"/>
      <c r="C49" s="24"/>
      <c r="D49" s="25"/>
      <c r="E49" s="57"/>
      <c r="F49" s="26"/>
      <c r="G49" s="27"/>
    </row>
    <row r="50" spans="1:7" x14ac:dyDescent="0.25">
      <c r="A50" s="58" t="s">
        <v>108</v>
      </c>
      <c r="B50" s="59" t="s">
        <v>78</v>
      </c>
      <c r="C50" s="59"/>
      <c r="D50" s="28"/>
      <c r="E50" s="60"/>
      <c r="F50" s="70"/>
      <c r="G50" s="76">
        <f>SUM(G9:G21)</f>
        <v>55525</v>
      </c>
    </row>
    <row r="51" spans="1:7" x14ac:dyDescent="0.25">
      <c r="A51" s="29"/>
      <c r="B51" s="71"/>
      <c r="C51" s="30"/>
      <c r="D51" s="31"/>
      <c r="E51" s="61"/>
      <c r="F51" s="32"/>
      <c r="G51" s="33"/>
    </row>
  </sheetData>
  <pageMargins left="0.39370078740157483" right="0.39370078740157483" top="0.47244094488188981" bottom="0.47244094488188981" header="0.19685039370078741" footer="0.19685039370078741"/>
  <pageSetup paperSize="9" fitToHeight="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G53"/>
  <sheetViews>
    <sheetView view="pageBreakPreview" topLeftCell="B11" zoomScaleNormal="100" zoomScaleSheetLayoutView="100" workbookViewId="0">
      <selection activeCell="F24" sqref="F24"/>
    </sheetView>
  </sheetViews>
  <sheetFormatPr defaultColWidth="18.6640625" defaultRowHeight="13.2" x14ac:dyDescent="0.25"/>
  <cols>
    <col min="1" max="1" width="10.6640625" style="2" customWidth="1"/>
    <col min="2" max="2" width="7.6640625" style="2" customWidth="1"/>
    <col min="3" max="3" width="32.6640625" style="2" customWidth="1"/>
    <col min="4" max="4" width="8.6640625" style="2" customWidth="1"/>
    <col min="5" max="5" width="9.6640625" style="2" customWidth="1"/>
    <col min="6" max="6" width="11.6640625" style="2" customWidth="1"/>
    <col min="7" max="7" width="12.6640625" style="2" customWidth="1"/>
    <col min="8" max="16384" width="18.6640625" style="2"/>
  </cols>
  <sheetData>
    <row r="1" spans="1:7" x14ac:dyDescent="0.25">
      <c r="A1" s="46"/>
      <c r="B1" s="46"/>
      <c r="C1" s="46"/>
      <c r="D1" s="46"/>
      <c r="E1" s="47"/>
      <c r="F1" s="47"/>
      <c r="G1" s="65" t="s">
        <v>80</v>
      </c>
    </row>
    <row r="2" spans="1:7" x14ac:dyDescent="0.25">
      <c r="A2" s="41" t="s">
        <v>26</v>
      </c>
      <c r="B2" s="11"/>
      <c r="C2" s="12"/>
      <c r="D2" s="13"/>
      <c r="E2" s="14"/>
      <c r="F2" s="14"/>
      <c r="G2" s="14"/>
    </row>
    <row r="3" spans="1:7" x14ac:dyDescent="0.25">
      <c r="A3" s="9" t="s">
        <v>27</v>
      </c>
      <c r="B3" s="44" t="s">
        <v>9</v>
      </c>
      <c r="C3" s="48" t="s">
        <v>4</v>
      </c>
      <c r="D3" s="48" t="s">
        <v>5</v>
      </c>
      <c r="E3" s="49" t="s">
        <v>6</v>
      </c>
      <c r="F3" s="50" t="s">
        <v>7</v>
      </c>
      <c r="G3" s="49" t="s">
        <v>8</v>
      </c>
    </row>
    <row r="4" spans="1:7" x14ac:dyDescent="0.25">
      <c r="A4" s="42" t="s">
        <v>28</v>
      </c>
      <c r="B4" s="15" t="s">
        <v>25</v>
      </c>
      <c r="C4" s="51"/>
      <c r="D4" s="51"/>
      <c r="E4" s="52"/>
      <c r="F4" s="53"/>
      <c r="G4" s="52"/>
    </row>
    <row r="5" spans="1:7" ht="26.4" x14ac:dyDescent="0.25">
      <c r="A5" s="73" t="s">
        <v>29</v>
      </c>
      <c r="B5" s="77">
        <v>140</v>
      </c>
      <c r="C5" s="22" t="s">
        <v>30</v>
      </c>
      <c r="D5" s="16"/>
      <c r="E5" s="54"/>
      <c r="F5" s="66"/>
      <c r="G5" s="67"/>
    </row>
    <row r="6" spans="1:7" x14ac:dyDescent="0.25">
      <c r="A6" s="17"/>
      <c r="B6" s="18"/>
      <c r="C6" s="19"/>
      <c r="D6" s="1"/>
      <c r="E6" s="54"/>
      <c r="F6" s="62"/>
      <c r="G6" s="63"/>
    </row>
    <row r="7" spans="1:7" x14ac:dyDescent="0.25">
      <c r="A7" s="43" t="s">
        <v>44</v>
      </c>
      <c r="B7" s="72" t="s">
        <v>109</v>
      </c>
      <c r="C7" s="22" t="s">
        <v>31</v>
      </c>
      <c r="D7" s="20"/>
      <c r="E7" s="55"/>
      <c r="F7" s="56"/>
      <c r="G7" s="64"/>
    </row>
    <row r="8" spans="1:7" x14ac:dyDescent="0.25">
      <c r="A8" s="17"/>
      <c r="B8" s="18"/>
      <c r="C8" s="19"/>
      <c r="D8" s="1"/>
      <c r="E8" s="54"/>
      <c r="F8" s="62"/>
      <c r="G8" s="63"/>
    </row>
    <row r="9" spans="1:7" ht="26.4" x14ac:dyDescent="0.25">
      <c r="A9" s="45"/>
      <c r="B9" s="18"/>
      <c r="C9" s="68" t="s">
        <v>84</v>
      </c>
      <c r="D9" s="20"/>
      <c r="E9" s="55"/>
      <c r="F9" s="56"/>
      <c r="G9" s="64"/>
    </row>
    <row r="10" spans="1:7" x14ac:dyDescent="0.25">
      <c r="A10" s="17"/>
      <c r="B10" s="18"/>
      <c r="C10" s="19"/>
      <c r="D10" s="1"/>
      <c r="E10" s="54"/>
      <c r="F10" s="62"/>
      <c r="G10" s="63"/>
    </row>
    <row r="11" spans="1:7" x14ac:dyDescent="0.25">
      <c r="A11" s="45"/>
      <c r="B11" s="18"/>
      <c r="C11" s="21" t="s">
        <v>85</v>
      </c>
      <c r="D11" s="20" t="s">
        <v>1</v>
      </c>
      <c r="E11" s="55">
        <v>400</v>
      </c>
      <c r="F11" s="56">
        <v>115</v>
      </c>
      <c r="G11" s="64">
        <f>E11*F11</f>
        <v>46000</v>
      </c>
    </row>
    <row r="12" spans="1:7" x14ac:dyDescent="0.25">
      <c r="A12" s="17"/>
      <c r="B12" s="18"/>
      <c r="C12" s="19"/>
      <c r="D12" s="1"/>
      <c r="E12" s="54"/>
      <c r="F12" s="62"/>
      <c r="G12" s="63"/>
    </row>
    <row r="13" spans="1:7" x14ac:dyDescent="0.25">
      <c r="A13" s="45"/>
      <c r="B13" s="18"/>
      <c r="C13" s="68" t="s">
        <v>89</v>
      </c>
      <c r="D13" s="20"/>
      <c r="E13" s="55"/>
      <c r="F13" s="56"/>
      <c r="G13" s="64"/>
    </row>
    <row r="14" spans="1:7" x14ac:dyDescent="0.25">
      <c r="A14" s="17"/>
      <c r="B14" s="18"/>
      <c r="C14" s="19"/>
      <c r="D14" s="1"/>
      <c r="E14" s="54"/>
      <c r="F14" s="62"/>
      <c r="G14" s="63"/>
    </row>
    <row r="15" spans="1:7" x14ac:dyDescent="0.25">
      <c r="A15" s="45"/>
      <c r="B15" s="18"/>
      <c r="C15" s="21" t="s">
        <v>39</v>
      </c>
      <c r="D15" s="20" t="s">
        <v>1</v>
      </c>
      <c r="E15" s="55">
        <v>20</v>
      </c>
      <c r="F15" s="56">
        <v>250</v>
      </c>
      <c r="G15" s="64">
        <f>E15*F15</f>
        <v>5000</v>
      </c>
    </row>
    <row r="16" spans="1:7" x14ac:dyDescent="0.25">
      <c r="A16" s="17"/>
      <c r="B16" s="18"/>
      <c r="C16" s="19"/>
      <c r="D16" s="1"/>
      <c r="E16" s="54"/>
      <c r="F16" s="62"/>
      <c r="G16" s="63"/>
    </row>
    <row r="17" spans="1:7" x14ac:dyDescent="0.25">
      <c r="A17" s="45"/>
      <c r="B17" s="18"/>
      <c r="C17" s="21" t="s">
        <v>40</v>
      </c>
      <c r="D17" s="20" t="s">
        <v>1</v>
      </c>
      <c r="E17" s="55">
        <v>5</v>
      </c>
      <c r="F17" s="56">
        <v>375</v>
      </c>
      <c r="G17" s="64">
        <f>E17*F17</f>
        <v>1875</v>
      </c>
    </row>
    <row r="18" spans="1:7" x14ac:dyDescent="0.25">
      <c r="A18" s="17"/>
      <c r="B18" s="18"/>
      <c r="C18" s="19"/>
      <c r="D18" s="1"/>
      <c r="E18" s="54"/>
      <c r="F18" s="62"/>
      <c r="G18" s="63"/>
    </row>
    <row r="19" spans="1:7" x14ac:dyDescent="0.25">
      <c r="A19" s="43" t="s">
        <v>33</v>
      </c>
      <c r="B19" s="72" t="s">
        <v>110</v>
      </c>
      <c r="C19" s="22" t="s">
        <v>32</v>
      </c>
      <c r="D19" s="20"/>
      <c r="E19" s="55"/>
      <c r="F19" s="56"/>
      <c r="G19" s="64"/>
    </row>
    <row r="20" spans="1:7" x14ac:dyDescent="0.25">
      <c r="A20" s="17"/>
      <c r="B20" s="18"/>
      <c r="C20" s="19"/>
      <c r="D20" s="1"/>
      <c r="E20" s="54"/>
      <c r="F20" s="62"/>
      <c r="G20" s="63"/>
    </row>
    <row r="21" spans="1:7" ht="39.6" x14ac:dyDescent="0.25">
      <c r="A21" s="45"/>
      <c r="B21" s="18"/>
      <c r="C21" s="19" t="s">
        <v>87</v>
      </c>
      <c r="D21" s="20" t="s">
        <v>1</v>
      </c>
      <c r="E21" s="55">
        <v>5500</v>
      </c>
      <c r="F21" s="56">
        <v>625</v>
      </c>
      <c r="G21" s="64">
        <f>E21*F21</f>
        <v>3437500</v>
      </c>
    </row>
    <row r="22" spans="1:7" x14ac:dyDescent="0.25">
      <c r="A22" s="17"/>
      <c r="B22" s="18"/>
      <c r="C22" s="19"/>
      <c r="D22" s="1"/>
      <c r="E22" s="54"/>
      <c r="F22" s="62"/>
      <c r="G22" s="63"/>
    </row>
    <row r="23" spans="1:7" ht="52.8" x14ac:dyDescent="0.25">
      <c r="A23" s="45"/>
      <c r="B23" s="18"/>
      <c r="C23" s="19" t="s">
        <v>88</v>
      </c>
      <c r="D23" s="20" t="s">
        <v>1</v>
      </c>
      <c r="E23" s="55">
        <v>5500</v>
      </c>
      <c r="F23" s="56">
        <v>625</v>
      </c>
      <c r="G23" s="64">
        <f>E23*F23</f>
        <v>3437500</v>
      </c>
    </row>
    <row r="24" spans="1:7" x14ac:dyDescent="0.25">
      <c r="A24" s="17"/>
      <c r="B24" s="18"/>
      <c r="C24" s="19"/>
      <c r="D24" s="1"/>
      <c r="E24" s="54"/>
      <c r="F24" s="62"/>
      <c r="G24" s="63"/>
    </row>
    <row r="25" spans="1:7" x14ac:dyDescent="0.25">
      <c r="A25" s="43" t="s">
        <v>38</v>
      </c>
      <c r="B25" s="72" t="s">
        <v>111</v>
      </c>
      <c r="C25" s="22" t="s">
        <v>34</v>
      </c>
      <c r="D25" s="20"/>
      <c r="E25" s="55"/>
      <c r="F25" s="56"/>
      <c r="G25" s="64"/>
    </row>
    <row r="26" spans="1:7" x14ac:dyDescent="0.25">
      <c r="A26" s="17"/>
      <c r="B26" s="18"/>
      <c r="C26" s="19"/>
      <c r="D26" s="1"/>
      <c r="E26" s="54"/>
      <c r="F26" s="62"/>
      <c r="G26" s="63"/>
    </row>
    <row r="27" spans="1:7" x14ac:dyDescent="0.25">
      <c r="A27" s="45"/>
      <c r="B27" s="18"/>
      <c r="C27" s="19" t="s">
        <v>35</v>
      </c>
      <c r="D27" s="20" t="s">
        <v>1</v>
      </c>
      <c r="E27" s="55">
        <v>11000</v>
      </c>
      <c r="F27" s="56"/>
      <c r="G27" s="64">
        <f>E27*F27</f>
        <v>0</v>
      </c>
    </row>
    <row r="28" spans="1:7" x14ac:dyDescent="0.25">
      <c r="A28" s="17"/>
      <c r="B28" s="18"/>
      <c r="C28" s="19"/>
      <c r="D28" s="1"/>
      <c r="E28" s="54"/>
      <c r="F28" s="62"/>
      <c r="G28" s="63"/>
    </row>
    <row r="29" spans="1:7" x14ac:dyDescent="0.25">
      <c r="A29" s="45"/>
      <c r="B29" s="18"/>
      <c r="C29" s="19" t="s">
        <v>36</v>
      </c>
      <c r="D29" s="20" t="s">
        <v>37</v>
      </c>
      <c r="E29" s="55"/>
      <c r="F29" s="56"/>
      <c r="G29" s="64" t="s">
        <v>86</v>
      </c>
    </row>
    <row r="30" spans="1:7" x14ac:dyDescent="0.25">
      <c r="A30" s="17"/>
      <c r="B30" s="18"/>
      <c r="C30" s="19"/>
      <c r="D30" s="1"/>
      <c r="E30" s="54"/>
      <c r="F30" s="62"/>
      <c r="G30" s="63"/>
    </row>
    <row r="31" spans="1:7" x14ac:dyDescent="0.25">
      <c r="A31" s="17"/>
      <c r="B31" s="18"/>
      <c r="C31" s="19"/>
      <c r="D31" s="1"/>
      <c r="E31" s="54"/>
      <c r="F31" s="62"/>
      <c r="G31" s="63"/>
    </row>
    <row r="32" spans="1:7" x14ac:dyDescent="0.25">
      <c r="A32" s="17"/>
      <c r="B32" s="18"/>
      <c r="C32" s="19"/>
      <c r="D32" s="1"/>
      <c r="E32" s="54"/>
      <c r="F32" s="62"/>
      <c r="G32" s="63"/>
    </row>
    <row r="33" spans="1:7" x14ac:dyDescent="0.25">
      <c r="A33" s="17"/>
      <c r="B33" s="18"/>
      <c r="C33" s="19"/>
      <c r="D33" s="1"/>
      <c r="E33" s="54"/>
      <c r="F33" s="62"/>
      <c r="G33" s="63"/>
    </row>
    <row r="34" spans="1:7" x14ac:dyDescent="0.25">
      <c r="A34" s="17"/>
      <c r="B34" s="18"/>
      <c r="C34" s="19"/>
      <c r="D34" s="1"/>
      <c r="E34" s="54"/>
      <c r="F34" s="62"/>
      <c r="G34" s="63"/>
    </row>
    <row r="35" spans="1:7" x14ac:dyDescent="0.25">
      <c r="A35" s="17"/>
      <c r="B35" s="18"/>
      <c r="C35" s="19"/>
      <c r="D35" s="1"/>
      <c r="E35" s="54"/>
      <c r="F35" s="62"/>
      <c r="G35" s="63"/>
    </row>
    <row r="36" spans="1:7" x14ac:dyDescent="0.25">
      <c r="A36" s="17"/>
      <c r="B36" s="18"/>
      <c r="C36" s="19"/>
      <c r="D36" s="1"/>
      <c r="E36" s="54"/>
      <c r="F36" s="62"/>
      <c r="G36" s="63"/>
    </row>
    <row r="37" spans="1:7" x14ac:dyDescent="0.25">
      <c r="A37" s="17"/>
      <c r="B37" s="18"/>
      <c r="C37" s="19"/>
      <c r="D37" s="1"/>
      <c r="E37" s="54"/>
      <c r="F37" s="62"/>
      <c r="G37" s="63"/>
    </row>
    <row r="38" spans="1:7" x14ac:dyDescent="0.25">
      <c r="A38" s="17"/>
      <c r="B38" s="18"/>
      <c r="C38" s="19"/>
      <c r="D38" s="1"/>
      <c r="E38" s="54"/>
      <c r="F38" s="62"/>
      <c r="G38" s="63"/>
    </row>
    <row r="39" spans="1:7" x14ac:dyDescent="0.25">
      <c r="A39" s="17"/>
      <c r="B39" s="18"/>
      <c r="C39" s="19"/>
      <c r="D39" s="1"/>
      <c r="E39" s="54"/>
      <c r="F39" s="62"/>
      <c r="G39" s="63"/>
    </row>
    <row r="40" spans="1:7" x14ac:dyDescent="0.25">
      <c r="A40" s="17"/>
      <c r="B40" s="18"/>
      <c r="C40" s="19"/>
      <c r="D40" s="1"/>
      <c r="E40" s="54"/>
      <c r="F40" s="62"/>
      <c r="G40" s="63"/>
    </row>
    <row r="41" spans="1:7" x14ac:dyDescent="0.25">
      <c r="A41" s="17"/>
      <c r="B41" s="18"/>
      <c r="C41" s="19"/>
      <c r="D41" s="1"/>
      <c r="E41" s="54"/>
      <c r="F41" s="62"/>
      <c r="G41" s="63"/>
    </row>
    <row r="42" spans="1:7" x14ac:dyDescent="0.25">
      <c r="A42" s="17"/>
      <c r="B42" s="18"/>
      <c r="C42" s="19"/>
      <c r="D42" s="1"/>
      <c r="E42" s="54"/>
      <c r="F42" s="62"/>
      <c r="G42" s="63"/>
    </row>
    <row r="43" spans="1:7" x14ac:dyDescent="0.25">
      <c r="A43" s="17"/>
      <c r="B43" s="18"/>
      <c r="C43" s="19"/>
      <c r="D43" s="1"/>
      <c r="E43" s="54"/>
      <c r="F43" s="62"/>
      <c r="G43" s="63"/>
    </row>
    <row r="44" spans="1:7" x14ac:dyDescent="0.25">
      <c r="A44" s="17"/>
      <c r="B44" s="18"/>
      <c r="C44" s="19"/>
      <c r="D44" s="1"/>
      <c r="E44" s="54"/>
      <c r="F44" s="62"/>
      <c r="G44" s="63"/>
    </row>
    <row r="45" spans="1:7" x14ac:dyDescent="0.25">
      <c r="A45" s="17"/>
      <c r="B45" s="18"/>
      <c r="C45" s="19"/>
      <c r="D45" s="1"/>
      <c r="E45" s="54"/>
      <c r="F45" s="62"/>
      <c r="G45" s="63"/>
    </row>
    <row r="46" spans="1:7" x14ac:dyDescent="0.25">
      <c r="A46" s="17"/>
      <c r="B46" s="18"/>
      <c r="C46" s="19"/>
      <c r="D46" s="1"/>
      <c r="E46" s="54"/>
      <c r="F46" s="62"/>
      <c r="G46" s="63"/>
    </row>
    <row r="47" spans="1:7" x14ac:dyDescent="0.25">
      <c r="A47" s="17"/>
      <c r="B47" s="18"/>
      <c r="C47" s="19"/>
      <c r="D47" s="1"/>
      <c r="E47" s="54"/>
      <c r="F47" s="62"/>
      <c r="G47" s="63"/>
    </row>
    <row r="48" spans="1:7" x14ac:dyDescent="0.25">
      <c r="A48" s="17"/>
      <c r="B48" s="18"/>
      <c r="C48" s="19"/>
      <c r="D48" s="1"/>
      <c r="E48" s="54"/>
      <c r="F48" s="62"/>
      <c r="G48" s="63"/>
    </row>
    <row r="49" spans="1:7" x14ac:dyDescent="0.25">
      <c r="A49" s="17"/>
      <c r="B49" s="18"/>
      <c r="C49" s="19"/>
      <c r="D49" s="1"/>
      <c r="E49" s="54"/>
      <c r="F49" s="62"/>
      <c r="G49" s="63"/>
    </row>
    <row r="50" spans="1:7" x14ac:dyDescent="0.25">
      <c r="A50" s="17"/>
      <c r="B50" s="18"/>
      <c r="C50" s="19"/>
      <c r="D50" s="1"/>
      <c r="E50" s="54"/>
      <c r="F50" s="62"/>
      <c r="G50" s="63"/>
    </row>
    <row r="51" spans="1:7" x14ac:dyDescent="0.25">
      <c r="A51" s="23"/>
      <c r="B51" s="69"/>
      <c r="C51" s="24"/>
      <c r="D51" s="25"/>
      <c r="E51" s="57"/>
      <c r="F51" s="26"/>
      <c r="G51" s="27"/>
    </row>
    <row r="52" spans="1:7" x14ac:dyDescent="0.25">
      <c r="A52" s="58" t="s">
        <v>112</v>
      </c>
      <c r="B52" s="59" t="s">
        <v>78</v>
      </c>
      <c r="C52" s="59"/>
      <c r="D52" s="28"/>
      <c r="E52" s="60"/>
      <c r="F52" s="70"/>
      <c r="G52" s="76">
        <f>SUM(G11:G27)</f>
        <v>6927875</v>
      </c>
    </row>
    <row r="53" spans="1:7" x14ac:dyDescent="0.25">
      <c r="A53" s="29"/>
      <c r="B53" s="71"/>
      <c r="C53" s="30"/>
      <c r="D53" s="31"/>
      <c r="E53" s="61"/>
      <c r="F53" s="32"/>
      <c r="G53" s="33"/>
    </row>
  </sheetData>
  <pageMargins left="0.39370078740157483" right="0.39370078740157483" top="0.47244094488188981" bottom="0.47244094488188981" header="0.19685039370078741" footer="0.19685039370078741"/>
  <pageSetup paperSize="9" fitToHeight="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G48"/>
  <sheetViews>
    <sheetView view="pageBreakPreview" topLeftCell="B1" zoomScaleNormal="100" zoomScaleSheetLayoutView="100" workbookViewId="0">
      <selection activeCell="F30" sqref="F30"/>
    </sheetView>
  </sheetViews>
  <sheetFormatPr defaultColWidth="18.6640625" defaultRowHeight="13.2" x14ac:dyDescent="0.25"/>
  <cols>
    <col min="1" max="1" width="10.6640625" customWidth="1"/>
    <col min="2" max="2" width="7.6640625" customWidth="1"/>
    <col min="3" max="3" width="32.6640625" customWidth="1"/>
    <col min="4" max="4" width="8.6640625" customWidth="1"/>
    <col min="5" max="5" width="9.6640625" customWidth="1"/>
    <col min="6" max="6" width="11.6640625" customWidth="1"/>
    <col min="7" max="7" width="12.6640625" customWidth="1"/>
  </cols>
  <sheetData>
    <row r="1" spans="1:7" x14ac:dyDescent="0.25">
      <c r="A1" s="46"/>
      <c r="B1" s="46"/>
      <c r="C1" s="46"/>
      <c r="D1" s="46"/>
      <c r="E1" s="47"/>
      <c r="F1" s="47"/>
      <c r="G1" s="65" t="s">
        <v>54</v>
      </c>
    </row>
    <row r="2" spans="1:7" x14ac:dyDescent="0.25">
      <c r="A2" s="41" t="s">
        <v>26</v>
      </c>
      <c r="B2" s="11"/>
      <c r="C2" s="12"/>
      <c r="D2" s="13"/>
      <c r="E2" s="14"/>
      <c r="F2" s="14"/>
      <c r="G2" s="14"/>
    </row>
    <row r="3" spans="1:7" x14ac:dyDescent="0.25">
      <c r="A3" s="9" t="s">
        <v>27</v>
      </c>
      <c r="B3" s="44" t="s">
        <v>9</v>
      </c>
      <c r="C3" s="48" t="s">
        <v>4</v>
      </c>
      <c r="D3" s="48" t="s">
        <v>5</v>
      </c>
      <c r="E3" s="49" t="s">
        <v>6</v>
      </c>
      <c r="F3" s="50" t="s">
        <v>7</v>
      </c>
      <c r="G3" s="49" t="s">
        <v>8</v>
      </c>
    </row>
    <row r="4" spans="1:7" x14ac:dyDescent="0.25">
      <c r="A4" s="42" t="s">
        <v>28</v>
      </c>
      <c r="B4" s="15" t="s">
        <v>25</v>
      </c>
      <c r="C4" s="51"/>
      <c r="D4" s="51"/>
      <c r="E4" s="52"/>
      <c r="F4" s="53"/>
      <c r="G4" s="52"/>
    </row>
    <row r="5" spans="1:7" ht="26.4" x14ac:dyDescent="0.25">
      <c r="A5" s="73" t="s">
        <v>42</v>
      </c>
      <c r="B5" s="77">
        <v>147</v>
      </c>
      <c r="C5" s="22" t="s">
        <v>43</v>
      </c>
      <c r="D5" s="16"/>
      <c r="E5" s="54"/>
      <c r="F5" s="66"/>
      <c r="G5" s="67"/>
    </row>
    <row r="6" spans="1:7" x14ac:dyDescent="0.25">
      <c r="A6" s="17"/>
      <c r="B6" s="18"/>
      <c r="C6" s="19"/>
      <c r="D6" s="1"/>
      <c r="E6" s="54"/>
      <c r="F6" s="62"/>
      <c r="G6" s="63"/>
    </row>
    <row r="7" spans="1:7" x14ac:dyDescent="0.25">
      <c r="A7" s="43" t="s">
        <v>52</v>
      </c>
      <c r="B7" s="72" t="s">
        <v>113</v>
      </c>
      <c r="C7" s="22" t="s">
        <v>45</v>
      </c>
      <c r="D7" s="20"/>
      <c r="E7" s="55"/>
      <c r="F7" s="56"/>
      <c r="G7" s="64"/>
    </row>
    <row r="8" spans="1:7" x14ac:dyDescent="0.25">
      <c r="A8" s="17"/>
      <c r="B8" s="18"/>
      <c r="C8" s="19"/>
      <c r="D8" s="1"/>
      <c r="E8" s="54"/>
      <c r="F8" s="62"/>
      <c r="G8" s="63"/>
    </row>
    <row r="9" spans="1:7" ht="26.4" x14ac:dyDescent="0.25">
      <c r="A9" s="45"/>
      <c r="B9" s="18"/>
      <c r="C9" s="68" t="s">
        <v>46</v>
      </c>
      <c r="D9" s="20"/>
      <c r="E9" s="55"/>
      <c r="F9" s="56"/>
      <c r="G9" s="64"/>
    </row>
    <row r="10" spans="1:7" x14ac:dyDescent="0.25">
      <c r="A10" s="17"/>
      <c r="B10" s="18"/>
      <c r="C10" s="19"/>
      <c r="D10" s="1"/>
      <c r="E10" s="54"/>
      <c r="F10" s="62"/>
      <c r="G10" s="63"/>
    </row>
    <row r="11" spans="1:7" ht="39.6" x14ac:dyDescent="0.25">
      <c r="A11" s="45"/>
      <c r="B11" s="18"/>
      <c r="C11" s="21" t="s">
        <v>90</v>
      </c>
      <c r="D11" s="20" t="s">
        <v>1</v>
      </c>
      <c r="E11" s="55">
        <v>2500</v>
      </c>
      <c r="F11" s="56">
        <v>23</v>
      </c>
      <c r="G11" s="64">
        <f>E11*F11</f>
        <v>57500</v>
      </c>
    </row>
    <row r="12" spans="1:7" x14ac:dyDescent="0.25">
      <c r="A12" s="17"/>
      <c r="B12" s="18"/>
      <c r="C12" s="19"/>
      <c r="D12" s="1"/>
      <c r="E12" s="54"/>
      <c r="F12" s="62"/>
      <c r="G12" s="63"/>
    </row>
    <row r="13" spans="1:7" ht="26.4" x14ac:dyDescent="0.25">
      <c r="A13" s="45"/>
      <c r="B13" s="18"/>
      <c r="C13" s="68" t="s">
        <v>91</v>
      </c>
      <c r="D13" s="20"/>
      <c r="E13" s="55"/>
      <c r="F13" s="56"/>
      <c r="G13" s="64"/>
    </row>
    <row r="14" spans="1:7" x14ac:dyDescent="0.25">
      <c r="A14" s="17"/>
      <c r="B14" s="18"/>
      <c r="C14" s="19"/>
      <c r="D14" s="1"/>
      <c r="E14" s="54"/>
      <c r="F14" s="62"/>
      <c r="G14" s="63"/>
    </row>
    <row r="15" spans="1:7" x14ac:dyDescent="0.25">
      <c r="A15" s="45"/>
      <c r="B15" s="18"/>
      <c r="C15" s="21" t="s">
        <v>47</v>
      </c>
      <c r="D15" s="20" t="s">
        <v>1</v>
      </c>
      <c r="E15" s="55">
        <v>5</v>
      </c>
      <c r="F15" s="56">
        <v>3250</v>
      </c>
      <c r="G15" s="64">
        <f>E15*F15</f>
        <v>16250</v>
      </c>
    </row>
    <row r="16" spans="1:7" x14ac:dyDescent="0.25">
      <c r="A16" s="17"/>
      <c r="B16" s="18"/>
      <c r="C16" s="19"/>
      <c r="D16" s="1"/>
      <c r="E16" s="54"/>
      <c r="F16" s="62"/>
      <c r="G16" s="63"/>
    </row>
    <row r="17" spans="1:7" x14ac:dyDescent="0.25">
      <c r="A17" s="43" t="s">
        <v>33</v>
      </c>
      <c r="B17" s="72" t="s">
        <v>114</v>
      </c>
      <c r="C17" s="22" t="s">
        <v>48</v>
      </c>
      <c r="D17" s="20"/>
      <c r="E17" s="55"/>
      <c r="F17" s="56"/>
      <c r="G17" s="64"/>
    </row>
    <row r="18" spans="1:7" x14ac:dyDescent="0.25">
      <c r="A18" s="17"/>
      <c r="B18" s="18"/>
      <c r="C18" s="19"/>
      <c r="D18" s="1"/>
      <c r="E18" s="54"/>
      <c r="F18" s="62"/>
      <c r="G18" s="63"/>
    </row>
    <row r="19" spans="1:7" ht="26.4" x14ac:dyDescent="0.25">
      <c r="A19" s="45"/>
      <c r="B19" s="18"/>
      <c r="C19" s="68" t="s">
        <v>92</v>
      </c>
      <c r="D19" s="20" t="s">
        <v>1</v>
      </c>
      <c r="E19" s="55"/>
      <c r="F19" s="56"/>
      <c r="G19" s="64" t="s">
        <v>86</v>
      </c>
    </row>
    <row r="20" spans="1:7" x14ac:dyDescent="0.25">
      <c r="A20" s="17"/>
      <c r="B20" s="18"/>
      <c r="C20" s="19"/>
      <c r="D20" s="1"/>
      <c r="E20" s="54"/>
      <c r="F20" s="62"/>
      <c r="G20" s="63"/>
    </row>
    <row r="21" spans="1:7" ht="26.4" x14ac:dyDescent="0.25">
      <c r="A21" s="43" t="s">
        <v>50</v>
      </c>
      <c r="B21" s="72" t="s">
        <v>115</v>
      </c>
      <c r="C21" s="22" t="s">
        <v>49</v>
      </c>
      <c r="D21" s="20"/>
      <c r="E21" s="55"/>
      <c r="F21" s="56"/>
      <c r="G21" s="64"/>
    </row>
    <row r="22" spans="1:7" x14ac:dyDescent="0.25">
      <c r="A22" s="17"/>
      <c r="B22" s="18"/>
      <c r="C22" s="19"/>
      <c r="D22" s="1"/>
      <c r="E22" s="54"/>
      <c r="F22" s="62"/>
      <c r="G22" s="63"/>
    </row>
    <row r="23" spans="1:7" ht="26.4" x14ac:dyDescent="0.25">
      <c r="A23" s="45"/>
      <c r="B23" s="18"/>
      <c r="C23" s="68" t="s">
        <v>103</v>
      </c>
      <c r="D23" s="20"/>
      <c r="E23" s="55"/>
      <c r="F23" s="56"/>
      <c r="G23" s="64"/>
    </row>
    <row r="24" spans="1:7" x14ac:dyDescent="0.25">
      <c r="A24" s="17"/>
      <c r="B24" s="18"/>
      <c r="C24" s="19"/>
      <c r="D24" s="1"/>
      <c r="E24" s="54"/>
      <c r="F24" s="62"/>
      <c r="G24" s="63"/>
    </row>
    <row r="25" spans="1:7" ht="39.6" x14ac:dyDescent="0.25">
      <c r="A25" s="45"/>
      <c r="B25" s="18"/>
      <c r="C25" s="21" t="s">
        <v>87</v>
      </c>
      <c r="D25" s="20" t="s">
        <v>1</v>
      </c>
      <c r="E25" s="55"/>
      <c r="F25" s="56"/>
      <c r="G25" s="64" t="s">
        <v>86</v>
      </c>
    </row>
    <row r="26" spans="1:7" x14ac:dyDescent="0.25">
      <c r="A26" s="17"/>
      <c r="B26" s="18"/>
      <c r="C26" s="19"/>
      <c r="D26" s="1"/>
      <c r="E26" s="54"/>
      <c r="F26" s="62"/>
      <c r="G26" s="63"/>
    </row>
    <row r="27" spans="1:7" x14ac:dyDescent="0.25">
      <c r="A27" s="43" t="s">
        <v>93</v>
      </c>
      <c r="B27" s="72" t="s">
        <v>116</v>
      </c>
      <c r="C27" s="22" t="s">
        <v>51</v>
      </c>
      <c r="D27" s="20"/>
      <c r="E27" s="55"/>
      <c r="F27" s="56"/>
      <c r="G27" s="64"/>
    </row>
    <row r="28" spans="1:7" x14ac:dyDescent="0.25">
      <c r="A28" s="17"/>
      <c r="B28" s="18"/>
      <c r="C28" s="19"/>
      <c r="D28" s="1"/>
      <c r="E28" s="54"/>
      <c r="F28" s="62"/>
      <c r="G28" s="63"/>
    </row>
    <row r="29" spans="1:7" ht="39.6" x14ac:dyDescent="0.25">
      <c r="A29" s="45"/>
      <c r="B29" s="18"/>
      <c r="C29" s="19" t="s">
        <v>94</v>
      </c>
      <c r="D29" s="20" t="s">
        <v>1</v>
      </c>
      <c r="E29" s="55">
        <v>5500</v>
      </c>
      <c r="F29" s="56">
        <v>755</v>
      </c>
      <c r="G29" s="64">
        <f>E29*F29</f>
        <v>4152500</v>
      </c>
    </row>
    <row r="30" spans="1:7" x14ac:dyDescent="0.25">
      <c r="A30" s="17"/>
      <c r="B30" s="18"/>
      <c r="C30" s="19"/>
      <c r="D30" s="1"/>
      <c r="E30" s="54"/>
      <c r="F30" s="62"/>
      <c r="G30" s="63"/>
    </row>
    <row r="31" spans="1:7" x14ac:dyDescent="0.25">
      <c r="A31" s="17"/>
      <c r="B31" s="18"/>
      <c r="C31" s="19"/>
      <c r="D31" s="1"/>
      <c r="E31" s="54"/>
      <c r="F31" s="62"/>
      <c r="G31" s="63"/>
    </row>
    <row r="32" spans="1:7" x14ac:dyDescent="0.25">
      <c r="A32" s="17"/>
      <c r="B32" s="18"/>
      <c r="C32" s="19"/>
      <c r="D32" s="1"/>
      <c r="E32" s="54"/>
      <c r="F32" s="62"/>
      <c r="G32" s="63"/>
    </row>
    <row r="33" spans="1:7" x14ac:dyDescent="0.25">
      <c r="A33" s="17"/>
      <c r="B33" s="18"/>
      <c r="C33" s="19"/>
      <c r="D33" s="1"/>
      <c r="E33" s="54"/>
      <c r="F33" s="62"/>
      <c r="G33" s="63"/>
    </row>
    <row r="34" spans="1:7" x14ac:dyDescent="0.25">
      <c r="A34" s="17"/>
      <c r="B34" s="18"/>
      <c r="C34" s="19"/>
      <c r="D34" s="1"/>
      <c r="E34" s="54"/>
      <c r="F34" s="62"/>
      <c r="G34" s="63"/>
    </row>
    <row r="35" spans="1:7" x14ac:dyDescent="0.25">
      <c r="A35" s="17"/>
      <c r="B35" s="18"/>
      <c r="C35" s="19"/>
      <c r="D35" s="1"/>
      <c r="E35" s="54"/>
      <c r="F35" s="62"/>
      <c r="G35" s="63"/>
    </row>
    <row r="36" spans="1:7" x14ac:dyDescent="0.25">
      <c r="A36" s="17"/>
      <c r="B36" s="18"/>
      <c r="C36" s="19"/>
      <c r="D36" s="1"/>
      <c r="E36" s="54"/>
      <c r="F36" s="62"/>
      <c r="G36" s="63"/>
    </row>
    <row r="37" spans="1:7" x14ac:dyDescent="0.25">
      <c r="A37" s="17"/>
      <c r="B37" s="18"/>
      <c r="C37" s="19"/>
      <c r="D37" s="1"/>
      <c r="E37" s="54"/>
      <c r="F37" s="62"/>
      <c r="G37" s="63"/>
    </row>
    <row r="38" spans="1:7" x14ac:dyDescent="0.25">
      <c r="A38" s="17"/>
      <c r="B38" s="18"/>
      <c r="C38" s="19"/>
      <c r="D38" s="1"/>
      <c r="E38" s="54"/>
      <c r="F38" s="62"/>
      <c r="G38" s="63"/>
    </row>
    <row r="39" spans="1:7" x14ac:dyDescent="0.25">
      <c r="A39" s="17"/>
      <c r="B39" s="18"/>
      <c r="C39" s="19"/>
      <c r="D39" s="1"/>
      <c r="E39" s="54"/>
      <c r="F39" s="62"/>
      <c r="G39" s="63"/>
    </row>
    <row r="40" spans="1:7" x14ac:dyDescent="0.25">
      <c r="A40" s="17"/>
      <c r="B40" s="18"/>
      <c r="C40" s="19"/>
      <c r="D40" s="1"/>
      <c r="E40" s="54"/>
      <c r="F40" s="62"/>
      <c r="G40" s="63"/>
    </row>
    <row r="41" spans="1:7" x14ac:dyDescent="0.25">
      <c r="A41" s="17"/>
      <c r="B41" s="18"/>
      <c r="C41" s="19"/>
      <c r="D41" s="1"/>
      <c r="E41" s="54"/>
      <c r="F41" s="62"/>
      <c r="G41" s="63"/>
    </row>
    <row r="42" spans="1:7" x14ac:dyDescent="0.25">
      <c r="A42" s="17"/>
      <c r="B42" s="18"/>
      <c r="C42" s="19"/>
      <c r="D42" s="1"/>
      <c r="E42" s="54"/>
      <c r="F42" s="62"/>
      <c r="G42" s="63"/>
    </row>
    <row r="43" spans="1:7" x14ac:dyDescent="0.25">
      <c r="A43" s="17"/>
      <c r="B43" s="18"/>
      <c r="C43" s="19"/>
      <c r="D43" s="1"/>
      <c r="E43" s="54"/>
      <c r="F43" s="62"/>
      <c r="G43" s="63"/>
    </row>
    <row r="44" spans="1:7" x14ac:dyDescent="0.25">
      <c r="A44" s="17"/>
      <c r="B44" s="18"/>
      <c r="C44" s="19"/>
      <c r="D44" s="1"/>
      <c r="E44" s="54"/>
      <c r="F44" s="62"/>
      <c r="G44" s="63"/>
    </row>
    <row r="45" spans="1:7" x14ac:dyDescent="0.25">
      <c r="A45" s="17"/>
      <c r="B45" s="18"/>
      <c r="C45" s="19"/>
      <c r="D45" s="1"/>
      <c r="E45" s="54"/>
      <c r="F45" s="62"/>
      <c r="G45" s="63"/>
    </row>
    <row r="46" spans="1:7" x14ac:dyDescent="0.25">
      <c r="A46" s="23"/>
      <c r="B46" s="69"/>
      <c r="C46" s="24"/>
      <c r="D46" s="25"/>
      <c r="E46" s="57"/>
      <c r="F46" s="26"/>
      <c r="G46" s="27"/>
    </row>
    <row r="47" spans="1:7" x14ac:dyDescent="0.25">
      <c r="A47" s="58" t="s">
        <v>117</v>
      </c>
      <c r="B47" s="59" t="s">
        <v>78</v>
      </c>
      <c r="C47" s="59"/>
      <c r="D47" s="28"/>
      <c r="E47" s="60"/>
      <c r="F47" s="70"/>
      <c r="G47" s="76">
        <f>G11+G15+G29</f>
        <v>4226250</v>
      </c>
    </row>
    <row r="48" spans="1:7" x14ac:dyDescent="0.25">
      <c r="A48" s="29"/>
      <c r="B48" s="71"/>
      <c r="C48" s="30"/>
      <c r="D48" s="31"/>
      <c r="E48" s="61"/>
      <c r="F48" s="32"/>
      <c r="G48" s="33"/>
    </row>
  </sheetData>
  <phoneticPr fontId="19" type="noConversion"/>
  <pageMargins left="0.39370078740157483" right="0.39370078740157483" top="0.47244094488188981" bottom="0.47244094488188981" header="0.19685039370078741" footer="0.19685039370078741"/>
  <pageSetup paperSize="9" fitToHeight="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0000"/>
  </sheetPr>
  <dimension ref="A1:G51"/>
  <sheetViews>
    <sheetView view="pageBreakPreview" topLeftCell="B26" zoomScaleNormal="100" zoomScaleSheetLayoutView="100" workbookViewId="0">
      <selection activeCell="G51" sqref="G51"/>
    </sheetView>
  </sheetViews>
  <sheetFormatPr defaultColWidth="18.6640625" defaultRowHeight="13.2" x14ac:dyDescent="0.25"/>
  <cols>
    <col min="1" max="1" width="10.6640625" customWidth="1"/>
    <col min="2" max="2" width="7.6640625" customWidth="1"/>
    <col min="3" max="3" width="32.6640625" customWidth="1"/>
    <col min="4" max="4" width="8.6640625" customWidth="1"/>
    <col min="5" max="6" width="9.6640625" customWidth="1"/>
    <col min="7" max="7" width="12.6640625" customWidth="1"/>
  </cols>
  <sheetData>
    <row r="1" spans="1:7" x14ac:dyDescent="0.25">
      <c r="A1" s="46"/>
      <c r="B1" s="46"/>
      <c r="C1" s="46"/>
      <c r="D1" s="46"/>
      <c r="E1" s="47"/>
      <c r="F1" s="47"/>
      <c r="G1" s="65" t="s">
        <v>81</v>
      </c>
    </row>
    <row r="2" spans="1:7" x14ac:dyDescent="0.25">
      <c r="A2" s="41" t="s">
        <v>26</v>
      </c>
      <c r="B2" s="11"/>
      <c r="C2" s="12"/>
      <c r="D2" s="13"/>
      <c r="E2" s="14"/>
      <c r="F2" s="14"/>
      <c r="G2" s="14"/>
    </row>
    <row r="3" spans="1:7" x14ac:dyDescent="0.25">
      <c r="A3" s="9" t="s">
        <v>27</v>
      </c>
      <c r="B3" s="44" t="s">
        <v>9</v>
      </c>
      <c r="C3" s="48" t="s">
        <v>4</v>
      </c>
      <c r="D3" s="48" t="s">
        <v>5</v>
      </c>
      <c r="E3" s="49" t="s">
        <v>6</v>
      </c>
      <c r="F3" s="50" t="s">
        <v>7</v>
      </c>
      <c r="G3" s="49" t="s">
        <v>8</v>
      </c>
    </row>
    <row r="4" spans="1:7" x14ac:dyDescent="0.25">
      <c r="A4" s="42" t="s">
        <v>28</v>
      </c>
      <c r="B4" s="15" t="s">
        <v>25</v>
      </c>
      <c r="C4" s="51"/>
      <c r="D4" s="51"/>
      <c r="E4" s="52"/>
      <c r="F4" s="53"/>
      <c r="G4" s="52"/>
    </row>
    <row r="5" spans="1:7" ht="26.4" x14ac:dyDescent="0.25">
      <c r="A5" s="73" t="s">
        <v>57</v>
      </c>
      <c r="B5" s="77">
        <v>214</v>
      </c>
      <c r="C5" s="22" t="s">
        <v>58</v>
      </c>
      <c r="D5" s="16"/>
      <c r="E5" s="54"/>
      <c r="F5" s="66"/>
      <c r="G5" s="67"/>
    </row>
    <row r="6" spans="1:7" x14ac:dyDescent="0.25">
      <c r="A6" s="17"/>
      <c r="B6" s="18"/>
      <c r="C6" s="19"/>
      <c r="D6" s="1"/>
      <c r="E6" s="54"/>
      <c r="F6" s="62"/>
      <c r="G6" s="63"/>
    </row>
    <row r="7" spans="1:7" ht="26.4" x14ac:dyDescent="0.25">
      <c r="A7" s="43" t="s">
        <v>13</v>
      </c>
      <c r="B7" s="72" t="s">
        <v>118</v>
      </c>
      <c r="C7" s="22" t="s">
        <v>59</v>
      </c>
      <c r="D7" s="20"/>
      <c r="E7" s="55"/>
      <c r="F7" s="56"/>
      <c r="G7" s="64"/>
    </row>
    <row r="8" spans="1:7" x14ac:dyDescent="0.25">
      <c r="A8" s="17"/>
      <c r="B8" s="18"/>
      <c r="C8" s="19"/>
      <c r="D8" s="1"/>
      <c r="E8" s="54"/>
      <c r="F8" s="62"/>
      <c r="G8" s="63"/>
    </row>
    <row r="9" spans="1:7" x14ac:dyDescent="0.25">
      <c r="A9" s="45"/>
      <c r="B9" s="18"/>
      <c r="C9" s="68" t="s">
        <v>60</v>
      </c>
      <c r="D9" s="20"/>
      <c r="E9" s="55"/>
      <c r="F9" s="56"/>
      <c r="G9" s="64"/>
    </row>
    <row r="10" spans="1:7" x14ac:dyDescent="0.25">
      <c r="A10" s="17"/>
      <c r="B10" s="18"/>
      <c r="C10" s="19"/>
      <c r="D10" s="1"/>
      <c r="E10" s="54"/>
      <c r="F10" s="62"/>
      <c r="G10" s="63"/>
    </row>
    <row r="11" spans="1:7" x14ac:dyDescent="0.25">
      <c r="A11" s="45"/>
      <c r="B11" s="18"/>
      <c r="C11" s="21" t="s">
        <v>95</v>
      </c>
      <c r="D11" s="20" t="s">
        <v>0</v>
      </c>
      <c r="E11" s="55">
        <v>32</v>
      </c>
      <c r="F11" s="56">
        <v>4250</v>
      </c>
      <c r="G11" s="64">
        <f>E11*F11</f>
        <v>136000</v>
      </c>
    </row>
    <row r="12" spans="1:7" x14ac:dyDescent="0.25">
      <c r="A12" s="17"/>
      <c r="B12" s="18"/>
      <c r="C12" s="19"/>
      <c r="D12" s="1"/>
      <c r="E12" s="54"/>
      <c r="F12" s="62"/>
      <c r="G12" s="63"/>
    </row>
    <row r="13" spans="1:7" x14ac:dyDescent="0.25">
      <c r="A13" s="43"/>
      <c r="B13" s="72" t="s">
        <v>119</v>
      </c>
      <c r="C13" s="22" t="s">
        <v>61</v>
      </c>
      <c r="D13" s="20"/>
      <c r="E13" s="55"/>
      <c r="F13" s="56"/>
      <c r="G13" s="64"/>
    </row>
    <row r="14" spans="1:7" x14ac:dyDescent="0.25">
      <c r="A14" s="17"/>
      <c r="B14" s="18"/>
      <c r="C14" s="19"/>
      <c r="D14" s="1"/>
      <c r="E14" s="54"/>
      <c r="F14" s="62"/>
      <c r="G14" s="63"/>
    </row>
    <row r="15" spans="1:7" x14ac:dyDescent="0.25">
      <c r="A15" s="45" t="s">
        <v>41</v>
      </c>
      <c r="B15" s="18"/>
      <c r="C15" s="19" t="s">
        <v>62</v>
      </c>
      <c r="D15" s="20" t="s">
        <v>2</v>
      </c>
      <c r="E15" s="55">
        <v>100</v>
      </c>
      <c r="F15" s="56">
        <v>560</v>
      </c>
      <c r="G15" s="64">
        <f>E15*F15</f>
        <v>56000</v>
      </c>
    </row>
    <row r="16" spans="1:7" x14ac:dyDescent="0.25">
      <c r="A16" s="17"/>
      <c r="B16" s="18"/>
      <c r="C16" s="19"/>
      <c r="D16" s="1"/>
      <c r="E16" s="54"/>
      <c r="F16" s="62"/>
      <c r="G16" s="63"/>
    </row>
    <row r="17" spans="1:7" x14ac:dyDescent="0.25">
      <c r="A17" s="43">
        <v>8.3000000000000007</v>
      </c>
      <c r="B17" s="72" t="s">
        <v>120</v>
      </c>
      <c r="C17" s="22" t="s">
        <v>53</v>
      </c>
      <c r="D17" s="20"/>
      <c r="E17" s="55"/>
      <c r="F17" s="56"/>
      <c r="G17" s="64"/>
    </row>
    <row r="18" spans="1:7" x14ac:dyDescent="0.25">
      <c r="A18" s="17"/>
      <c r="B18" s="18"/>
      <c r="C18" s="19"/>
      <c r="D18" s="1"/>
      <c r="E18" s="54"/>
      <c r="F18" s="62"/>
      <c r="G18" s="63"/>
    </row>
    <row r="19" spans="1:7" ht="26.4" x14ac:dyDescent="0.25">
      <c r="A19" s="45" t="s">
        <v>44</v>
      </c>
      <c r="B19" s="18"/>
      <c r="C19" s="19" t="s">
        <v>96</v>
      </c>
      <c r="D19" s="20" t="s">
        <v>2</v>
      </c>
      <c r="E19" s="55">
        <v>100</v>
      </c>
      <c r="F19" s="56">
        <v>365</v>
      </c>
      <c r="G19" s="64">
        <f>E19*F19</f>
        <v>36500</v>
      </c>
    </row>
    <row r="20" spans="1:7" x14ac:dyDescent="0.25">
      <c r="A20" s="17"/>
      <c r="B20" s="18"/>
      <c r="C20" s="19"/>
      <c r="D20" s="1"/>
      <c r="E20" s="54"/>
      <c r="F20" s="62"/>
      <c r="G20" s="63"/>
    </row>
    <row r="21" spans="1:7" ht="26.4" x14ac:dyDescent="0.25">
      <c r="A21" s="45"/>
      <c r="B21" s="18"/>
      <c r="C21" s="19" t="s">
        <v>97</v>
      </c>
      <c r="D21" s="20" t="s">
        <v>2</v>
      </c>
      <c r="E21" s="55">
        <v>80</v>
      </c>
      <c r="F21" s="56">
        <v>465</v>
      </c>
      <c r="G21" s="64">
        <f>E21*F21</f>
        <v>37200</v>
      </c>
    </row>
    <row r="22" spans="1:7" x14ac:dyDescent="0.25">
      <c r="A22" s="17"/>
      <c r="B22" s="18"/>
      <c r="C22" s="19"/>
      <c r="D22" s="1"/>
      <c r="E22" s="54"/>
      <c r="F22" s="62"/>
      <c r="G22" s="63"/>
    </row>
    <row r="23" spans="1:7" x14ac:dyDescent="0.25">
      <c r="A23" s="43">
        <v>8.4</v>
      </c>
      <c r="B23" s="72" t="s">
        <v>121</v>
      </c>
      <c r="C23" s="22" t="s">
        <v>63</v>
      </c>
      <c r="D23" s="20"/>
      <c r="E23" s="55"/>
      <c r="F23" s="56"/>
      <c r="G23" s="64"/>
    </row>
    <row r="24" spans="1:7" x14ac:dyDescent="0.25">
      <c r="A24" s="17"/>
      <c r="B24" s="18"/>
      <c r="C24" s="19"/>
      <c r="D24" s="1"/>
      <c r="E24" s="54"/>
      <c r="F24" s="62"/>
      <c r="G24" s="63"/>
    </row>
    <row r="25" spans="1:7" x14ac:dyDescent="0.25">
      <c r="A25" s="45" t="s">
        <v>56</v>
      </c>
      <c r="B25" s="18"/>
      <c r="C25" s="68" t="s">
        <v>64</v>
      </c>
      <c r="D25" s="20"/>
      <c r="E25" s="55"/>
      <c r="F25" s="56"/>
      <c r="G25" s="64"/>
    </row>
    <row r="26" spans="1:7" x14ac:dyDescent="0.25">
      <c r="A26" s="17"/>
      <c r="B26" s="18"/>
      <c r="C26" s="19"/>
      <c r="D26" s="1"/>
      <c r="E26" s="54"/>
      <c r="F26" s="62"/>
      <c r="G26" s="63"/>
    </row>
    <row r="27" spans="1:7" ht="26.4" x14ac:dyDescent="0.25">
      <c r="A27" s="45"/>
      <c r="B27" s="18"/>
      <c r="C27" s="21" t="s">
        <v>98</v>
      </c>
      <c r="D27" s="20" t="s">
        <v>2</v>
      </c>
      <c r="E27" s="55">
        <v>60</v>
      </c>
      <c r="F27" s="56">
        <v>165</v>
      </c>
      <c r="G27" s="64">
        <f>E27*F27</f>
        <v>9900</v>
      </c>
    </row>
    <row r="28" spans="1:7" x14ac:dyDescent="0.25">
      <c r="A28" s="17"/>
      <c r="B28" s="18"/>
      <c r="C28" s="19"/>
      <c r="D28" s="1"/>
      <c r="E28" s="54"/>
      <c r="F28" s="62"/>
      <c r="G28" s="63"/>
    </row>
    <row r="29" spans="1:7" x14ac:dyDescent="0.25">
      <c r="A29" s="45" t="s">
        <v>65</v>
      </c>
      <c r="B29" s="18"/>
      <c r="C29" s="68" t="s">
        <v>66</v>
      </c>
      <c r="D29" s="20"/>
      <c r="E29" s="55"/>
      <c r="F29" s="56"/>
      <c r="G29" s="64"/>
    </row>
    <row r="30" spans="1:7" x14ac:dyDescent="0.25">
      <c r="A30" s="17"/>
      <c r="B30" s="18"/>
      <c r="C30" s="19"/>
      <c r="D30" s="1"/>
      <c r="E30" s="54"/>
      <c r="F30" s="62"/>
      <c r="G30" s="63"/>
    </row>
    <row r="31" spans="1:7" ht="26.4" x14ac:dyDescent="0.25">
      <c r="A31" s="45"/>
      <c r="B31" s="18"/>
      <c r="C31" s="21" t="s">
        <v>99</v>
      </c>
      <c r="D31" s="20" t="s">
        <v>1</v>
      </c>
      <c r="E31" s="55">
        <v>44</v>
      </c>
      <c r="F31" s="56">
        <v>3250</v>
      </c>
      <c r="G31" s="64">
        <f>E31*F31</f>
        <v>143000</v>
      </c>
    </row>
    <row r="32" spans="1:7" x14ac:dyDescent="0.25">
      <c r="A32" s="17"/>
      <c r="B32" s="18"/>
      <c r="C32" s="19"/>
      <c r="D32" s="1"/>
      <c r="E32" s="54"/>
      <c r="F32" s="62"/>
      <c r="G32" s="63"/>
    </row>
    <row r="33" spans="1:7" ht="26.4" x14ac:dyDescent="0.25">
      <c r="A33" s="45"/>
      <c r="B33" s="18"/>
      <c r="C33" s="21" t="s">
        <v>100</v>
      </c>
      <c r="D33" s="20" t="s">
        <v>1</v>
      </c>
      <c r="E33" s="55">
        <v>5</v>
      </c>
      <c r="F33" s="56">
        <v>3250</v>
      </c>
      <c r="G33" s="64">
        <f>E33*F33</f>
        <v>16250</v>
      </c>
    </row>
    <row r="34" spans="1:7" x14ac:dyDescent="0.25">
      <c r="A34" s="17"/>
      <c r="B34" s="18"/>
      <c r="C34" s="19"/>
      <c r="D34" s="1"/>
      <c r="E34" s="54"/>
      <c r="F34" s="62"/>
      <c r="G34" s="63"/>
    </row>
    <row r="35" spans="1:7" x14ac:dyDescent="0.25">
      <c r="A35" s="45" t="s">
        <v>67</v>
      </c>
      <c r="B35" s="18"/>
      <c r="C35" s="68" t="s">
        <v>68</v>
      </c>
      <c r="D35" s="20"/>
      <c r="E35" s="55"/>
      <c r="F35" s="56"/>
      <c r="G35" s="64"/>
    </row>
    <row r="36" spans="1:7" x14ac:dyDescent="0.25">
      <c r="A36" s="17"/>
      <c r="B36" s="18"/>
      <c r="C36" s="19"/>
      <c r="D36" s="1"/>
      <c r="E36" s="54"/>
      <c r="F36" s="62"/>
      <c r="G36" s="63"/>
    </row>
    <row r="37" spans="1:7" x14ac:dyDescent="0.25">
      <c r="A37" s="45"/>
      <c r="B37" s="18"/>
      <c r="C37" s="21" t="s">
        <v>69</v>
      </c>
      <c r="D37" s="20" t="s">
        <v>2</v>
      </c>
      <c r="E37" s="55">
        <v>57</v>
      </c>
      <c r="F37" s="56">
        <v>60</v>
      </c>
      <c r="G37" s="64">
        <f>E37*F37</f>
        <v>3420</v>
      </c>
    </row>
    <row r="38" spans="1:7" x14ac:dyDescent="0.25">
      <c r="A38" s="17"/>
      <c r="B38" s="18"/>
      <c r="C38" s="19"/>
      <c r="D38" s="1"/>
      <c r="E38" s="54"/>
      <c r="F38" s="62"/>
      <c r="G38" s="63"/>
    </row>
    <row r="39" spans="1:7" x14ac:dyDescent="0.25">
      <c r="A39" s="73"/>
      <c r="B39" s="77"/>
      <c r="C39" s="22"/>
      <c r="D39" s="16"/>
      <c r="E39" s="54"/>
      <c r="F39" s="66"/>
      <c r="G39" s="67"/>
    </row>
    <row r="40" spans="1:7" x14ac:dyDescent="0.25">
      <c r="A40" s="17"/>
      <c r="B40" s="18"/>
      <c r="C40" s="19"/>
      <c r="D40" s="1"/>
      <c r="E40" s="54"/>
      <c r="F40" s="62"/>
      <c r="G40" s="63"/>
    </row>
    <row r="41" spans="1:7" x14ac:dyDescent="0.25">
      <c r="A41" s="17"/>
      <c r="B41" s="18"/>
      <c r="C41" s="19"/>
      <c r="D41" s="1"/>
      <c r="E41" s="54"/>
      <c r="F41" s="62"/>
      <c r="G41" s="63"/>
    </row>
    <row r="42" spans="1:7" x14ac:dyDescent="0.25">
      <c r="A42" s="17"/>
      <c r="B42" s="18"/>
      <c r="C42" s="19"/>
      <c r="D42" s="1"/>
      <c r="E42" s="54"/>
      <c r="F42" s="62"/>
      <c r="G42" s="63"/>
    </row>
    <row r="43" spans="1:7" x14ac:dyDescent="0.25">
      <c r="A43" s="17"/>
      <c r="B43" s="18"/>
      <c r="C43" s="19"/>
      <c r="D43" s="1"/>
      <c r="E43" s="54"/>
      <c r="F43" s="62"/>
      <c r="G43" s="63"/>
    </row>
    <row r="44" spans="1:7" x14ac:dyDescent="0.25">
      <c r="A44" s="17"/>
      <c r="B44" s="18"/>
      <c r="C44" s="19"/>
      <c r="D44" s="1"/>
      <c r="E44" s="54"/>
      <c r="F44" s="62"/>
      <c r="G44" s="63"/>
    </row>
    <row r="45" spans="1:7" x14ac:dyDescent="0.25">
      <c r="A45" s="17"/>
      <c r="B45" s="18"/>
      <c r="C45" s="19"/>
      <c r="D45" s="1"/>
      <c r="E45" s="54"/>
      <c r="F45" s="62"/>
      <c r="G45" s="63"/>
    </row>
    <row r="46" spans="1:7" x14ac:dyDescent="0.25">
      <c r="A46" s="17"/>
      <c r="B46" s="18"/>
      <c r="C46" s="19"/>
      <c r="D46" s="1"/>
      <c r="E46" s="54"/>
      <c r="F46" s="62"/>
      <c r="G46" s="63"/>
    </row>
    <row r="47" spans="1:7" x14ac:dyDescent="0.25">
      <c r="A47" s="17"/>
      <c r="B47" s="18"/>
      <c r="C47" s="19"/>
      <c r="D47" s="1"/>
      <c r="E47" s="54"/>
      <c r="F47" s="62"/>
      <c r="G47" s="63"/>
    </row>
    <row r="48" spans="1:7" x14ac:dyDescent="0.25">
      <c r="A48" s="17"/>
      <c r="B48" s="18"/>
      <c r="C48" s="19"/>
      <c r="D48" s="1"/>
      <c r="E48" s="54"/>
      <c r="F48" s="62"/>
      <c r="G48" s="63"/>
    </row>
    <row r="49" spans="1:7" x14ac:dyDescent="0.25">
      <c r="A49" s="23"/>
      <c r="B49" s="69"/>
      <c r="C49" s="24"/>
      <c r="D49" s="25"/>
      <c r="E49" s="57"/>
      <c r="F49" s="26"/>
      <c r="G49" s="27"/>
    </row>
    <row r="50" spans="1:7" x14ac:dyDescent="0.25">
      <c r="A50" s="58" t="s">
        <v>122</v>
      </c>
      <c r="B50" s="59" t="s">
        <v>78</v>
      </c>
      <c r="C50" s="59"/>
      <c r="D50" s="28"/>
      <c r="E50" s="60"/>
      <c r="F50" s="70"/>
      <c r="G50" s="76">
        <f>SUM(G11:G37)</f>
        <v>438270</v>
      </c>
    </row>
    <row r="51" spans="1:7" x14ac:dyDescent="0.25">
      <c r="A51" s="29"/>
      <c r="B51" s="71"/>
      <c r="C51" s="30"/>
      <c r="D51" s="31"/>
      <c r="E51" s="61"/>
      <c r="F51" s="32"/>
      <c r="G51" s="33"/>
    </row>
  </sheetData>
  <phoneticPr fontId="19" type="noConversion"/>
  <pageMargins left="0.39370078740157483" right="0.39370078740157483" top="0.47244094488188981" bottom="0.47244094488188981" header="0.19685039370078741" footer="0.19685039370078741"/>
  <pageSetup paperSize="9" fitToHeight="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FF0000"/>
  </sheetPr>
  <dimension ref="A1:G53"/>
  <sheetViews>
    <sheetView view="pageBreakPreview" topLeftCell="B28" zoomScaleNormal="100" zoomScaleSheetLayoutView="100" workbookViewId="0">
      <selection activeCell="G53" sqref="G53"/>
    </sheetView>
  </sheetViews>
  <sheetFormatPr defaultColWidth="18.6640625" defaultRowHeight="13.2" x14ac:dyDescent="0.25"/>
  <cols>
    <col min="1" max="1" width="10.6640625" customWidth="1"/>
    <col min="2" max="2" width="7.6640625" customWidth="1"/>
    <col min="3" max="3" width="32.6640625" customWidth="1"/>
    <col min="4" max="4" width="8.6640625" customWidth="1"/>
    <col min="5" max="6" width="9.6640625" customWidth="1"/>
    <col min="7" max="7" width="12.6640625" customWidth="1"/>
  </cols>
  <sheetData>
    <row r="1" spans="1:7" x14ac:dyDescent="0.25">
      <c r="A1" s="46"/>
      <c r="B1" s="46"/>
      <c r="C1" s="46"/>
      <c r="D1" s="46"/>
      <c r="E1" s="47"/>
      <c r="F1" s="47"/>
      <c r="G1" s="65" t="s">
        <v>82</v>
      </c>
    </row>
    <row r="2" spans="1:7" x14ac:dyDescent="0.25">
      <c r="A2" s="41" t="s">
        <v>26</v>
      </c>
      <c r="B2" s="11"/>
      <c r="C2" s="12"/>
      <c r="D2" s="13"/>
      <c r="E2" s="14"/>
      <c r="F2" s="14"/>
      <c r="G2" s="14"/>
    </row>
    <row r="3" spans="1:7" x14ac:dyDescent="0.25">
      <c r="A3" s="9" t="s">
        <v>27</v>
      </c>
      <c r="B3" s="44" t="s">
        <v>9</v>
      </c>
      <c r="C3" s="48" t="s">
        <v>4</v>
      </c>
      <c r="D3" s="48" t="s">
        <v>5</v>
      </c>
      <c r="E3" s="49" t="s">
        <v>6</v>
      </c>
      <c r="F3" s="50" t="s">
        <v>7</v>
      </c>
      <c r="G3" s="49" t="s">
        <v>8</v>
      </c>
    </row>
    <row r="4" spans="1:7" x14ac:dyDescent="0.25">
      <c r="A4" s="42" t="s">
        <v>28</v>
      </c>
      <c r="B4" s="15" t="s">
        <v>25</v>
      </c>
      <c r="C4" s="51"/>
      <c r="D4" s="51"/>
      <c r="E4" s="52"/>
      <c r="F4" s="53"/>
      <c r="G4" s="52"/>
    </row>
    <row r="5" spans="1:7" ht="26.4" x14ac:dyDescent="0.25">
      <c r="A5" s="73" t="s">
        <v>70</v>
      </c>
      <c r="B5" s="77">
        <v>229</v>
      </c>
      <c r="C5" s="22" t="s">
        <v>71</v>
      </c>
      <c r="D5" s="16"/>
      <c r="E5" s="54"/>
      <c r="F5" s="66"/>
      <c r="G5" s="67"/>
    </row>
    <row r="6" spans="1:7" x14ac:dyDescent="0.25">
      <c r="A6" s="17"/>
      <c r="B6" s="18"/>
      <c r="C6" s="19"/>
      <c r="D6" s="1"/>
      <c r="E6" s="54"/>
      <c r="F6" s="62"/>
      <c r="G6" s="63"/>
    </row>
    <row r="7" spans="1:7" x14ac:dyDescent="0.25">
      <c r="A7" s="73"/>
      <c r="B7" s="77"/>
      <c r="C7" s="22" t="s">
        <v>72</v>
      </c>
      <c r="D7" s="16"/>
      <c r="E7" s="54"/>
      <c r="F7" s="66"/>
      <c r="G7" s="67"/>
    </row>
    <row r="8" spans="1:7" x14ac:dyDescent="0.25">
      <c r="A8" s="17"/>
      <c r="B8" s="18"/>
      <c r="C8" s="19"/>
      <c r="D8" s="1"/>
      <c r="E8" s="54"/>
      <c r="F8" s="62"/>
      <c r="G8" s="63"/>
    </row>
    <row r="9" spans="1:7" x14ac:dyDescent="0.25">
      <c r="A9" s="43" t="s">
        <v>41</v>
      </c>
      <c r="B9" s="72" t="s">
        <v>123</v>
      </c>
      <c r="C9" s="22" t="s">
        <v>73</v>
      </c>
      <c r="D9" s="20"/>
      <c r="E9" s="55"/>
      <c r="F9" s="56"/>
      <c r="G9" s="64"/>
    </row>
    <row r="10" spans="1:7" x14ac:dyDescent="0.25">
      <c r="A10" s="17"/>
      <c r="B10" s="18"/>
      <c r="C10" s="19"/>
      <c r="D10" s="1"/>
      <c r="E10" s="54"/>
      <c r="F10" s="62"/>
      <c r="G10" s="63"/>
    </row>
    <row r="11" spans="1:7" x14ac:dyDescent="0.25">
      <c r="A11" s="45"/>
      <c r="B11" s="18"/>
      <c r="C11" s="19" t="s">
        <v>74</v>
      </c>
      <c r="D11" s="20" t="s">
        <v>0</v>
      </c>
      <c r="E11" s="55">
        <v>20</v>
      </c>
      <c r="F11" s="56">
        <v>10000</v>
      </c>
      <c r="G11" s="64">
        <f>E11*F11</f>
        <v>200000</v>
      </c>
    </row>
    <row r="12" spans="1:7" x14ac:dyDescent="0.25">
      <c r="A12" s="17"/>
      <c r="B12" s="18"/>
      <c r="C12" s="19"/>
      <c r="D12" s="1"/>
      <c r="E12" s="54"/>
      <c r="F12" s="62"/>
      <c r="G12" s="63"/>
    </row>
    <row r="13" spans="1:7" x14ac:dyDescent="0.25">
      <c r="A13" s="43" t="s">
        <v>17</v>
      </c>
      <c r="B13" s="72" t="s">
        <v>124</v>
      </c>
      <c r="C13" s="22" t="s">
        <v>75</v>
      </c>
      <c r="D13" s="20"/>
      <c r="E13" s="55"/>
      <c r="F13" s="56"/>
      <c r="G13" s="64"/>
    </row>
    <row r="14" spans="1:7" x14ac:dyDescent="0.25">
      <c r="A14" s="17"/>
      <c r="B14" s="18"/>
      <c r="C14" s="19"/>
      <c r="D14" s="1"/>
      <c r="E14" s="54"/>
      <c r="F14" s="62"/>
      <c r="G14" s="63"/>
    </row>
    <row r="15" spans="1:7" x14ac:dyDescent="0.25">
      <c r="A15" s="45"/>
      <c r="B15" s="18"/>
      <c r="C15" s="19" t="s">
        <v>101</v>
      </c>
      <c r="D15" s="20" t="s">
        <v>3</v>
      </c>
      <c r="E15" s="55">
        <v>4</v>
      </c>
      <c r="F15" s="56">
        <v>2500</v>
      </c>
      <c r="G15" s="64">
        <f>E15*F15</f>
        <v>10000</v>
      </c>
    </row>
    <row r="16" spans="1:7" x14ac:dyDescent="0.25">
      <c r="A16" s="17"/>
      <c r="B16" s="18"/>
      <c r="C16" s="19"/>
      <c r="D16" s="1"/>
      <c r="E16" s="54"/>
      <c r="F16" s="62"/>
      <c r="G16" s="63"/>
    </row>
    <row r="17" spans="1:7" ht="66" x14ac:dyDescent="0.25">
      <c r="A17" s="43" t="s">
        <v>55</v>
      </c>
      <c r="B17" s="72" t="s">
        <v>125</v>
      </c>
      <c r="C17" s="22" t="s">
        <v>102</v>
      </c>
      <c r="D17" s="20"/>
      <c r="E17" s="55"/>
      <c r="F17" s="56"/>
      <c r="G17" s="64"/>
    </row>
    <row r="18" spans="1:7" x14ac:dyDescent="0.25">
      <c r="A18" s="17"/>
      <c r="B18" s="18"/>
      <c r="C18" s="19"/>
      <c r="D18" s="1"/>
      <c r="E18" s="54"/>
      <c r="F18" s="62"/>
      <c r="G18" s="63"/>
    </row>
    <row r="19" spans="1:7" ht="26.4" x14ac:dyDescent="0.25">
      <c r="A19" s="45"/>
      <c r="B19" s="18"/>
      <c r="C19" s="68" t="s">
        <v>76</v>
      </c>
      <c r="D19" s="20"/>
      <c r="E19" s="55"/>
      <c r="F19" s="56"/>
      <c r="G19" s="64"/>
    </row>
    <row r="20" spans="1:7" x14ac:dyDescent="0.25">
      <c r="A20" s="17"/>
      <c r="B20" s="18"/>
      <c r="C20" s="19"/>
      <c r="D20" s="1"/>
      <c r="E20" s="54"/>
      <c r="F20" s="62"/>
      <c r="G20" s="63"/>
    </row>
    <row r="21" spans="1:7" x14ac:dyDescent="0.25">
      <c r="A21" s="45"/>
      <c r="B21" s="18"/>
      <c r="C21" s="21" t="s">
        <v>77</v>
      </c>
      <c r="D21" s="20" t="s">
        <v>2</v>
      </c>
      <c r="E21" s="55">
        <v>5</v>
      </c>
      <c r="F21" s="56">
        <v>2500</v>
      </c>
      <c r="G21" s="64">
        <f>E21*F21</f>
        <v>12500</v>
      </c>
    </row>
    <row r="22" spans="1:7" x14ac:dyDescent="0.25">
      <c r="A22" s="17"/>
      <c r="B22" s="18"/>
      <c r="C22" s="19"/>
      <c r="D22" s="1"/>
      <c r="E22" s="54"/>
      <c r="F22" s="62"/>
      <c r="G22" s="63"/>
    </row>
    <row r="23" spans="1:7" x14ac:dyDescent="0.25">
      <c r="A23" s="17"/>
      <c r="B23" s="18"/>
      <c r="C23" s="19"/>
      <c r="D23" s="1"/>
      <c r="E23" s="54"/>
      <c r="F23" s="62"/>
      <c r="G23" s="63"/>
    </row>
    <row r="24" spans="1:7" x14ac:dyDescent="0.25">
      <c r="A24" s="17"/>
      <c r="B24" s="18"/>
      <c r="C24" s="19"/>
      <c r="D24" s="1"/>
      <c r="E24" s="54"/>
      <c r="F24" s="62"/>
      <c r="G24" s="63"/>
    </row>
    <row r="25" spans="1:7" x14ac:dyDescent="0.25">
      <c r="A25" s="17"/>
      <c r="B25" s="18"/>
      <c r="C25" s="19"/>
      <c r="D25" s="1"/>
      <c r="E25" s="54"/>
      <c r="F25" s="62"/>
      <c r="G25" s="63"/>
    </row>
    <row r="26" spans="1:7" x14ac:dyDescent="0.25">
      <c r="A26" s="17"/>
      <c r="B26" s="18"/>
      <c r="C26" s="19"/>
      <c r="D26" s="1"/>
      <c r="E26" s="54"/>
      <c r="F26" s="62"/>
      <c r="G26" s="63"/>
    </row>
    <row r="27" spans="1:7" x14ac:dyDescent="0.25">
      <c r="A27" s="17"/>
      <c r="B27" s="18"/>
      <c r="C27" s="19"/>
      <c r="D27" s="1"/>
      <c r="E27" s="54"/>
      <c r="F27" s="62"/>
      <c r="G27" s="63"/>
    </row>
    <row r="28" spans="1:7" x14ac:dyDescent="0.25">
      <c r="A28" s="17"/>
      <c r="B28" s="18"/>
      <c r="C28" s="19"/>
      <c r="D28" s="1"/>
      <c r="E28" s="54"/>
      <c r="F28" s="62"/>
      <c r="G28" s="63"/>
    </row>
    <row r="29" spans="1:7" x14ac:dyDescent="0.25">
      <c r="A29" s="17"/>
      <c r="B29" s="18"/>
      <c r="C29" s="19"/>
      <c r="D29" s="1"/>
      <c r="E29" s="54"/>
      <c r="F29" s="62"/>
      <c r="G29" s="63"/>
    </row>
    <row r="30" spans="1:7" x14ac:dyDescent="0.25">
      <c r="A30" s="17"/>
      <c r="B30" s="18"/>
      <c r="C30" s="19"/>
      <c r="D30" s="1"/>
      <c r="E30" s="54"/>
      <c r="F30" s="62"/>
      <c r="G30" s="63"/>
    </row>
    <row r="31" spans="1:7" x14ac:dyDescent="0.25">
      <c r="A31" s="17"/>
      <c r="B31" s="18"/>
      <c r="C31" s="19"/>
      <c r="D31" s="1"/>
      <c r="E31" s="54"/>
      <c r="F31" s="62"/>
      <c r="G31" s="63"/>
    </row>
    <row r="32" spans="1:7" x14ac:dyDescent="0.25">
      <c r="A32" s="17"/>
      <c r="B32" s="18"/>
      <c r="C32" s="19"/>
      <c r="D32" s="1"/>
      <c r="E32" s="54"/>
      <c r="F32" s="62"/>
      <c r="G32" s="63"/>
    </row>
    <row r="33" spans="1:7" x14ac:dyDescent="0.25">
      <c r="A33" s="17"/>
      <c r="B33" s="18"/>
      <c r="C33" s="19"/>
      <c r="D33" s="1"/>
      <c r="E33" s="54"/>
      <c r="F33" s="62"/>
      <c r="G33" s="63"/>
    </row>
    <row r="34" spans="1:7" x14ac:dyDescent="0.25">
      <c r="A34" s="17"/>
      <c r="B34" s="18"/>
      <c r="C34" s="19"/>
      <c r="D34" s="1"/>
      <c r="E34" s="54"/>
      <c r="F34" s="62"/>
      <c r="G34" s="63"/>
    </row>
    <row r="35" spans="1:7" x14ac:dyDescent="0.25">
      <c r="A35" s="17"/>
      <c r="B35" s="18"/>
      <c r="C35" s="19"/>
      <c r="D35" s="1"/>
      <c r="E35" s="54"/>
      <c r="F35" s="62"/>
      <c r="G35" s="63"/>
    </row>
    <row r="36" spans="1:7" x14ac:dyDescent="0.25">
      <c r="A36" s="17"/>
      <c r="B36" s="18"/>
      <c r="C36" s="19"/>
      <c r="D36" s="1"/>
      <c r="E36" s="54"/>
      <c r="F36" s="62"/>
      <c r="G36" s="63"/>
    </row>
    <row r="37" spans="1:7" x14ac:dyDescent="0.25">
      <c r="A37" s="17"/>
      <c r="B37" s="18"/>
      <c r="C37" s="19"/>
      <c r="D37" s="1"/>
      <c r="E37" s="54"/>
      <c r="F37" s="62"/>
      <c r="G37" s="63"/>
    </row>
    <row r="38" spans="1:7" x14ac:dyDescent="0.25">
      <c r="A38" s="17"/>
      <c r="B38" s="18"/>
      <c r="C38" s="19"/>
      <c r="D38" s="1"/>
      <c r="E38" s="54"/>
      <c r="F38" s="62"/>
      <c r="G38" s="63"/>
    </row>
    <row r="39" spans="1:7" x14ac:dyDescent="0.25">
      <c r="A39" s="17"/>
      <c r="B39" s="18"/>
      <c r="C39" s="19"/>
      <c r="D39" s="1"/>
      <c r="E39" s="54"/>
      <c r="F39" s="62"/>
      <c r="G39" s="63"/>
    </row>
    <row r="40" spans="1:7" x14ac:dyDescent="0.25">
      <c r="A40" s="17"/>
      <c r="B40" s="18"/>
      <c r="C40" s="19"/>
      <c r="D40" s="1"/>
      <c r="E40" s="54"/>
      <c r="F40" s="62"/>
      <c r="G40" s="63"/>
    </row>
    <row r="41" spans="1:7" x14ac:dyDescent="0.25">
      <c r="A41" s="17"/>
      <c r="B41" s="18"/>
      <c r="C41" s="19"/>
      <c r="D41" s="1"/>
      <c r="E41" s="54"/>
      <c r="F41" s="62"/>
      <c r="G41" s="63"/>
    </row>
    <row r="42" spans="1:7" x14ac:dyDescent="0.25">
      <c r="A42" s="17"/>
      <c r="B42" s="18"/>
      <c r="C42" s="19"/>
      <c r="D42" s="1"/>
      <c r="E42" s="54"/>
      <c r="F42" s="62"/>
      <c r="G42" s="63"/>
    </row>
    <row r="43" spans="1:7" x14ac:dyDescent="0.25">
      <c r="A43" s="17"/>
      <c r="B43" s="18"/>
      <c r="C43" s="19"/>
      <c r="D43" s="1"/>
      <c r="E43" s="54"/>
      <c r="F43" s="62"/>
      <c r="G43" s="63"/>
    </row>
    <row r="44" spans="1:7" x14ac:dyDescent="0.25">
      <c r="A44" s="17"/>
      <c r="B44" s="18"/>
      <c r="C44" s="19"/>
      <c r="D44" s="1"/>
      <c r="E44" s="54"/>
      <c r="F44" s="62"/>
      <c r="G44" s="63"/>
    </row>
    <row r="45" spans="1:7" x14ac:dyDescent="0.25">
      <c r="A45" s="17"/>
      <c r="B45" s="18"/>
      <c r="C45" s="19"/>
      <c r="D45" s="1"/>
      <c r="E45" s="54"/>
      <c r="F45" s="62"/>
      <c r="G45" s="63"/>
    </row>
    <row r="46" spans="1:7" x14ac:dyDescent="0.25">
      <c r="A46" s="17"/>
      <c r="B46" s="18"/>
      <c r="C46" s="19"/>
      <c r="D46" s="1"/>
      <c r="E46" s="54"/>
      <c r="F46" s="62"/>
      <c r="G46" s="63"/>
    </row>
    <row r="47" spans="1:7" x14ac:dyDescent="0.25">
      <c r="A47" s="17"/>
      <c r="B47" s="18"/>
      <c r="C47" s="19"/>
      <c r="D47" s="1"/>
      <c r="E47" s="54"/>
      <c r="F47" s="62"/>
      <c r="G47" s="63"/>
    </row>
    <row r="48" spans="1:7" x14ac:dyDescent="0.25">
      <c r="A48" s="17"/>
      <c r="B48" s="18"/>
      <c r="C48" s="19"/>
      <c r="D48" s="1"/>
      <c r="E48" s="54"/>
      <c r="F48" s="62"/>
      <c r="G48" s="63"/>
    </row>
    <row r="49" spans="1:7" x14ac:dyDescent="0.25">
      <c r="A49" s="17"/>
      <c r="B49" s="18"/>
      <c r="C49" s="19"/>
      <c r="D49" s="1"/>
      <c r="E49" s="54"/>
      <c r="F49" s="62"/>
      <c r="G49" s="63"/>
    </row>
    <row r="50" spans="1:7" x14ac:dyDescent="0.25">
      <c r="A50" s="17"/>
      <c r="B50" s="18"/>
      <c r="C50" s="19"/>
      <c r="D50" s="1"/>
      <c r="E50" s="54"/>
      <c r="F50" s="62"/>
      <c r="G50" s="63"/>
    </row>
    <row r="51" spans="1:7" x14ac:dyDescent="0.25">
      <c r="A51" s="23"/>
      <c r="B51" s="69"/>
      <c r="C51" s="24"/>
      <c r="D51" s="25"/>
      <c r="E51" s="57"/>
      <c r="F51" s="26"/>
      <c r="G51" s="27"/>
    </row>
    <row r="52" spans="1:7" x14ac:dyDescent="0.25">
      <c r="A52" s="58" t="s">
        <v>126</v>
      </c>
      <c r="B52" s="59" t="s">
        <v>78</v>
      </c>
      <c r="C52" s="59"/>
      <c r="D52" s="28"/>
      <c r="E52" s="60"/>
      <c r="F52" s="70"/>
      <c r="G52" s="76">
        <f>SUM(G11:G21)</f>
        <v>222500</v>
      </c>
    </row>
    <row r="53" spans="1:7" x14ac:dyDescent="0.25">
      <c r="A53" s="29"/>
      <c r="B53" s="71"/>
      <c r="C53" s="30"/>
      <c r="D53" s="31"/>
      <c r="E53" s="61"/>
      <c r="F53" s="32"/>
      <c r="G53" s="33"/>
    </row>
  </sheetData>
  <pageMargins left="0.39370078740157483" right="0.39370078740157483" top="0.47244094488188981" bottom="0.47244094488188981" header="0.19685039370078741" footer="0.19685039370078741"/>
  <pageSetup paperSize="9" fitToHeight="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8000"/>
  </sheetPr>
  <dimension ref="A1:C33"/>
  <sheetViews>
    <sheetView tabSelected="1" view="pageBreakPreview" zoomScaleNormal="100" zoomScaleSheetLayoutView="100" workbookViewId="0">
      <selection activeCell="C32" sqref="C32"/>
    </sheetView>
  </sheetViews>
  <sheetFormatPr defaultColWidth="18.6640625" defaultRowHeight="12.9" customHeight="1" x14ac:dyDescent="0.25"/>
  <cols>
    <col min="1" max="1" width="18.109375" customWidth="1"/>
    <col min="2" max="2" width="44.44140625" customWidth="1"/>
    <col min="3" max="3" width="22" customWidth="1"/>
  </cols>
  <sheetData>
    <row r="1" spans="1:3" ht="15.6" x14ac:dyDescent="0.25">
      <c r="A1" s="36" t="s">
        <v>127</v>
      </c>
      <c r="B1" s="4"/>
      <c r="C1" s="5"/>
    </row>
    <row r="2" spans="1:3" ht="13.2" x14ac:dyDescent="0.25">
      <c r="A2" s="3"/>
      <c r="B2" s="3"/>
      <c r="C2" s="5"/>
    </row>
    <row r="3" spans="1:3" ht="13.2" x14ac:dyDescent="0.25">
      <c r="A3" s="3"/>
      <c r="B3" s="3"/>
      <c r="C3" s="5"/>
    </row>
    <row r="4" spans="1:3" ht="13.2" x14ac:dyDescent="0.25">
      <c r="A4" s="34" t="s">
        <v>79</v>
      </c>
      <c r="B4" s="78" t="s">
        <v>11</v>
      </c>
      <c r="C4" s="35">
        <f>'1200C'!G50</f>
        <v>55525</v>
      </c>
    </row>
    <row r="5" spans="1:3" ht="13.2" x14ac:dyDescent="0.25">
      <c r="A5" s="34" t="s">
        <v>80</v>
      </c>
      <c r="B5" s="78" t="s">
        <v>30</v>
      </c>
      <c r="C5" s="35">
        <f>'1200D'!G52</f>
        <v>6927875</v>
      </c>
    </row>
    <row r="6" spans="1:3" ht="13.2" x14ac:dyDescent="0.25">
      <c r="A6" s="34" t="s">
        <v>54</v>
      </c>
      <c r="B6" s="78" t="s">
        <v>43</v>
      </c>
      <c r="C6" s="35">
        <f>'1200DM'!G47</f>
        <v>4226250</v>
      </c>
    </row>
    <row r="7" spans="1:3" ht="13.2" x14ac:dyDescent="0.25">
      <c r="A7" s="34" t="s">
        <v>81</v>
      </c>
      <c r="B7" s="78" t="s">
        <v>58</v>
      </c>
      <c r="C7" s="35">
        <f>'1200LE'!G50</f>
        <v>438270</v>
      </c>
    </row>
    <row r="8" spans="1:3" ht="13.2" x14ac:dyDescent="0.25">
      <c r="A8" s="34" t="s">
        <v>82</v>
      </c>
      <c r="B8" s="78" t="s">
        <v>71</v>
      </c>
      <c r="C8" s="35">
        <f>'1200MM'!G52</f>
        <v>222500</v>
      </c>
    </row>
    <row r="9" spans="1:3" ht="13.2" x14ac:dyDescent="0.25">
      <c r="A9" s="3"/>
      <c r="B9" s="2"/>
      <c r="C9" s="35"/>
    </row>
    <row r="10" spans="1:3" ht="13.2" x14ac:dyDescent="0.25">
      <c r="A10" s="3"/>
      <c r="B10" s="2"/>
      <c r="C10" s="35"/>
    </row>
    <row r="11" spans="1:3" ht="13.2" x14ac:dyDescent="0.25">
      <c r="A11" s="3"/>
      <c r="B11" s="2"/>
      <c r="C11" s="35"/>
    </row>
    <row r="12" spans="1:3" ht="13.2" x14ac:dyDescent="0.25">
      <c r="A12" s="3"/>
      <c r="B12" s="2"/>
      <c r="C12" s="35"/>
    </row>
    <row r="13" spans="1:3" ht="13.2" x14ac:dyDescent="0.25">
      <c r="A13" s="3"/>
      <c r="B13" s="2"/>
      <c r="C13" s="35"/>
    </row>
    <row r="14" spans="1:3" ht="13.2" x14ac:dyDescent="0.25">
      <c r="A14" s="3"/>
      <c r="B14" s="2"/>
      <c r="C14" s="35"/>
    </row>
    <row r="15" spans="1:3" ht="13.2" x14ac:dyDescent="0.25">
      <c r="A15" s="3"/>
      <c r="B15" s="2"/>
      <c r="C15" s="35"/>
    </row>
    <row r="16" spans="1:3" ht="13.2" x14ac:dyDescent="0.25">
      <c r="A16" s="3"/>
      <c r="B16" s="2"/>
      <c r="C16" s="35"/>
    </row>
    <row r="17" spans="1:3" ht="13.2" x14ac:dyDescent="0.25">
      <c r="A17" s="3"/>
      <c r="B17" s="2"/>
      <c r="C17" s="35"/>
    </row>
    <row r="18" spans="1:3" ht="13.2" x14ac:dyDescent="0.25">
      <c r="A18" s="3"/>
      <c r="B18" s="2"/>
      <c r="C18" s="35"/>
    </row>
    <row r="19" spans="1:3" ht="13.2" x14ac:dyDescent="0.25">
      <c r="A19" s="3"/>
      <c r="B19" s="2"/>
      <c r="C19" s="35"/>
    </row>
    <row r="20" spans="1:3" ht="13.2" x14ac:dyDescent="0.25">
      <c r="A20" s="3"/>
      <c r="B20" s="2"/>
      <c r="C20" s="35"/>
    </row>
    <row r="21" spans="1:3" ht="13.2" x14ac:dyDescent="0.25">
      <c r="A21" s="3"/>
      <c r="B21" s="2"/>
      <c r="C21" s="35"/>
    </row>
    <row r="22" spans="1:3" ht="13.2" x14ac:dyDescent="0.25">
      <c r="A22" s="3"/>
      <c r="B22" s="2"/>
      <c r="C22" s="35"/>
    </row>
    <row r="23" spans="1:3" ht="13.2" x14ac:dyDescent="0.25">
      <c r="A23" s="3"/>
      <c r="B23" s="2"/>
      <c r="C23" s="35"/>
    </row>
    <row r="24" spans="1:3" ht="13.2" x14ac:dyDescent="0.25">
      <c r="A24" s="3"/>
      <c r="B24" s="2"/>
      <c r="C24" s="35"/>
    </row>
    <row r="25" spans="1:3" ht="13.2" x14ac:dyDescent="0.25">
      <c r="A25" s="3"/>
      <c r="B25" s="2"/>
      <c r="C25" s="35"/>
    </row>
    <row r="26" spans="1:3" ht="13.2" x14ac:dyDescent="0.25">
      <c r="A26" s="3"/>
      <c r="B26" s="8"/>
      <c r="C26" s="75"/>
    </row>
    <row r="27" spans="1:3" ht="13.2" x14ac:dyDescent="0.25">
      <c r="A27" s="2"/>
      <c r="B27" s="8"/>
      <c r="C27" s="75"/>
    </row>
    <row r="28" spans="1:3" ht="13.2" x14ac:dyDescent="0.25">
      <c r="A28" s="2"/>
      <c r="B28" s="2"/>
      <c r="C28" s="35"/>
    </row>
    <row r="29" spans="1:3" ht="13.2" x14ac:dyDescent="0.25">
      <c r="A29" s="37"/>
      <c r="B29" s="6"/>
      <c r="C29" s="74"/>
    </row>
    <row r="30" spans="1:3" ht="13.2" x14ac:dyDescent="0.25">
      <c r="A30" s="3"/>
      <c r="B30" s="8"/>
      <c r="C30" s="75"/>
    </row>
    <row r="31" spans="1:3" ht="13.2" x14ac:dyDescent="0.25">
      <c r="A31" s="10" t="s">
        <v>128</v>
      </c>
      <c r="B31" s="8"/>
      <c r="C31" s="35">
        <f>SUM(C4:C8)</f>
        <v>11870420</v>
      </c>
    </row>
    <row r="32" spans="1:3" ht="13.2" x14ac:dyDescent="0.25">
      <c r="A32" s="37"/>
      <c r="B32" s="6"/>
      <c r="C32" s="38"/>
    </row>
    <row r="33" spans="1:3" ht="13.2" x14ac:dyDescent="0.25">
      <c r="A33" s="39"/>
      <c r="B33" s="40"/>
      <c r="C33" s="7"/>
    </row>
  </sheetData>
  <pageMargins left="0.39370078740157483" right="0.39370078740157483" top="0.47244094488188981" bottom="0.47244094488188981" header="0.19685039370078741" footer="0.19685039370078741"/>
  <pageSetup paperSize="9" firstPageNumber="20" orientation="portrait" cellComments="atEnd" r:id="rId1"/>
  <headerFooter>
    <oddHeader xml:space="preserve">&amp;LArnot CWTP - Conveyance&amp;CBill 15 - Access Road&amp;RREV T0
</oddHeader>
    <oddFooter>&amp;L508487&amp;CPage &amp;P&amp;RPrint date: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2e58f-f9fb-497f-b5a7-4fd397cd52f5">
      <Terms xmlns="http://schemas.microsoft.com/office/infopath/2007/PartnerControls"/>
    </lcf76f155ced4ddcb4097134ff3c332f>
    <TaxCatchAll xmlns="d70ada5e-d4ec-4e1f-bccf-4edc693c8f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BC24BFCDA6A45805D83563B1C0357" ma:contentTypeVersion="11" ma:contentTypeDescription="Create a new document." ma:contentTypeScope="" ma:versionID="7b0557e9ef1edfb17bc15197f6f58a49">
  <xsd:schema xmlns:xsd="http://www.w3.org/2001/XMLSchema" xmlns:xs="http://www.w3.org/2001/XMLSchema" xmlns:p="http://schemas.microsoft.com/office/2006/metadata/properties" xmlns:ns2="4382e58f-f9fb-497f-b5a7-4fd397cd52f5" xmlns:ns3="d70ada5e-d4ec-4e1f-bccf-4edc693c8fd9" targetNamespace="http://schemas.microsoft.com/office/2006/metadata/properties" ma:root="true" ma:fieldsID="c0fab64b65c6a8b419c3310b1dda13b2" ns2:_="" ns3:_="">
    <xsd:import namespace="4382e58f-f9fb-497f-b5a7-4fd397cd52f5"/>
    <xsd:import namespace="d70ada5e-d4ec-4e1f-bccf-4edc693c8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2e58f-f9fb-497f-b5a7-4fd397cd5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9fb62cc-eec0-4f62-964f-703165e97e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0ada5e-d4ec-4e1f-bccf-4edc693c8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d827609-ce52-4387-bfa1-f0dae8deb6c6}" ma:internalName="TaxCatchAll" ma:showField="CatchAllData" ma:web="d70ada5e-d4ec-4e1f-bccf-4edc693c8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574B5A-D658-42BA-91DA-EFAA73DBB0E1}">
  <ds:schemaRefs>
    <ds:schemaRef ds:uri="http://schemas.microsoft.com/office/2006/metadata/properties"/>
    <ds:schemaRef ds:uri="http://schemas.microsoft.com/office/infopath/2007/PartnerControls"/>
    <ds:schemaRef ds:uri="4382e58f-f9fb-497f-b5a7-4fd397cd52f5"/>
    <ds:schemaRef ds:uri="d70ada5e-d4ec-4e1f-bccf-4edc693c8fd9"/>
  </ds:schemaRefs>
</ds:datastoreItem>
</file>

<file path=customXml/itemProps2.xml><?xml version="1.0" encoding="utf-8"?>
<ds:datastoreItem xmlns:ds="http://schemas.openxmlformats.org/officeDocument/2006/customXml" ds:itemID="{19242275-A7B9-47C5-ABA3-2ECAA4ECC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82e58f-f9fb-497f-b5a7-4fd397cd52f5"/>
    <ds:schemaRef ds:uri="d70ada5e-d4ec-4e1f-bccf-4edc693c8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FCFA49-FC8A-42EC-BD90-EAE2E5E4EC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1200C</vt:lpstr>
      <vt:lpstr>1200D</vt:lpstr>
      <vt:lpstr>1200DM</vt:lpstr>
      <vt:lpstr>1200LE</vt:lpstr>
      <vt:lpstr>1200MM</vt:lpstr>
      <vt:lpstr>Summary</vt:lpstr>
      <vt:lpstr>'1200C'!Print_Area</vt:lpstr>
      <vt:lpstr>'1200D'!Print_Area</vt:lpstr>
      <vt:lpstr>'1200DM'!Print_Area</vt:lpstr>
      <vt:lpstr>'1200LE'!Print_Area</vt:lpstr>
      <vt:lpstr>'1200MM'!Print_Area</vt:lpstr>
      <vt:lpstr>Summary!Print_Area</vt:lpstr>
      <vt:lpstr>'1200C'!Print_Titles</vt:lpstr>
      <vt:lpstr>'1200D'!Print_Titles</vt:lpstr>
      <vt:lpstr>'1200DM'!Print_Titles</vt:lpstr>
      <vt:lpstr>'1200LE'!Print_Titles</vt:lpstr>
      <vt:lpstr>'1200MM'!Print_Titles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kb</dc:creator>
  <cp:lastModifiedBy>Floris Jordaan</cp:lastModifiedBy>
  <cp:lastPrinted>2022-11-08T11:42:50Z</cp:lastPrinted>
  <dcterms:created xsi:type="dcterms:W3CDTF">2002-11-13T13:15:02Z</dcterms:created>
  <dcterms:modified xsi:type="dcterms:W3CDTF">2023-09-15T03:47:06Z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0x0101005E6BC24BFCDA6A45805D83563B1C0357</vt:lpwstr>
  </property>
  <property fmtid="{D5CDD505-2E9C-101B-9397-08002B2CF9AE}" pid="3" name="Order">
    <vt:r8>22000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