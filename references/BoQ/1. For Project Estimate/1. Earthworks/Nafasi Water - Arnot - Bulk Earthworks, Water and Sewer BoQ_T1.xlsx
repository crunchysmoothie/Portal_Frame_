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1. Earthworks\"/>
    </mc:Choice>
  </mc:AlternateContent>
  <xr:revisionPtr revIDLastSave="0" documentId="13_ncr:1_{74DD7C3C-D583-4F91-A281-E02B01FCCECC}" xr6:coauthVersionLast="47" xr6:coauthVersionMax="47" xr10:uidLastSave="{00000000-0000-0000-0000-000000000000}"/>
  <bookViews>
    <workbookView xWindow="-108" yWindow="-108" windowWidth="23256" windowHeight="12576" tabRatio="723" activeTab="5" xr2:uid="{00000000-000D-0000-FFFF-FFFF00000000}"/>
  </bookViews>
  <sheets>
    <sheet name="S1-P&amp;G'S" sheetId="77" r:id="rId1"/>
    <sheet name="S2-ENGINEERED PLATFORM &amp; PAVING" sheetId="78" r:id="rId2"/>
    <sheet name="S3-STORMWATER" sheetId="82" r:id="rId3"/>
    <sheet name="S4-SEWER" sheetId="92" r:id="rId4"/>
    <sheet name="S5-WATER" sheetId="93" r:id="rId5"/>
    <sheet name="S6-SUMMARY" sheetId="95" r:id="rId6"/>
  </sheets>
  <definedNames>
    <definedName name="_xlnm.Print_Area" localSheetId="0">'S1-P&amp;G''S'!$A$2:$G$120</definedName>
    <definedName name="_xlnm.Print_Area" localSheetId="1">'S2-ENGINEERED PLATFORM &amp; PAVING'!$A$1:$G$126</definedName>
    <definedName name="_xlnm.Print_Area" localSheetId="2">'S3-STORMWATER'!$A$1:$G$118</definedName>
    <definedName name="_xlnm.Print_Area" localSheetId="3">'S4-SEWER'!$A$1:$G$60</definedName>
    <definedName name="_xlnm.Print_Area" localSheetId="4">'S5-WATER'!$A$1:$G$110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0" i="77" l="1"/>
  <c r="G126" i="78"/>
  <c r="G48" i="78"/>
  <c r="E57" i="78"/>
  <c r="G28" i="78" l="1"/>
  <c r="G42" i="78"/>
  <c r="G54" i="77" l="1"/>
  <c r="G76" i="93"/>
  <c r="G26" i="92"/>
  <c r="C1" i="95" l="1"/>
  <c r="G35" i="78" l="1"/>
  <c r="G101" i="82" l="1"/>
  <c r="G74" i="93" l="1"/>
  <c r="G34" i="93"/>
  <c r="G30" i="93"/>
  <c r="G24" i="93"/>
  <c r="G83" i="93"/>
  <c r="G82" i="93"/>
  <c r="G44" i="93"/>
  <c r="G42" i="93"/>
  <c r="G38" i="93"/>
  <c r="C7" i="93"/>
  <c r="B15" i="95" s="1"/>
  <c r="G72" i="93"/>
  <c r="G48" i="93"/>
  <c r="G43" i="92" l="1"/>
  <c r="G39" i="92"/>
  <c r="G33" i="92"/>
  <c r="G24" i="92"/>
  <c r="G23" i="82"/>
  <c r="G109" i="82" l="1"/>
  <c r="G105" i="82"/>
  <c r="G116" i="82"/>
  <c r="G97" i="82"/>
  <c r="G91" i="82"/>
  <c r="G83" i="82"/>
  <c r="G81" i="82"/>
  <c r="G75" i="82"/>
  <c r="G69" i="82"/>
  <c r="G52" i="82"/>
  <c r="G44" i="82"/>
  <c r="G37" i="82"/>
  <c r="G74" i="78" l="1"/>
  <c r="G13" i="78"/>
  <c r="G26" i="78" l="1"/>
  <c r="G15" i="93"/>
  <c r="G61" i="93" s="1"/>
  <c r="G65" i="93" l="1"/>
  <c r="G110" i="93" s="1"/>
  <c r="C15" i="95" s="1"/>
  <c r="G45" i="92" l="1"/>
  <c r="G51" i="92" l="1"/>
  <c r="G49" i="92"/>
  <c r="G93" i="78"/>
  <c r="G3" i="93" l="1"/>
  <c r="G3" i="92"/>
  <c r="G3" i="82"/>
  <c r="C3" i="95"/>
  <c r="G17" i="78" l="1"/>
  <c r="G3" i="78"/>
  <c r="B7" i="95" l="1"/>
  <c r="A2" i="95"/>
  <c r="A1" i="95"/>
  <c r="G117" i="77" l="1"/>
  <c r="G113" i="77"/>
  <c r="G107" i="77"/>
  <c r="G105" i="77"/>
  <c r="G103" i="77"/>
  <c r="G101" i="77"/>
  <c r="G99" i="77"/>
  <c r="G97" i="77"/>
  <c r="G95" i="77"/>
  <c r="G93" i="77"/>
  <c r="G91" i="77"/>
  <c r="G89" i="77"/>
  <c r="G87" i="77"/>
  <c r="G85" i="77"/>
  <c r="G83" i="77"/>
  <c r="G81" i="77"/>
  <c r="G79" i="77"/>
  <c r="G75" i="77"/>
  <c r="G73" i="77"/>
  <c r="G71" i="77"/>
  <c r="G50" i="77"/>
  <c r="G48" i="77"/>
  <c r="G46" i="77"/>
  <c r="G44" i="77"/>
  <c r="G42" i="77"/>
  <c r="G40" i="77"/>
  <c r="G38" i="77"/>
  <c r="G36" i="77"/>
  <c r="G34" i="77"/>
  <c r="G32" i="77"/>
  <c r="G30" i="77"/>
  <c r="G28" i="77"/>
  <c r="G26" i="77"/>
  <c r="G24" i="77"/>
  <c r="G20" i="77"/>
  <c r="G18" i="77"/>
  <c r="G12" i="77"/>
  <c r="G63" i="77" l="1"/>
  <c r="G67" i="77" s="1"/>
  <c r="G91" i="78"/>
  <c r="C7" i="78" l="1"/>
  <c r="B9" i="95" s="1"/>
  <c r="G37" i="92" l="1"/>
  <c r="G22" i="92"/>
  <c r="G15" i="92"/>
  <c r="G60" i="92" s="1"/>
  <c r="G82" i="78"/>
  <c r="C13" i="95" l="1"/>
  <c r="G15" i="82" l="1"/>
  <c r="G72" i="78"/>
  <c r="G59" i="82" l="1"/>
  <c r="G63" i="82" s="1"/>
  <c r="G118" i="82" s="1"/>
  <c r="C11" i="95" s="1"/>
  <c r="G1" i="78"/>
  <c r="C7" i="92" l="1"/>
  <c r="C7" i="82"/>
  <c r="B13" i="95" l="1"/>
  <c r="B11" i="95"/>
  <c r="G40" i="78"/>
  <c r="G57" i="78" l="1"/>
  <c r="G53" i="78" l="1"/>
  <c r="G62" i="78" l="1"/>
  <c r="G66" i="78" s="1"/>
  <c r="C9" i="95" s="1"/>
  <c r="G1" i="93"/>
  <c r="G1" i="92"/>
  <c r="G1" i="82"/>
  <c r="A2" i="82" l="1"/>
  <c r="A1" i="82"/>
  <c r="A2" i="92"/>
  <c r="A1" i="92"/>
  <c r="A2" i="93"/>
  <c r="A1" i="93"/>
  <c r="A2" i="78"/>
  <c r="A1" i="78"/>
  <c r="G119" i="77" l="1"/>
  <c r="C7" i="95" s="1"/>
  <c r="C49" i="95" l="1"/>
</calcChain>
</file>

<file path=xl/sharedStrings.xml><?xml version="1.0" encoding="utf-8"?>
<sst xmlns="http://schemas.openxmlformats.org/spreadsheetml/2006/main" count="498" uniqueCount="267">
  <si>
    <t xml:space="preserve">CONCRETE (STRUCTURAL) </t>
  </si>
  <si>
    <t>m</t>
  </si>
  <si>
    <t>t</t>
  </si>
  <si>
    <t xml:space="preserve">High Tensile Welded Mesh </t>
  </si>
  <si>
    <t xml:space="preserve">SCHEDULED CONCRETE ITEMS </t>
  </si>
  <si>
    <t xml:space="preserve">Unformed Surface Finishes </t>
  </si>
  <si>
    <t xml:space="preserve">Wood-floated finish to: </t>
  </si>
  <si>
    <t>No</t>
  </si>
  <si>
    <t>ITEM NO</t>
  </si>
  <si>
    <t>PAY REF</t>
  </si>
  <si>
    <t>DESCRIPTION</t>
  </si>
  <si>
    <t>UNIT</t>
  </si>
  <si>
    <t xml:space="preserve">SCHEDULED FORMWORK ITEMS </t>
  </si>
  <si>
    <t xml:space="preserve">SCHEDULED REINFORCING ITEMS </t>
  </si>
  <si>
    <t xml:space="preserve">Strength concrete: </t>
  </si>
  <si>
    <t xml:space="preserve">JOINTS </t>
  </si>
  <si>
    <t>SITE CLEARANCE</t>
  </si>
  <si>
    <t xml:space="preserve">FIXED CHARGE ITEMS </t>
  </si>
  <si>
    <t>SUM</t>
  </si>
  <si>
    <t xml:space="preserve">Establishment of Facilities on the Site </t>
  </si>
  <si>
    <t xml:space="preserve">Facilities for Contractor </t>
  </si>
  <si>
    <t>Dealing with water</t>
  </si>
  <si>
    <t>Insurance</t>
  </si>
  <si>
    <t xml:space="preserve">TIME RELATED ITEMS </t>
  </si>
  <si>
    <t xml:space="preserve">Supervision for duration of construction. </t>
  </si>
  <si>
    <t xml:space="preserve">Company and head office overhead costs for duration of construction. </t>
  </si>
  <si>
    <t xml:space="preserve">TEMPORARY WORKS </t>
  </si>
  <si>
    <t>m3</t>
  </si>
  <si>
    <t>Plant</t>
  </si>
  <si>
    <t>Contractual requirements (excluding insurance and performance bond)</t>
  </si>
  <si>
    <t>Additional tests required by the Engineer</t>
  </si>
  <si>
    <t>(The unit rate for welded mesh shall cover the supply, cutting and placing of the mesh and the cost of all waste due to overlaps)</t>
  </si>
  <si>
    <t>QTY</t>
  </si>
  <si>
    <t>m2</t>
  </si>
  <si>
    <t>Excavation for restricted foundations in all materials and dispose spoil material at a site provided by the Contractor</t>
  </si>
  <si>
    <t>KERBING AND CHANNELLING</t>
  </si>
  <si>
    <t>ANCILLARY ROADWORKS</t>
  </si>
  <si>
    <t>Road Markings</t>
  </si>
  <si>
    <t>Bulk excavation:</t>
  </si>
  <si>
    <t>Treatment of roadbed:</t>
  </si>
  <si>
    <t>CARRIED FORWARD</t>
  </si>
  <si>
    <t>BROUGHT FORWARD</t>
  </si>
  <si>
    <t>SECTION</t>
  </si>
  <si>
    <t>Ref.395 mesh reinforcement</t>
  </si>
  <si>
    <t>Clear and grub:</t>
  </si>
  <si>
    <t>Areas</t>
  </si>
  <si>
    <t>Over 1,0 m and up to and including 2,0m</t>
  </si>
  <si>
    <t>Remove and grub large trees and tree stumps of girth:</t>
  </si>
  <si>
    <t xml:space="preserve">              </t>
  </si>
  <si>
    <t>EARTHWORKS</t>
  </si>
  <si>
    <t>SUBBASE</t>
  </si>
  <si>
    <t>Stabilizing agent:</t>
  </si>
  <si>
    <t xml:space="preserve">Stabilization   </t>
  </si>
  <si>
    <t xml:space="preserve">Portland cement           </t>
  </si>
  <si>
    <t xml:space="preserve">Process subbase material by one of the following processes, as relevant, and use in the subbase: </t>
  </si>
  <si>
    <t>SEGMENTED PAVING</t>
  </si>
  <si>
    <t>Construction of paving complete</t>
  </si>
  <si>
    <t>Precast concrete kerbing</t>
  </si>
  <si>
    <t>SEWER RETICULATION</t>
  </si>
  <si>
    <t xml:space="preserve"> </t>
  </si>
  <si>
    <t xml:space="preserve">  </t>
  </si>
  <si>
    <t>SANS 1200C</t>
  </si>
  <si>
    <t>STORMWATER DRAINAGE</t>
  </si>
  <si>
    <t>Supply and lay concrete pipe culverts on class B bedding:</t>
  </si>
  <si>
    <t>Type SC 100-D load pipes with ogee joints:</t>
  </si>
  <si>
    <t>8.2.1</t>
  </si>
  <si>
    <t>8.2.8</t>
  </si>
  <si>
    <t>EARTHWORKS (PIPE TRENCHES)</t>
  </si>
  <si>
    <t>8.3.4</t>
  </si>
  <si>
    <t>Provision of bedding from commercial sources:</t>
  </si>
  <si>
    <t>8.2.2.3</t>
  </si>
  <si>
    <t>BEDDING FOR  PIPES</t>
  </si>
  <si>
    <t>8.2.3</t>
  </si>
  <si>
    <t>with signboard constructed from:</t>
  </si>
  <si>
    <t>Permanent Road Signs</t>
  </si>
  <si>
    <t>Aluminium sheet (2,0 mm thick) of area up to 2 m²</t>
  </si>
  <si>
    <t>8.3.1</t>
  </si>
  <si>
    <t xml:space="preserve">Sign faces with painted/galvanized background with painted symbols, characters, legends and borders and  </t>
  </si>
  <si>
    <t>8.4.1</t>
  </si>
  <si>
    <t>Supply, lay, test and bed on class B bedding and test pipeline for the following diameters:</t>
  </si>
  <si>
    <t>8.2.2</t>
  </si>
  <si>
    <t>90° bends:</t>
  </si>
  <si>
    <t>Tees:</t>
  </si>
  <si>
    <t>Anchor/thrust blocks and pedestals:</t>
  </si>
  <si>
    <t>Concrete - Class 25 Mpa/19mm</t>
  </si>
  <si>
    <t>Reinforcement (High Tensile)</t>
  </si>
  <si>
    <t>8.2.12</t>
  </si>
  <si>
    <t>Concrete casing:</t>
  </si>
  <si>
    <t>Class 25 Mpa/19mm</t>
  </si>
  <si>
    <t>8.2.13</t>
  </si>
  <si>
    <t>PSL 8.2.18</t>
  </si>
  <si>
    <t>EARTHWORKS (ROADS, SUBGRADE)</t>
  </si>
  <si>
    <t>8.3.3</t>
  </si>
  <si>
    <t>8.3.5</t>
  </si>
  <si>
    <t>8.3.8</t>
  </si>
  <si>
    <t xml:space="preserve"> 8.2.2</t>
  </si>
  <si>
    <t>8.2</t>
  </si>
  <si>
    <t>8.2.5</t>
  </si>
  <si>
    <t>8.3</t>
  </si>
  <si>
    <t>8.3.2</t>
  </si>
  <si>
    <t>8.4</t>
  </si>
  <si>
    <t>8.4.2</t>
  </si>
  <si>
    <t>8.4.3</t>
  </si>
  <si>
    <t>8.4.4</t>
  </si>
  <si>
    <t>8.5</t>
  </si>
  <si>
    <t>8.8</t>
  </si>
  <si>
    <t xml:space="preserve"> 8.2.11</t>
  </si>
  <si>
    <t>SANS 1200DB</t>
  </si>
  <si>
    <t>SANS 1200LB</t>
  </si>
  <si>
    <t>SANS 1200LE</t>
  </si>
  <si>
    <t>(No treatment of  the surface of the concrete will be required after striking of the formwork)</t>
  </si>
  <si>
    <t>MEDIUM-PRESSURE PIPE LINES</t>
  </si>
  <si>
    <t>Selected granular material</t>
  </si>
  <si>
    <t xml:space="preserve">Over 100mm and up to 200mm (rough) </t>
  </si>
  <si>
    <t>SANS 1200A</t>
  </si>
  <si>
    <t>Narrow Widths (up to 300mm wide):</t>
  </si>
  <si>
    <t>SECTION 1 - PRELIMINARY AND GENERAL</t>
  </si>
  <si>
    <t>Rough:</t>
  </si>
  <si>
    <t>Vertical formwork to:</t>
  </si>
  <si>
    <t>Restricted excavation</t>
  </si>
  <si>
    <t>TOTAL AMOUNT FOR SECTION CARRIED TO SUMMARY</t>
  </si>
  <si>
    <t>Over 1,0m up to 2,0m</t>
  </si>
  <si>
    <t>Excavate in all materials for trenches, backfill and compact and dispose of surplus material:</t>
  </si>
  <si>
    <t>Supply, lay, test and bed on class B bedding complete with couplings for the following diameters:</t>
  </si>
  <si>
    <t>Selected layers compacted to 95% of modified AASHTO maximum density obtained from commercial resources</t>
  </si>
  <si>
    <t>SECTION 1 - BILL OF QUANTITIES</t>
  </si>
  <si>
    <t>Canal</t>
  </si>
  <si>
    <t>Radius over 20m and straight sections</t>
  </si>
  <si>
    <t>SECTION 4 - SEWER</t>
  </si>
  <si>
    <t>SANS</t>
  </si>
  <si>
    <t>1200G</t>
  </si>
  <si>
    <t>SECTION 3 - STORM WATER DRAINAGE</t>
  </si>
  <si>
    <t>Miscellaneous work</t>
  </si>
  <si>
    <t>150mm high Bitumen Impregnated Fibreboard with 10mm x 10mm Sika Joint Sealer (3m c/c)</t>
  </si>
  <si>
    <t>1200D</t>
  </si>
  <si>
    <t>1200ME</t>
  </si>
  <si>
    <t>1200MJ</t>
  </si>
  <si>
    <t>1200MK</t>
  </si>
  <si>
    <t>1200MM</t>
  </si>
  <si>
    <t>Depth up to 1m</t>
  </si>
  <si>
    <t>1200DB</t>
  </si>
  <si>
    <t>1200LB</t>
  </si>
  <si>
    <t>1200LD</t>
  </si>
  <si>
    <t>SECTION 5 - WATER RETICULATION</t>
  </si>
  <si>
    <t>1200L</t>
  </si>
  <si>
    <t>Type S-A blocks 80mm thick interlocking (35 Mpa) with 20mm river sand bedding or similar approved</t>
  </si>
  <si>
    <t xml:space="preserve">Class 25MPa/19mm in: </t>
  </si>
  <si>
    <t xml:space="preserve">Supply and construct precast manholes complete for pipes up to 200mm diameter including base, rings cover slab and heavy duty cover and frame for the following depths: </t>
  </si>
  <si>
    <t>MISCELLANEOUS WORK</t>
  </si>
  <si>
    <t>Extra over on item 2 for the supplying, laying and bedding of uPVC specials complete with couplings:</t>
  </si>
  <si>
    <r>
      <t>Extra over on item 2</t>
    </r>
    <r>
      <rPr>
        <u/>
        <sz val="8"/>
        <color rgb="FFFF0000"/>
        <rFont val="Arial"/>
        <family val="2"/>
      </rPr>
      <t xml:space="preserve"> </t>
    </r>
    <r>
      <rPr>
        <u/>
        <sz val="8"/>
        <rFont val="Arial"/>
        <family val="2"/>
      </rPr>
      <t>for supplying, fixing, testing and bedding RSV gate valves for the following diameters:</t>
    </r>
  </si>
  <si>
    <t>SABS 927 Figure 7 (Roads):</t>
  </si>
  <si>
    <t>Canal Expansion Joints</t>
  </si>
  <si>
    <t>Cleaning Eyes</t>
  </si>
  <si>
    <t xml:space="preserve">SECTION 2 - EARTHWORKS &amp; INTERLOCKING PAVING </t>
  </si>
  <si>
    <t>8.3.2.1</t>
  </si>
  <si>
    <t>Facilities for Engineer</t>
  </si>
  <si>
    <t>8.3.2.1a</t>
  </si>
  <si>
    <t>8.3.2.1c</t>
  </si>
  <si>
    <t>Nameboard (1 No).</t>
  </si>
  <si>
    <t>8.3.2.2</t>
  </si>
  <si>
    <t>8.3.2.2a</t>
  </si>
  <si>
    <t xml:space="preserve">Offices and storage sheds. </t>
  </si>
  <si>
    <t>8.3.2.2b</t>
  </si>
  <si>
    <t xml:space="preserve">Workshops. </t>
  </si>
  <si>
    <t>8.3.2.2c</t>
  </si>
  <si>
    <t xml:space="preserve">Laboratories. </t>
  </si>
  <si>
    <t>8.3.2.2d</t>
  </si>
  <si>
    <t xml:space="preserve">Living accommodation. </t>
  </si>
  <si>
    <t>8.3.2.2e</t>
  </si>
  <si>
    <t xml:space="preserve">Ablution and latrine facilities. </t>
  </si>
  <si>
    <t>8.3.2.2f</t>
  </si>
  <si>
    <t xml:space="preserve">Tools and equipment. </t>
  </si>
  <si>
    <t>8.3.2.2g</t>
  </si>
  <si>
    <t>Water supplies, electric power and  communications</t>
  </si>
  <si>
    <t>8.3.2.2h</t>
  </si>
  <si>
    <t>8.3.2.2i</t>
  </si>
  <si>
    <t>Access</t>
  </si>
  <si>
    <t>8.3.2.2j</t>
  </si>
  <si>
    <t xml:space="preserve">Other fixed charge obligations. </t>
  </si>
  <si>
    <t xml:space="preserve">Removal of site establishment. </t>
  </si>
  <si>
    <t>PSA 8.3.5</t>
  </si>
  <si>
    <t>PSA 8.3.6</t>
  </si>
  <si>
    <t>Performance Bond</t>
  </si>
  <si>
    <t>Water supplies, electric power and communications</t>
  </si>
  <si>
    <t xml:space="preserve">Operation and Maintenance of Facilities on Site, for Duration of Construction, (unless otherwise stated) </t>
  </si>
  <si>
    <t>8.4.2.1</t>
  </si>
  <si>
    <t>8.4.2.1a</t>
  </si>
  <si>
    <t>8.4.2.1c</t>
  </si>
  <si>
    <t>8.4.2.1d</t>
  </si>
  <si>
    <t>Survey assistants and material</t>
  </si>
  <si>
    <t>8.4.2.2</t>
  </si>
  <si>
    <t>8.4.2.2a</t>
  </si>
  <si>
    <t>8.4.2.2b</t>
  </si>
  <si>
    <t>8.4.2.2c</t>
  </si>
  <si>
    <t>8.4.2.2d</t>
  </si>
  <si>
    <t>8.4.2.2e</t>
  </si>
  <si>
    <t>8.4.2.2f</t>
  </si>
  <si>
    <t>8.4.2.2g</t>
  </si>
  <si>
    <t>8.4.2.2h</t>
  </si>
  <si>
    <t>8.4.2.2i</t>
  </si>
  <si>
    <t>8.4.2.2j</t>
  </si>
  <si>
    <t>8.4.5</t>
  </si>
  <si>
    <t xml:space="preserve">Other time related obligations. </t>
  </si>
  <si>
    <t>PSA 8.4.6</t>
  </si>
  <si>
    <t>PSA 8.4.7</t>
  </si>
  <si>
    <t xml:space="preserve">SUMS STATED PROVISIONALLY BY ENGINEER </t>
  </si>
  <si>
    <t>Excavation by hand in soft material to expose existing services</t>
  </si>
  <si>
    <t>Furnished Boardroom (1 No - Eight persons)</t>
  </si>
  <si>
    <t>PC Sum</t>
  </si>
  <si>
    <t>%</t>
  </si>
  <si>
    <t xml:space="preserve">Charge required by Contractor on item 36 above </t>
  </si>
  <si>
    <t>Oil Separators and Soakaway</t>
  </si>
  <si>
    <t>AMOUNT     (USD)</t>
  </si>
  <si>
    <t>RATE     (USD)</t>
  </si>
  <si>
    <t>SUMMARY</t>
  </si>
  <si>
    <t>TOTAL AMOUNT CARRIED TO LETTER OF TENDER (VAT EXCLUDED)</t>
  </si>
  <si>
    <t xml:space="preserve">Remove and grub all trees and tree stumps including the removal of all roots that may remain in the soil all vegetation. and stripping of the surface soil to a depth of 150mm. The clearing only needs to follow the natural surface. </t>
  </si>
  <si>
    <t>P&amp;G's 16%</t>
  </si>
  <si>
    <t xml:space="preserve">Sum </t>
  </si>
  <si>
    <t>Pipes up to 250mm diameter for depths:</t>
  </si>
  <si>
    <t>Over 1,0m up to 2,5m</t>
  </si>
  <si>
    <t xml:space="preserve">Head Wall Structure </t>
  </si>
  <si>
    <t>Excavate in all materials and dispose at spoil site to be identified by Contractor</t>
  </si>
  <si>
    <r>
      <t xml:space="preserve">Excavate in </t>
    </r>
    <r>
      <rPr>
        <b/>
        <u/>
        <sz val="8"/>
        <rFont val="Arial"/>
        <family val="2"/>
      </rPr>
      <t xml:space="preserve">TopSoil </t>
    </r>
    <r>
      <rPr>
        <u/>
        <sz val="8"/>
        <rFont val="Arial"/>
        <family val="2"/>
      </rPr>
      <t xml:space="preserve">materials (350mm thickness) and dispose. </t>
    </r>
  </si>
  <si>
    <t>Type S-A blocks 60mm thick interlocking (35 Mpa) with 20mm river sand bedding or similar approved</t>
  </si>
  <si>
    <t>Provision of bedding from trench excavations:</t>
  </si>
  <si>
    <t xml:space="preserve">Selected granular material       </t>
  </si>
  <si>
    <t xml:space="preserve">Selected fill material   </t>
  </si>
  <si>
    <t>Supply and manholes and the like:</t>
  </si>
  <si>
    <t>Brickwork manholes:</t>
  </si>
  <si>
    <t>Up to depth of 2m</t>
  </si>
  <si>
    <t>Grid inlets:</t>
  </si>
  <si>
    <t>Manhole covers including frames:</t>
  </si>
  <si>
    <t>SABS 558 type 2A</t>
  </si>
  <si>
    <t>160mm diameter CL 400 (uPVC)</t>
  </si>
  <si>
    <t xml:space="preserve"> Depth up to 1m</t>
  </si>
  <si>
    <t>300mm diameter Spigot and Socket</t>
  </si>
  <si>
    <t>G5 Material 150mm thick subbase platform</t>
  </si>
  <si>
    <t>Pipes over 250mm diameter up to 500mm diameter for depths:</t>
  </si>
  <si>
    <t>Kerb inlets:</t>
  </si>
  <si>
    <t xml:space="preserve">Charge required by Contractor on item 12 above </t>
  </si>
  <si>
    <t>HDPE class 16 pipes:</t>
  </si>
  <si>
    <t>Valve chambers etc.:</t>
  </si>
  <si>
    <t>Valve chamber</t>
  </si>
  <si>
    <t>Rate     (R)</t>
  </si>
  <si>
    <t>1200DM</t>
  </si>
  <si>
    <t>AMOUNT              (R)</t>
  </si>
  <si>
    <t xml:space="preserve"> Depth up to 2m</t>
  </si>
  <si>
    <t>AMOUNT                   (R)</t>
  </si>
  <si>
    <t>Revision T1</t>
  </si>
  <si>
    <t>Soilcrete backfill above pipes as indicated on the drawings or directed by the Engineer</t>
  </si>
  <si>
    <t>25 to 75mm diameter PN 12</t>
  </si>
  <si>
    <t>Connection to existing to main supply pipe</t>
  </si>
  <si>
    <t>EARTHWORKS AND CIVIL WORK</t>
  </si>
  <si>
    <t>NAFASI WATER - ARNOT WATER AND SEWER</t>
  </si>
  <si>
    <t>Sewer Water Holding Tanke</t>
  </si>
  <si>
    <t>63mm diameter PN 12</t>
  </si>
  <si>
    <t>150mm Roadbed preparation and compaction of material to minimum of 95% of MOD AASHTO maximum to 150 mm deep</t>
  </si>
  <si>
    <t>G6 Material 150mm thick subbase platform</t>
  </si>
  <si>
    <t>Excavate in all materials and fill material in 150 mm layers, compacted to 93% MOD AASHTO to engineers instruction</t>
  </si>
  <si>
    <t>AMOUNT                  (R)</t>
  </si>
  <si>
    <t>G5 Material (2x150mm thick + 1x200mm thick) subbase platform</t>
  </si>
  <si>
    <t>RATE     (R)</t>
  </si>
  <si>
    <t>AMOUNT     (R)</t>
  </si>
  <si>
    <t>AMOUNT                    (R)</t>
  </si>
  <si>
    <t>Rate         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</si>
</sst>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R&quot;\ * #,##0.00_ ;_ &quot;R&quot;\ * \-#,##0.00_ ;_ &quot;R&quot;\ * &quot;-&quot;??_ ;_ @_ "/>
    <numFmt numFmtId="166" formatCode="_ * #,##0.00_ ;_ * \-#,##0.00_ ;_ * &quot;-&quot;??_ ;_ @_ "/>
    <numFmt numFmtId="167" formatCode="#,##0.0"/>
    <numFmt numFmtId="168" formatCode="&quot;Section&quot;\ General"/>
    <numFmt numFmtId="169" formatCode="_-* #,##0_-;\-* #,##0_-;_-* &quot;-&quot;??_-;_-@_-"/>
    <numFmt numFmtId="170" formatCode="&quot;R&quot;\ #,##0"/>
    <numFmt numFmtId="171" formatCode="[$-409]d/mmm/yyyy;@"/>
    <numFmt numFmtId="172" formatCode="[$-409]d\-mmm\-yy;@"/>
    <numFmt numFmtId="173" formatCode="[$-409]d\ mmmm\ yyyy"/>
    <numFmt numFmtId="174" formatCode="_-&quot;R&quot;\ * #,##0.00_-;\-&quot;R&quot;\ * #,##0.00_-;_-&quot;R&quot;\ * &quot;-&quot;??_-;_-@_-"/>
    <numFmt numFmtId="175" formatCode="#,##0.0;\-#,##0.0"/>
    <numFmt numFmtId="176" formatCode="_-[$R-1C09]* #,##0.00_-;\-[$R-1C09]* #,##0.00_-;_-[$R-1C09]* &quot;-&quot;??_-;_-@_-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u/>
      <sz val="10"/>
      <name val="Times New Roman"/>
      <family val="1"/>
    </font>
    <font>
      <sz val="10"/>
      <name val="Arial"/>
      <family val="2"/>
    </font>
    <font>
      <sz val="12"/>
      <name val="Arial MT"/>
    </font>
    <font>
      <b/>
      <i/>
      <sz val="9"/>
      <name val="Arial"/>
      <family val="2"/>
    </font>
    <font>
      <sz val="11"/>
      <color theme="1"/>
      <name val="Arial"/>
      <family val="2"/>
    </font>
    <font>
      <u/>
      <sz val="10"/>
      <name val="Times New Roman"/>
      <family val="1"/>
    </font>
    <font>
      <b/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8"/>
      <color rgb="FFFF0000"/>
      <name val="Arial"/>
      <family val="2"/>
    </font>
    <font>
      <u/>
      <sz val="8"/>
      <color theme="1"/>
      <name val="Arial"/>
      <family val="2"/>
    </font>
    <font>
      <b/>
      <sz val="8"/>
      <color indexed="8"/>
      <name val="Arial"/>
      <family val="2"/>
    </font>
    <font>
      <b/>
      <u/>
      <sz val="8"/>
      <color indexed="8"/>
      <name val="Arial"/>
      <family val="2"/>
    </font>
    <font>
      <u/>
      <sz val="8"/>
      <color indexed="8"/>
      <name val="Arial"/>
      <family val="2"/>
    </font>
    <font>
      <u/>
      <sz val="8"/>
      <color rgb="FFFF0000"/>
      <name val="Arial"/>
      <family val="2"/>
    </font>
    <font>
      <sz val="8"/>
      <color theme="4"/>
      <name val="Arial"/>
      <family val="2"/>
    </font>
    <font>
      <sz val="10"/>
      <name val="Arial"/>
      <family val="2"/>
    </font>
    <font>
      <sz val="8"/>
      <name val="Arial MT"/>
    </font>
    <font>
      <sz val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3" fontId="20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0" fillId="0" borderId="0"/>
    <xf numFmtId="0" fontId="22" fillId="34" borderId="17" applyBorder="0" applyAlignment="0">
      <alignment horizontal="center" vertical="center" wrapText="1"/>
    </xf>
    <xf numFmtId="0" fontId="23" fillId="0" borderId="0"/>
    <xf numFmtId="0" fontId="24" fillId="0" borderId="0"/>
    <xf numFmtId="0" fontId="1" fillId="0" borderId="0"/>
    <xf numFmtId="0" fontId="3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9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</cellStyleXfs>
  <cellXfs count="241">
    <xf numFmtId="0" fontId="0" fillId="0" borderId="0" xfId="0"/>
    <xf numFmtId="0" fontId="18" fillId="0" borderId="11" xfId="0" applyFont="1" applyBorder="1" applyAlignment="1">
      <alignment horizontal="center" vertical="center"/>
    </xf>
    <xf numFmtId="0" fontId="18" fillId="33" borderId="0" xfId="0" applyFont="1" applyFill="1" applyAlignment="1">
      <alignment vertical="center" wrapText="1"/>
    </xf>
    <xf numFmtId="0" fontId="18" fillId="0" borderId="0" xfId="0" applyFont="1"/>
    <xf numFmtId="0" fontId="18" fillId="0" borderId="11" xfId="0" applyFont="1" applyBorder="1" applyAlignment="1">
      <alignment horizontal="center" vertical="center" wrapText="1"/>
    </xf>
    <xf numFmtId="4" fontId="18" fillId="0" borderId="11" xfId="0" applyNumberFormat="1" applyFont="1" applyBorder="1" applyAlignment="1">
      <alignment horizontal="right" vertical="center" wrapText="1"/>
    </xf>
    <xf numFmtId="0" fontId="18" fillId="0" borderId="11" xfId="0" applyFont="1" applyBorder="1" applyAlignment="1">
      <alignment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1" xfId="44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0" borderId="11" xfId="44" applyFont="1" applyBorder="1" applyAlignment="1">
      <alignment vertical="top" wrapText="1"/>
    </xf>
    <xf numFmtId="0" fontId="18" fillId="0" borderId="11" xfId="44" applyFont="1" applyBorder="1" applyAlignment="1">
      <alignment horizontal="center" vertical="top" wrapText="1"/>
    </xf>
    <xf numFmtId="0" fontId="28" fillId="0" borderId="11" xfId="0" applyFont="1" applyBorder="1" applyAlignment="1">
      <alignment horizontal="center" vertical="center" wrapText="1"/>
    </xf>
    <xf numFmtId="0" fontId="28" fillId="33" borderId="11" xfId="0" applyFont="1" applyFill="1" applyBorder="1" applyAlignment="1">
      <alignment horizontal="center" vertical="center" wrapText="1"/>
    </xf>
    <xf numFmtId="0" fontId="18" fillId="33" borderId="11" xfId="44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left" vertical="center" wrapText="1"/>
    </xf>
    <xf numFmtId="0" fontId="29" fillId="0" borderId="0" xfId="0" applyFont="1" applyAlignment="1">
      <alignment vertical="top" wrapText="1"/>
    </xf>
    <xf numFmtId="3" fontId="18" fillId="0" borderId="11" xfId="0" applyNumberFormat="1" applyFont="1" applyBorder="1" applyAlignment="1">
      <alignment horizontal="right" vertical="center" wrapText="1"/>
    </xf>
    <xf numFmtId="168" fontId="26" fillId="0" borderId="0" xfId="0" applyNumberFormat="1" applyFont="1" applyAlignment="1">
      <alignment horizontal="center" wrapText="1"/>
    </xf>
    <xf numFmtId="0" fontId="26" fillId="0" borderId="0" xfId="0" applyFont="1" applyAlignment="1">
      <alignment wrapText="1"/>
    </xf>
    <xf numFmtId="0" fontId="25" fillId="0" borderId="18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3" fontId="18" fillId="33" borderId="11" xfId="0" applyNumberFormat="1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 wrapText="1"/>
    </xf>
    <xf numFmtId="0" fontId="26" fillId="33" borderId="12" xfId="0" applyFont="1" applyFill="1" applyBorder="1" applyAlignment="1">
      <alignment vertical="center" wrapText="1"/>
    </xf>
    <xf numFmtId="0" fontId="25" fillId="33" borderId="12" xfId="0" applyFont="1" applyFill="1" applyBorder="1" applyAlignment="1">
      <alignment vertical="center" wrapText="1"/>
    </xf>
    <xf numFmtId="0" fontId="27" fillId="33" borderId="12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left" vertical="center" wrapText="1"/>
    </xf>
    <xf numFmtId="0" fontId="26" fillId="33" borderId="0" xfId="42" applyFont="1" applyFill="1" applyAlignment="1">
      <alignment horizontal="left" vertical="center" wrapText="1"/>
    </xf>
    <xf numFmtId="0" fontId="25" fillId="33" borderId="0" xfId="0" applyFont="1" applyFill="1" applyAlignment="1">
      <alignment horizontal="left" vertical="center" wrapText="1"/>
    </xf>
    <xf numFmtId="0" fontId="27" fillId="33" borderId="0" xfId="0" applyFont="1" applyFill="1" applyAlignment="1">
      <alignment horizontal="left" vertical="center" wrapText="1"/>
    </xf>
    <xf numFmtId="0" fontId="18" fillId="33" borderId="0" xfId="47" applyFont="1" applyFill="1" applyAlignment="1">
      <alignment horizontal="left" vertical="center" wrapText="1"/>
    </xf>
    <xf numFmtId="0" fontId="18" fillId="0" borderId="11" xfId="0" quotePrefix="1" applyFont="1" applyBorder="1" applyAlignment="1">
      <alignment vertical="center" wrapText="1"/>
    </xf>
    <xf numFmtId="0" fontId="29" fillId="0" borderId="0" xfId="0" applyFont="1" applyAlignment="1">
      <alignment vertical="top"/>
    </xf>
    <xf numFmtId="0" fontId="29" fillId="0" borderId="0" xfId="0" applyFont="1" applyAlignment="1">
      <alignment horizontal="center" vertical="top"/>
    </xf>
    <xf numFmtId="4" fontId="29" fillId="0" borderId="0" xfId="0" applyNumberFormat="1" applyFont="1" applyAlignment="1">
      <alignment vertical="top"/>
    </xf>
    <xf numFmtId="0" fontId="25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4" fontId="18" fillId="0" borderId="0" xfId="0" applyNumberFormat="1" applyFont="1" applyAlignment="1">
      <alignment horizontal="center" vertical="top"/>
    </xf>
    <xf numFmtId="4" fontId="25" fillId="0" borderId="0" xfId="0" applyNumberFormat="1" applyFont="1" applyAlignment="1">
      <alignment horizontal="center" vertical="top" wrapText="1"/>
    </xf>
    <xf numFmtId="4" fontId="18" fillId="0" borderId="0" xfId="0" applyNumberFormat="1" applyFont="1" applyAlignment="1">
      <alignment vertical="top"/>
    </xf>
    <xf numFmtId="0" fontId="29" fillId="0" borderId="10" xfId="0" applyFont="1" applyBorder="1" applyAlignment="1">
      <alignment horizontal="center" vertical="top" wrapText="1"/>
    </xf>
    <xf numFmtId="0" fontId="29" fillId="0" borderId="10" xfId="0" applyFont="1" applyBorder="1" applyAlignment="1">
      <alignment horizontal="center" vertical="top"/>
    </xf>
    <xf numFmtId="0" fontId="29" fillId="0" borderId="11" xfId="0" applyFont="1" applyBorder="1" applyAlignment="1">
      <alignment horizontal="center" vertical="top"/>
    </xf>
    <xf numFmtId="0" fontId="29" fillId="0" borderId="11" xfId="0" applyFont="1" applyBorder="1" applyAlignment="1">
      <alignment horizontal="left" vertical="top"/>
    </xf>
    <xf numFmtId="0" fontId="29" fillId="0" borderId="11" xfId="0" applyFont="1" applyBorder="1" applyAlignment="1">
      <alignment vertical="top" wrapText="1"/>
    </xf>
    <xf numFmtId="4" fontId="29" fillId="0" borderId="11" xfId="0" applyNumberFormat="1" applyFont="1" applyBorder="1" applyAlignment="1">
      <alignment vertical="top"/>
    </xf>
    <xf numFmtId="0" fontId="35" fillId="0" borderId="11" xfId="0" applyFont="1" applyBorder="1" applyAlignment="1">
      <alignment vertical="top" wrapText="1"/>
    </xf>
    <xf numFmtId="0" fontId="36" fillId="0" borderId="11" xfId="0" applyFont="1" applyBorder="1" applyAlignment="1">
      <alignment vertical="top" wrapText="1"/>
    </xf>
    <xf numFmtId="0" fontId="34" fillId="0" borderId="0" xfId="0" applyFont="1" applyAlignment="1">
      <alignment vertical="top"/>
    </xf>
    <xf numFmtId="171" fontId="25" fillId="0" borderId="0" xfId="0" applyNumberFormat="1" applyFont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vertical="top"/>
    </xf>
    <xf numFmtId="0" fontId="18" fillId="0" borderId="11" xfId="0" applyFont="1" applyBorder="1" applyAlignment="1">
      <alignment horizontal="center" vertical="top" wrapText="1"/>
    </xf>
    <xf numFmtId="4" fontId="18" fillId="0" borderId="11" xfId="0" applyNumberFormat="1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/>
    </xf>
    <xf numFmtId="0" fontId="18" fillId="0" borderId="0" xfId="0" applyFont="1" applyAlignment="1">
      <alignment horizontal="left" vertical="top" wrapText="1"/>
    </xf>
    <xf numFmtId="3" fontId="18" fillId="0" borderId="11" xfId="0" applyNumberFormat="1" applyFont="1" applyBorder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26" fillId="0" borderId="11" xfId="0" applyFont="1" applyBorder="1" applyAlignment="1">
      <alignment vertical="top" wrapText="1"/>
    </xf>
    <xf numFmtId="0" fontId="18" fillId="0" borderId="11" xfId="0" applyFont="1" applyBorder="1" applyAlignment="1">
      <alignment vertical="top" wrapText="1"/>
    </xf>
    <xf numFmtId="0" fontId="18" fillId="0" borderId="0" xfId="44" applyFont="1" applyAlignment="1">
      <alignment vertical="top" wrapText="1"/>
    </xf>
    <xf numFmtId="0" fontId="27" fillId="0" borderId="0" xfId="0" applyFont="1" applyAlignment="1">
      <alignment horizontal="left" vertical="top"/>
    </xf>
    <xf numFmtId="0" fontId="18" fillId="0" borderId="12" xfId="44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27" fillId="0" borderId="0" xfId="44" applyFont="1" applyAlignment="1">
      <alignment vertical="top" wrapText="1"/>
    </xf>
    <xf numFmtId="0" fontId="33" fillId="0" borderId="11" xfId="0" applyFont="1" applyBorder="1" applyAlignment="1">
      <alignment vertical="top" wrapText="1"/>
    </xf>
    <xf numFmtId="4" fontId="18" fillId="0" borderId="11" xfId="0" applyNumberFormat="1" applyFont="1" applyBorder="1" applyAlignment="1">
      <alignment vertical="top"/>
    </xf>
    <xf numFmtId="4" fontId="18" fillId="33" borderId="11" xfId="0" applyNumberFormat="1" applyFont="1" applyFill="1" applyBorder="1" applyAlignment="1">
      <alignment horizontal="center" vertical="center" wrapText="1"/>
    </xf>
    <xf numFmtId="0" fontId="25" fillId="0" borderId="0" xfId="0" quotePrefix="1" applyFont="1" applyAlignment="1">
      <alignment horizontal="left" vertical="top"/>
    </xf>
    <xf numFmtId="172" fontId="25" fillId="0" borderId="0" xfId="0" applyNumberFormat="1" applyFont="1" applyAlignment="1">
      <alignment horizontal="center" vertical="top"/>
    </xf>
    <xf numFmtId="4" fontId="25" fillId="0" borderId="0" xfId="0" quotePrefix="1" applyNumberFormat="1" applyFont="1" applyAlignment="1">
      <alignment horizontal="center" vertical="top" wrapText="1"/>
    </xf>
    <xf numFmtId="0" fontId="27" fillId="0" borderId="0" xfId="0" quotePrefix="1" applyFont="1" applyAlignment="1">
      <alignment horizontal="left" vertical="top" wrapText="1"/>
    </xf>
    <xf numFmtId="3" fontId="18" fillId="0" borderId="0" xfId="0" applyNumberFormat="1" applyFont="1" applyAlignment="1">
      <alignment vertical="top"/>
    </xf>
    <xf numFmtId="43" fontId="18" fillId="0" borderId="0" xfId="0" applyNumberFormat="1" applyFont="1" applyAlignment="1">
      <alignment vertical="top"/>
    </xf>
    <xf numFmtId="4" fontId="29" fillId="33" borderId="10" xfId="0" quotePrefix="1" applyNumberFormat="1" applyFont="1" applyFill="1" applyBorder="1" applyAlignment="1">
      <alignment horizontal="center" vertical="top" wrapText="1"/>
    </xf>
    <xf numFmtId="173" fontId="25" fillId="0" borderId="0" xfId="0" applyNumberFormat="1" applyFont="1" applyAlignment="1">
      <alignment horizontal="center" vertical="center"/>
    </xf>
    <xf numFmtId="0" fontId="18" fillId="35" borderId="0" xfId="0" applyFont="1" applyFill="1" applyAlignment="1">
      <alignment vertical="top"/>
    </xf>
    <xf numFmtId="0" fontId="26" fillId="33" borderId="11" xfId="0" applyFont="1" applyFill="1" applyBorder="1" applyAlignment="1">
      <alignment vertical="top" wrapText="1"/>
    </xf>
    <xf numFmtId="0" fontId="27" fillId="33" borderId="11" xfId="0" applyFont="1" applyFill="1" applyBorder="1" applyAlignment="1">
      <alignment vertical="top" wrapText="1"/>
    </xf>
    <xf numFmtId="0" fontId="18" fillId="33" borderId="11" xfId="0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top" wrapText="1"/>
    </xf>
    <xf numFmtId="0" fontId="25" fillId="33" borderId="11" xfId="0" applyFont="1" applyFill="1" applyBorder="1" applyAlignment="1">
      <alignment horizontal="center" vertical="top" wrapText="1"/>
    </xf>
    <xf numFmtId="0" fontId="26" fillId="33" borderId="12" xfId="0" applyFont="1" applyFill="1" applyBorder="1" applyAlignment="1">
      <alignment vertical="top" wrapText="1"/>
    </xf>
    <xf numFmtId="0" fontId="18" fillId="33" borderId="18" xfId="0" applyFont="1" applyFill="1" applyBorder="1" applyAlignment="1">
      <alignment horizontal="center" vertical="top" wrapText="1"/>
    </xf>
    <xf numFmtId="4" fontId="18" fillId="33" borderId="18" xfId="0" applyNumberFormat="1" applyFont="1" applyFill="1" applyBorder="1" applyAlignment="1">
      <alignment horizontal="center" vertical="top" wrapText="1"/>
    </xf>
    <xf numFmtId="0" fontId="26" fillId="33" borderId="0" xfId="0" applyFont="1" applyFill="1" applyAlignment="1">
      <alignment vertical="top" wrapText="1"/>
    </xf>
    <xf numFmtId="4" fontId="18" fillId="33" borderId="11" xfId="0" applyNumberFormat="1" applyFont="1" applyFill="1" applyBorder="1" applyAlignment="1">
      <alignment horizontal="center" vertical="top" wrapText="1"/>
    </xf>
    <xf numFmtId="0" fontId="18" fillId="33" borderId="0" xfId="0" applyFont="1" applyFill="1" applyAlignment="1">
      <alignment horizontal="left" vertical="top" wrapText="1"/>
    </xf>
    <xf numFmtId="0" fontId="18" fillId="33" borderId="11" xfId="0" applyFont="1" applyFill="1" applyBorder="1" applyAlignment="1">
      <alignment horizontal="center" vertical="top"/>
    </xf>
    <xf numFmtId="3" fontId="18" fillId="33" borderId="11" xfId="0" applyNumberFormat="1" applyFont="1" applyFill="1" applyBorder="1" applyAlignment="1">
      <alignment horizontal="center" vertical="top" wrapText="1"/>
    </xf>
    <xf numFmtId="0" fontId="26" fillId="33" borderId="0" xfId="42" applyFont="1" applyFill="1" applyAlignment="1">
      <alignment horizontal="left" vertical="top" wrapText="1"/>
    </xf>
    <xf numFmtId="0" fontId="18" fillId="33" borderId="11" xfId="44" applyFont="1" applyFill="1" applyBorder="1" applyAlignment="1">
      <alignment horizontal="center" vertical="top" wrapText="1"/>
    </xf>
    <xf numFmtId="0" fontId="18" fillId="33" borderId="0" xfId="44" applyFont="1" applyFill="1" applyAlignment="1">
      <alignment vertical="top" wrapText="1"/>
    </xf>
    <xf numFmtId="164" fontId="18" fillId="33" borderId="11" xfId="0" applyNumberFormat="1" applyFont="1" applyFill="1" applyBorder="1" applyAlignment="1">
      <alignment horizontal="center" vertical="top" wrapText="1"/>
    </xf>
    <xf numFmtId="0" fontId="18" fillId="33" borderId="0" xfId="0" applyFont="1" applyFill="1" applyAlignment="1">
      <alignment vertical="top" wrapText="1"/>
    </xf>
    <xf numFmtId="0" fontId="27" fillId="33" borderId="0" xfId="0" applyFont="1" applyFill="1" applyAlignment="1">
      <alignment horizontal="left" vertical="top" wrapText="1"/>
    </xf>
    <xf numFmtId="0" fontId="25" fillId="33" borderId="0" xfId="0" applyFont="1" applyFill="1" applyAlignment="1">
      <alignment horizontal="left" vertical="top"/>
    </xf>
    <xf numFmtId="0" fontId="18" fillId="33" borderId="0" xfId="0" applyFont="1" applyFill="1" applyAlignment="1">
      <alignment horizontal="center" vertical="top" wrapText="1"/>
    </xf>
    <xf numFmtId="0" fontId="18" fillId="33" borderId="0" xfId="0" applyFont="1" applyFill="1" applyAlignment="1">
      <alignment horizontal="center" vertical="top"/>
    </xf>
    <xf numFmtId="4" fontId="18" fillId="33" borderId="0" xfId="0" applyNumberFormat="1" applyFont="1" applyFill="1" applyAlignment="1">
      <alignment horizontal="center" vertical="top"/>
    </xf>
    <xf numFmtId="4" fontId="25" fillId="33" borderId="0" xfId="0" applyNumberFormat="1" applyFont="1" applyFill="1" applyAlignment="1">
      <alignment horizontal="center" vertical="top" wrapText="1"/>
    </xf>
    <xf numFmtId="173" fontId="25" fillId="33" borderId="0" xfId="0" applyNumberFormat="1" applyFont="1" applyFill="1" applyAlignment="1">
      <alignment horizontal="center" vertical="center"/>
    </xf>
    <xf numFmtId="171" fontId="25" fillId="33" borderId="0" xfId="0" applyNumberFormat="1" applyFont="1" applyFill="1" applyAlignment="1">
      <alignment horizontal="center" vertical="top"/>
    </xf>
    <xf numFmtId="0" fontId="29" fillId="33" borderId="10" xfId="0" applyFont="1" applyFill="1" applyBorder="1" applyAlignment="1">
      <alignment horizontal="center" vertical="top" wrapText="1"/>
    </xf>
    <xf numFmtId="0" fontId="29" fillId="33" borderId="10" xfId="0" applyFont="1" applyFill="1" applyBorder="1" applyAlignment="1">
      <alignment horizontal="center" vertical="top"/>
    </xf>
    <xf numFmtId="0" fontId="26" fillId="33" borderId="0" xfId="0" applyFont="1" applyFill="1" applyAlignment="1">
      <alignment vertical="center" wrapText="1"/>
    </xf>
    <xf numFmtId="0" fontId="27" fillId="33" borderId="11" xfId="0" quotePrefix="1" applyFont="1" applyFill="1" applyBorder="1" applyAlignment="1">
      <alignment horizontal="left" vertical="center" wrapText="1"/>
    </xf>
    <xf numFmtId="164" fontId="18" fillId="33" borderId="11" xfId="0" applyNumberFormat="1" applyFont="1" applyFill="1" applyBorder="1" applyAlignment="1">
      <alignment horizontal="center" vertical="center" wrapText="1"/>
    </xf>
    <xf numFmtId="0" fontId="27" fillId="33" borderId="0" xfId="0" applyFont="1" applyFill="1" applyAlignment="1">
      <alignment vertical="center" wrapText="1"/>
    </xf>
    <xf numFmtId="0" fontId="18" fillId="33" borderId="11" xfId="0" applyFont="1" applyFill="1" applyBorder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25" fillId="33" borderId="0" xfId="0" quotePrefix="1" applyFont="1" applyFill="1" applyAlignment="1">
      <alignment horizontal="left" vertical="top"/>
    </xf>
    <xf numFmtId="0" fontId="26" fillId="33" borderId="11" xfId="42" applyFont="1" applyFill="1" applyBorder="1" applyAlignment="1">
      <alignment horizontal="center" vertical="top"/>
    </xf>
    <xf numFmtId="0" fontId="25" fillId="33" borderId="0" xfId="0" applyFont="1" applyFill="1" applyAlignment="1">
      <alignment horizontal="left" vertical="top" wrapText="1"/>
    </xf>
    <xf numFmtId="0" fontId="18" fillId="33" borderId="0" xfId="0" applyFont="1" applyFill="1" applyAlignment="1">
      <alignment vertical="top"/>
    </xf>
    <xf numFmtId="0" fontId="25" fillId="33" borderId="11" xfId="0" applyFont="1" applyFill="1" applyBorder="1" applyAlignment="1">
      <alignment vertical="top" wrapText="1"/>
    </xf>
    <xf numFmtId="0" fontId="29" fillId="33" borderId="11" xfId="0" applyFont="1" applyFill="1" applyBorder="1" applyAlignment="1">
      <alignment horizontal="center" vertical="top"/>
    </xf>
    <xf numFmtId="0" fontId="29" fillId="33" borderId="11" xfId="0" applyFont="1" applyFill="1" applyBorder="1" applyAlignment="1">
      <alignment horizontal="left" vertical="top"/>
    </xf>
    <xf numFmtId="0" fontId="29" fillId="33" borderId="11" xfId="0" applyFont="1" applyFill="1" applyBorder="1" applyAlignment="1">
      <alignment vertical="top" wrapText="1"/>
    </xf>
    <xf numFmtId="4" fontId="29" fillId="33" borderId="11" xfId="0" applyNumberFormat="1" applyFont="1" applyFill="1" applyBorder="1" applyAlignment="1">
      <alignment vertical="top"/>
    </xf>
    <xf numFmtId="0" fontId="18" fillId="33" borderId="12" xfId="0" applyFont="1" applyFill="1" applyBorder="1" applyAlignment="1">
      <alignment horizontal="center" vertical="top" wrapText="1"/>
    </xf>
    <xf numFmtId="0" fontId="18" fillId="33" borderId="13" xfId="0" applyFont="1" applyFill="1" applyBorder="1" applyAlignment="1">
      <alignment horizontal="center" vertical="top" wrapText="1"/>
    </xf>
    <xf numFmtId="0" fontId="25" fillId="33" borderId="12" xfId="0" applyFont="1" applyFill="1" applyBorder="1" applyAlignment="1">
      <alignment horizontal="center" vertical="top" wrapText="1"/>
    </xf>
    <xf numFmtId="4" fontId="18" fillId="33" borderId="11" xfId="0" applyNumberFormat="1" applyFont="1" applyFill="1" applyBorder="1" applyAlignment="1" applyProtection="1">
      <alignment horizontal="center" vertical="top" wrapText="1"/>
      <protection locked="0"/>
    </xf>
    <xf numFmtId="0" fontId="18" fillId="33" borderId="12" xfId="0" applyFont="1" applyFill="1" applyBorder="1" applyAlignment="1">
      <alignment horizontal="center" vertical="center"/>
    </xf>
    <xf numFmtId="0" fontId="27" fillId="0" borderId="11" xfId="0" applyFont="1" applyBorder="1" applyAlignment="1">
      <alignment vertical="top" wrapText="1"/>
    </xf>
    <xf numFmtId="0" fontId="28" fillId="0" borderId="11" xfId="0" applyFont="1" applyBorder="1" applyAlignment="1">
      <alignment horizontal="center" vertical="top"/>
    </xf>
    <xf numFmtId="166" fontId="40" fillId="0" borderId="11" xfId="46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4" fontId="18" fillId="33" borderId="0" xfId="0" quotePrefix="1" applyNumberFormat="1" applyFont="1" applyFill="1" applyAlignment="1">
      <alignment vertical="top"/>
    </xf>
    <xf numFmtId="4" fontId="18" fillId="0" borderId="0" xfId="0" quotePrefix="1" applyNumberFormat="1" applyFont="1" applyAlignment="1">
      <alignment vertical="top"/>
    </xf>
    <xf numFmtId="0" fontId="40" fillId="0" borderId="0" xfId="0" applyFont="1" applyAlignment="1">
      <alignment horizontal="left" vertical="center" wrapText="1"/>
    </xf>
    <xf numFmtId="4" fontId="29" fillId="0" borderId="11" xfId="0" applyNumberFormat="1" applyFont="1" applyBorder="1" applyAlignment="1">
      <alignment horizontal="left" vertical="top"/>
    </xf>
    <xf numFmtId="164" fontId="18" fillId="33" borderId="11" xfId="0" applyNumberFormat="1" applyFont="1" applyFill="1" applyBorder="1" applyAlignment="1">
      <alignment horizontal="left" vertical="center" wrapText="1"/>
    </xf>
    <xf numFmtId="4" fontId="18" fillId="0" borderId="11" xfId="0" applyNumberFormat="1" applyFont="1" applyBorder="1" applyAlignment="1">
      <alignment horizontal="left" vertical="top"/>
    </xf>
    <xf numFmtId="4" fontId="29" fillId="0" borderId="10" xfId="0" applyNumberFormat="1" applyFont="1" applyBorder="1" applyAlignment="1">
      <alignment horizontal="center" vertical="top" wrapText="1"/>
    </xf>
    <xf numFmtId="4" fontId="18" fillId="0" borderId="11" xfId="0" applyNumberFormat="1" applyFont="1" applyBorder="1" applyAlignment="1">
      <alignment horizontal="center" vertical="top"/>
    </xf>
    <xf numFmtId="0" fontId="25" fillId="33" borderId="0" xfId="0" applyFont="1" applyFill="1" applyAlignment="1">
      <alignment vertical="center"/>
    </xf>
    <xf numFmtId="0" fontId="41" fillId="0" borderId="0" xfId="0" applyFont="1" applyAlignment="1">
      <alignment horizontal="center" vertical="top" wrapText="1"/>
    </xf>
    <xf numFmtId="173" fontId="25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0" fontId="25" fillId="0" borderId="10" xfId="0" applyFont="1" applyBorder="1" applyAlignment="1">
      <alignment horizontal="center" vertical="center" wrapText="1"/>
    </xf>
    <xf numFmtId="0" fontId="25" fillId="0" borderId="18" xfId="0" applyFont="1" applyBorder="1" applyAlignment="1">
      <alignment vertical="center" wrapText="1"/>
    </xf>
    <xf numFmtId="170" fontId="18" fillId="0" borderId="13" xfId="0" applyNumberFormat="1" applyFont="1" applyBorder="1" applyAlignment="1">
      <alignment vertical="center"/>
    </xf>
    <xf numFmtId="0" fontId="25" fillId="0" borderId="11" xfId="0" applyFont="1" applyBorder="1" applyAlignment="1">
      <alignment horizontal="center" vertical="top" wrapText="1"/>
    </xf>
    <xf numFmtId="0" fontId="26" fillId="0" borderId="0" xfId="42" applyFont="1" applyAlignment="1">
      <alignment horizontal="left" vertical="top" wrapText="1"/>
    </xf>
    <xf numFmtId="0" fontId="26" fillId="0" borderId="11" xfId="42" applyFont="1" applyBorder="1" applyAlignment="1">
      <alignment horizontal="center" vertical="top"/>
    </xf>
    <xf numFmtId="0" fontId="25" fillId="0" borderId="0" xfId="0" applyFont="1" applyAlignment="1">
      <alignment horizontal="left" vertical="top" wrapText="1"/>
    </xf>
    <xf numFmtId="4" fontId="18" fillId="0" borderId="11" xfId="0" applyNumberFormat="1" applyFont="1" applyBorder="1" applyAlignment="1">
      <alignment horizontal="center" vertical="center" wrapText="1"/>
    </xf>
    <xf numFmtId="0" fontId="18" fillId="0" borderId="11" xfId="0" quotePrefix="1" applyFont="1" applyBorder="1" applyAlignment="1">
      <alignment horizontal="left" vertical="center" wrapText="1"/>
    </xf>
    <xf numFmtId="44" fontId="18" fillId="33" borderId="11" xfId="0" applyNumberFormat="1" applyFont="1" applyFill="1" applyBorder="1" applyAlignment="1">
      <alignment horizontal="center" vertical="center" wrapText="1"/>
    </xf>
    <xf numFmtId="44" fontId="18" fillId="33" borderId="10" xfId="0" applyNumberFormat="1" applyFont="1" applyFill="1" applyBorder="1" applyAlignment="1">
      <alignment horizontal="center" vertical="center" wrapText="1"/>
    </xf>
    <xf numFmtId="164" fontId="18" fillId="0" borderId="11" xfId="0" applyNumberFormat="1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32" fillId="33" borderId="0" xfId="0" applyFont="1" applyFill="1" applyAlignment="1">
      <alignment horizontal="left" vertical="top"/>
    </xf>
    <xf numFmtId="0" fontId="28" fillId="33" borderId="11" xfId="0" applyFont="1" applyFill="1" applyBorder="1" applyAlignment="1">
      <alignment horizontal="center" vertical="top" wrapText="1"/>
    </xf>
    <xf numFmtId="0" fontId="28" fillId="0" borderId="11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/>
    </xf>
    <xf numFmtId="166" fontId="40" fillId="0" borderId="11" xfId="46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" fontId="18" fillId="0" borderId="11" xfId="47" quotePrefix="1" applyNumberFormat="1" applyFont="1" applyBorder="1" applyAlignment="1">
      <alignment horizontal="center"/>
    </xf>
    <xf numFmtId="0" fontId="18" fillId="0" borderId="11" xfId="58" applyFont="1" applyBorder="1" applyAlignment="1">
      <alignment horizontal="center" wrapText="1"/>
    </xf>
    <xf numFmtId="169" fontId="18" fillId="0" borderId="11" xfId="43" applyNumberFormat="1" applyFont="1" applyFill="1" applyBorder="1" applyAlignment="1">
      <alignment horizontal="right"/>
    </xf>
    <xf numFmtId="175" fontId="18" fillId="0" borderId="11" xfId="59" applyNumberFormat="1" applyFont="1" applyFill="1" applyBorder="1" applyAlignment="1">
      <alignment horizontal="center"/>
    </xf>
    <xf numFmtId="0" fontId="38" fillId="0" borderId="12" xfId="44" applyFont="1" applyBorder="1" applyAlignment="1">
      <alignment horizontal="center" vertical="top" wrapText="1"/>
    </xf>
    <xf numFmtId="3" fontId="38" fillId="0" borderId="11" xfId="0" applyNumberFormat="1" applyFont="1" applyBorder="1" applyAlignment="1">
      <alignment horizontal="center" vertical="top" wrapText="1"/>
    </xf>
    <xf numFmtId="4" fontId="38" fillId="0" borderId="11" xfId="0" applyNumberFormat="1" applyFont="1" applyBorder="1" applyAlignment="1">
      <alignment horizontal="center" vertical="top" wrapText="1"/>
    </xf>
    <xf numFmtId="0" fontId="38" fillId="0" borderId="0" xfId="44" applyFont="1" applyAlignment="1">
      <alignment vertical="top" wrapText="1"/>
    </xf>
    <xf numFmtId="4" fontId="18" fillId="0" borderId="18" xfId="0" applyNumberFormat="1" applyFont="1" applyBorder="1" applyAlignment="1">
      <alignment horizontal="center" vertical="top" wrapText="1"/>
    </xf>
    <xf numFmtId="0" fontId="26" fillId="0" borderId="11" xfId="44" applyFont="1" applyBorder="1" applyAlignment="1">
      <alignment vertical="center" wrapText="1"/>
    </xf>
    <xf numFmtId="0" fontId="18" fillId="0" borderId="11" xfId="44" applyFont="1" applyBorder="1" applyAlignment="1">
      <alignment vertical="center" wrapText="1"/>
    </xf>
    <xf numFmtId="0" fontId="18" fillId="0" borderId="0" xfId="44" applyFont="1" applyAlignment="1">
      <alignment vertical="center" wrapText="1"/>
    </xf>
    <xf numFmtId="43" fontId="18" fillId="0" borderId="11" xfId="0" applyNumberFormat="1" applyFont="1" applyBorder="1" applyAlignment="1">
      <alignment vertical="center" wrapText="1"/>
    </xf>
    <xf numFmtId="0" fontId="18" fillId="0" borderId="11" xfId="0" applyFont="1" applyBorder="1" applyAlignment="1">
      <alignment horizontal="center"/>
    </xf>
    <xf numFmtId="0" fontId="25" fillId="0" borderId="0" xfId="0" applyFont="1"/>
    <xf numFmtId="0" fontId="27" fillId="0" borderId="11" xfId="44" applyFont="1" applyBorder="1" applyAlignment="1">
      <alignment vertical="center" wrapText="1"/>
    </xf>
    <xf numFmtId="0" fontId="38" fillId="0" borderId="0" xfId="44" applyFont="1" applyAlignment="1">
      <alignment vertical="center" wrapText="1"/>
    </xf>
    <xf numFmtId="0" fontId="38" fillId="0" borderId="11" xfId="44" applyFont="1" applyBorder="1" applyAlignment="1">
      <alignment horizontal="center" vertical="center" wrapText="1"/>
    </xf>
    <xf numFmtId="3" fontId="38" fillId="0" borderId="11" xfId="0" applyNumberFormat="1" applyFont="1" applyBorder="1" applyAlignment="1">
      <alignment horizontal="right" vertical="center" wrapText="1"/>
    </xf>
    <xf numFmtId="4" fontId="38" fillId="0" borderId="11" xfId="0" applyNumberFormat="1" applyFont="1" applyBorder="1" applyAlignment="1">
      <alignment horizontal="center" vertical="center" wrapText="1"/>
    </xf>
    <xf numFmtId="176" fontId="18" fillId="0" borderId="11" xfId="0" applyNumberFormat="1" applyFont="1" applyBorder="1" applyAlignment="1">
      <alignment horizontal="center" vertical="center" wrapText="1"/>
    </xf>
    <xf numFmtId="176" fontId="18" fillId="0" borderId="10" xfId="0" applyNumberFormat="1" applyFont="1" applyBorder="1" applyAlignment="1">
      <alignment horizontal="center" vertical="center" wrapText="1"/>
    </xf>
    <xf numFmtId="176" fontId="18" fillId="33" borderId="10" xfId="0" applyNumberFormat="1" applyFont="1" applyFill="1" applyBorder="1" applyAlignment="1">
      <alignment horizontal="center" vertical="center" wrapText="1"/>
    </xf>
    <xf numFmtId="176" fontId="18" fillId="33" borderId="11" xfId="0" applyNumberFormat="1" applyFont="1" applyFill="1" applyBorder="1" applyAlignment="1">
      <alignment horizontal="center" vertical="center" wrapText="1"/>
    </xf>
    <xf numFmtId="0" fontId="18" fillId="0" borderId="12" xfId="44" applyFont="1" applyBorder="1" applyAlignment="1">
      <alignment horizontal="center" vertical="center" wrapText="1"/>
    </xf>
    <xf numFmtId="0" fontId="18" fillId="0" borderId="0" xfId="0" quotePrefix="1" applyFont="1" applyAlignment="1">
      <alignment horizontal="left" vertical="center" wrapText="1"/>
    </xf>
    <xf numFmtId="165" fontId="18" fillId="0" borderId="11" xfId="0" applyNumberFormat="1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/>
    </xf>
    <xf numFmtId="4" fontId="29" fillId="0" borderId="11" xfId="0" applyNumberFormat="1" applyFont="1" applyBorder="1" applyAlignment="1">
      <alignment horizontal="center" vertical="top"/>
    </xf>
    <xf numFmtId="167" fontId="18" fillId="0" borderId="11" xfId="0" applyNumberFormat="1" applyFont="1" applyBorder="1" applyAlignment="1">
      <alignment horizontal="center" vertical="center" wrapText="1"/>
    </xf>
    <xf numFmtId="173" fontId="25" fillId="0" borderId="0" xfId="0" quotePrefix="1" applyNumberFormat="1" applyFont="1" applyAlignment="1">
      <alignment horizontal="center" vertical="center"/>
    </xf>
    <xf numFmtId="169" fontId="18" fillId="0" borderId="11" xfId="43" applyNumberFormat="1" applyFont="1" applyBorder="1" applyAlignment="1">
      <alignment horizontal="right" vertical="center"/>
    </xf>
    <xf numFmtId="0" fontId="34" fillId="0" borderId="11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left" vertical="top" wrapText="1"/>
    </xf>
    <xf numFmtId="176" fontId="18" fillId="0" borderId="0" xfId="0" applyNumberFormat="1" applyFont="1" applyAlignment="1">
      <alignment horizontal="center" vertical="center" wrapText="1"/>
    </xf>
    <xf numFmtId="166" fontId="40" fillId="0" borderId="12" xfId="46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25" fillId="33" borderId="12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7" fillId="33" borderId="12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26" fillId="0" borderId="12" xfId="42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33" borderId="12" xfId="0" applyFont="1" applyFill="1" applyBorder="1" applyAlignment="1">
      <alignment horizontal="left" vertical="center" wrapText="1"/>
    </xf>
    <xf numFmtId="0" fontId="18" fillId="0" borderId="19" xfId="0" applyFont="1" applyBorder="1" applyAlignment="1">
      <alignment vertical="center" wrapText="1"/>
    </xf>
    <xf numFmtId="0" fontId="18" fillId="0" borderId="19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 wrapText="1"/>
    </xf>
    <xf numFmtId="3" fontId="18" fillId="0" borderId="19" xfId="0" applyNumberFormat="1" applyFont="1" applyBorder="1" applyAlignment="1">
      <alignment horizontal="center" vertical="center" wrapText="1"/>
    </xf>
    <xf numFmtId="3" fontId="18" fillId="33" borderId="12" xfId="0" applyNumberFormat="1" applyFont="1" applyFill="1" applyBorder="1" applyAlignment="1">
      <alignment horizontal="center" vertical="center" wrapText="1"/>
    </xf>
    <xf numFmtId="4" fontId="18" fillId="0" borderId="20" xfId="0" applyNumberFormat="1" applyFont="1" applyBorder="1" applyAlignment="1">
      <alignment horizontal="center" vertical="center" wrapText="1"/>
    </xf>
    <xf numFmtId="0" fontId="30" fillId="0" borderId="14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15" xfId="0" applyFont="1" applyBorder="1" applyAlignment="1">
      <alignment vertical="center" wrapText="1"/>
    </xf>
    <xf numFmtId="0" fontId="29" fillId="0" borderId="14" xfId="0" applyFont="1" applyBorder="1" applyAlignment="1">
      <alignment horizontal="left" vertical="center" wrapText="1" indent="4"/>
    </xf>
    <xf numFmtId="0" fontId="29" fillId="0" borderId="16" xfId="0" applyFont="1" applyBorder="1" applyAlignment="1">
      <alignment horizontal="left" vertical="center" wrapText="1" indent="4"/>
    </xf>
    <xf numFmtId="0" fontId="29" fillId="0" borderId="15" xfId="0" applyFont="1" applyBorder="1" applyAlignment="1">
      <alignment horizontal="left" vertical="center" wrapText="1" indent="4"/>
    </xf>
    <xf numFmtId="0" fontId="30" fillId="33" borderId="14" xfId="0" applyFont="1" applyFill="1" applyBorder="1" applyAlignment="1">
      <alignment vertical="center" wrapText="1"/>
    </xf>
    <xf numFmtId="0" fontId="30" fillId="33" borderId="16" xfId="0" applyFont="1" applyFill="1" applyBorder="1" applyAlignment="1">
      <alignment vertical="center" wrapText="1"/>
    </xf>
    <xf numFmtId="0" fontId="30" fillId="33" borderId="15" xfId="0" applyFont="1" applyFill="1" applyBorder="1" applyAlignment="1">
      <alignment vertical="center" wrapText="1"/>
    </xf>
    <xf numFmtId="0" fontId="25" fillId="0" borderId="10" xfId="0" applyFont="1" applyBorder="1" applyAlignment="1">
      <alignment vertical="center"/>
    </xf>
    <xf numFmtId="0" fontId="26" fillId="0" borderId="0" xfId="42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44" fontId="18" fillId="0" borderId="11" xfId="0" applyNumberFormat="1" applyFont="1" applyBorder="1" applyAlignment="1">
      <alignment horizontal="center" vertical="center" wrapText="1"/>
    </xf>
  </cellXfs>
  <cellStyles count="6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 xr:uid="{00000000-0005-0000-0000-00001B000000}"/>
    <cellStyle name="Comma 2 2" xfId="57" xr:uid="{412D5341-3003-4C6E-8708-C865B7D5E367}"/>
    <cellStyle name="Comma 2 2 2" xfId="61" xr:uid="{AE9D49FC-D993-439E-9E79-06D702B28E60}"/>
    <cellStyle name="Comma 2 3" xfId="60" xr:uid="{FBAC30A5-FF21-405C-A780-305BF3DABF53}"/>
    <cellStyle name="Comma 3" xfId="56" xr:uid="{00000000-0005-0000-0000-00001C000000}"/>
    <cellStyle name="Comma 4" xfId="59" xr:uid="{257EA232-8F05-4492-BB64-FD14DF19A09E}"/>
    <cellStyle name="Comma0" xfId="43" xr:uid="{00000000-0005-0000-0000-00001D000000}"/>
    <cellStyle name="Currency 2" xfId="49" xr:uid="{00000000-0005-0000-0000-00001E000000}"/>
    <cellStyle name="Currency 2 2" xfId="63" xr:uid="{CA229538-1C7B-4401-9A69-553CB8AA6F14}"/>
    <cellStyle name="Currency 2 3" xfId="62" xr:uid="{6C7A86D6-4B49-4CEA-90AC-E3909895346F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7" xr:uid="{00000000-0005-0000-0000-000029000000}"/>
    <cellStyle name="Normal 2 2" xfId="64" xr:uid="{38D95D6A-A30A-4479-98D2-3602DD5051E1}"/>
    <cellStyle name="Normal 2 2 2" xfId="65" xr:uid="{9A6BF608-CBF1-4D95-BD8D-D93B88A87F65}"/>
    <cellStyle name="Normal 3" xfId="44" xr:uid="{00000000-0005-0000-0000-00002A000000}"/>
    <cellStyle name="Normal 3 2" xfId="66" xr:uid="{C5AAC79A-F435-4358-AF8D-1A8A8754B295}"/>
    <cellStyle name="Normal 4" xfId="50" xr:uid="{00000000-0005-0000-0000-00002B000000}"/>
    <cellStyle name="Normal 5" xfId="54" xr:uid="{00000000-0005-0000-0000-00002C000000}"/>
    <cellStyle name="Normal 6" xfId="52" xr:uid="{00000000-0005-0000-0000-00002D000000}"/>
    <cellStyle name="Normal 7" xfId="55" xr:uid="{00000000-0005-0000-0000-00002E000000}"/>
    <cellStyle name="Normal 8" xfId="58" xr:uid="{6083953A-CB36-48DF-8722-760500751BEC}"/>
    <cellStyle name="Note" xfId="15" builtinId="10" customBuiltin="1"/>
    <cellStyle name="OPSKRIF" xfId="42" xr:uid="{00000000-0005-0000-0000-000030000000}"/>
    <cellStyle name="OPSKRIFTE" xfId="53" xr:uid="{00000000-0005-0000-0000-000031000000}"/>
    <cellStyle name="Output" xfId="10" builtinId="21" customBuiltin="1"/>
    <cellStyle name="Percent 2" xfId="48" xr:uid="{00000000-0005-0000-0000-000034000000}"/>
    <cellStyle name="Percent 3" xfId="45" xr:uid="{00000000-0005-0000-0000-000035000000}"/>
    <cellStyle name="Title" xfId="1" builtinId="15" customBuiltin="1"/>
    <cellStyle name="Total" xfId="17" builtinId="25" customBuiltin="1"/>
    <cellStyle name="TR1" xfId="51" xr:uid="{00000000-0005-0000-0000-000038000000}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  <color rgb="FF99FF99"/>
      <color rgb="FFFFFF66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"/>
  <sheetViews>
    <sheetView showGridLines="0" showZeros="0" view="pageBreakPreview" topLeftCell="A107" zoomScaleNormal="100" zoomScaleSheetLayoutView="100" workbookViewId="0">
      <selection activeCell="F7" sqref="F7"/>
    </sheetView>
  </sheetViews>
  <sheetFormatPr defaultColWidth="9.109375" defaultRowHeight="10.199999999999999"/>
  <cols>
    <col min="1" max="1" width="4.88671875" style="44" customWidth="1"/>
    <col min="2" max="2" width="8.33203125" style="41" customWidth="1"/>
    <col min="3" max="3" width="41.6640625" style="18" customWidth="1"/>
    <col min="4" max="4" width="5.109375" style="41" customWidth="1"/>
    <col min="5" max="5" width="6" style="41" customWidth="1"/>
    <col min="6" max="6" width="8" style="42" customWidth="1"/>
    <col min="7" max="7" width="16" style="42" bestFit="1" customWidth="1"/>
    <col min="8" max="16384" width="9.109375" style="40"/>
  </cols>
  <sheetData>
    <row r="1" spans="1:7" hidden="1">
      <c r="A1" s="59"/>
    </row>
    <row r="2" spans="1:7" ht="15" customHeight="1">
      <c r="A2" s="76" t="s">
        <v>255</v>
      </c>
      <c r="B2" s="58"/>
      <c r="C2" s="25"/>
      <c r="D2" s="44"/>
      <c r="E2" s="44"/>
      <c r="F2" s="45"/>
      <c r="G2" s="78" t="s">
        <v>250</v>
      </c>
    </row>
    <row r="3" spans="1:7" ht="15" customHeight="1">
      <c r="A3" s="76" t="s">
        <v>254</v>
      </c>
      <c r="B3" s="58"/>
      <c r="C3" s="25"/>
      <c r="D3" s="44"/>
      <c r="E3" s="44"/>
      <c r="F3" s="45"/>
      <c r="G3" s="47"/>
    </row>
    <row r="4" spans="1:7" ht="15" customHeight="1">
      <c r="A4" s="43" t="s">
        <v>125</v>
      </c>
      <c r="B4" s="58"/>
      <c r="C4" s="25"/>
      <c r="D4" s="44"/>
      <c r="E4" s="44"/>
      <c r="F4" s="45"/>
      <c r="G4" s="202">
        <v>45184</v>
      </c>
    </row>
    <row r="5" spans="1:7" ht="15" customHeight="1">
      <c r="A5" s="43"/>
      <c r="B5" s="58"/>
      <c r="C5" s="25"/>
      <c r="D5" s="44"/>
      <c r="E5" s="44"/>
      <c r="F5" s="45"/>
      <c r="G5" s="77"/>
    </row>
    <row r="6" spans="1:7" s="41" customFormat="1" ht="24.75" customHeight="1">
      <c r="A6" s="111" t="s">
        <v>8</v>
      </c>
      <c r="B6" s="112" t="s">
        <v>9</v>
      </c>
      <c r="C6" s="111" t="s">
        <v>10</v>
      </c>
      <c r="D6" s="112" t="s">
        <v>11</v>
      </c>
      <c r="E6" s="112" t="s">
        <v>32</v>
      </c>
      <c r="F6" s="82" t="s">
        <v>266</v>
      </c>
      <c r="G6" s="82" t="s">
        <v>261</v>
      </c>
    </row>
    <row r="7" spans="1:7">
      <c r="A7" s="62"/>
      <c r="B7" s="50"/>
      <c r="C7" s="52"/>
      <c r="D7" s="50"/>
      <c r="E7" s="50"/>
      <c r="F7" s="53"/>
      <c r="G7" s="53"/>
    </row>
    <row r="8" spans="1:7" ht="20.399999999999999">
      <c r="A8" s="62"/>
      <c r="B8" s="204" t="s">
        <v>114</v>
      </c>
      <c r="C8" s="54" t="s">
        <v>116</v>
      </c>
      <c r="D8" s="50"/>
      <c r="E8" s="50"/>
      <c r="F8" s="53"/>
      <c r="G8" s="53"/>
    </row>
    <row r="9" spans="1:7">
      <c r="A9" s="62"/>
      <c r="B9" s="50"/>
      <c r="C9" s="52"/>
      <c r="D9" s="50"/>
      <c r="E9" s="50"/>
      <c r="F9" s="53"/>
      <c r="G9" s="53"/>
    </row>
    <row r="10" spans="1:7">
      <c r="A10" s="62"/>
      <c r="B10" s="50" t="s">
        <v>98</v>
      </c>
      <c r="C10" s="54" t="s">
        <v>17</v>
      </c>
      <c r="D10" s="50"/>
      <c r="E10" s="50"/>
      <c r="F10" s="53"/>
      <c r="G10" s="53"/>
    </row>
    <row r="11" spans="1:7">
      <c r="A11" s="62"/>
      <c r="B11" s="50"/>
      <c r="C11" s="52"/>
      <c r="D11" s="50"/>
      <c r="E11" s="50"/>
      <c r="F11" s="53"/>
      <c r="G11" s="53"/>
    </row>
    <row r="12" spans="1:7" ht="20.399999999999999">
      <c r="A12" s="62">
        <v>1</v>
      </c>
      <c r="B12" s="50" t="s">
        <v>76</v>
      </c>
      <c r="C12" s="52" t="s">
        <v>29</v>
      </c>
      <c r="D12" s="50" t="s">
        <v>18</v>
      </c>
      <c r="E12" s="50">
        <v>1</v>
      </c>
      <c r="F12" s="53"/>
      <c r="G12" s="159">
        <f>E12*F12</f>
        <v>0</v>
      </c>
    </row>
    <row r="13" spans="1:7">
      <c r="A13" s="62"/>
      <c r="B13" s="50"/>
      <c r="C13" s="52"/>
      <c r="D13" s="50"/>
      <c r="E13" s="50"/>
      <c r="F13" s="53"/>
      <c r="G13" s="53"/>
    </row>
    <row r="14" spans="1:7">
      <c r="A14" s="62"/>
      <c r="B14" s="50" t="s">
        <v>99</v>
      </c>
      <c r="C14" s="55" t="s">
        <v>19</v>
      </c>
      <c r="D14" s="50"/>
      <c r="E14" s="50"/>
      <c r="F14" s="53"/>
      <c r="G14" s="53"/>
    </row>
    <row r="15" spans="1:7">
      <c r="A15" s="62"/>
      <c r="B15" s="50"/>
      <c r="C15" s="52"/>
      <c r="D15" s="50"/>
      <c r="E15" s="50"/>
      <c r="F15" s="53"/>
      <c r="G15" s="53"/>
    </row>
    <row r="16" spans="1:7">
      <c r="A16" s="62"/>
      <c r="B16" s="50" t="s">
        <v>155</v>
      </c>
      <c r="C16" s="73" t="s">
        <v>156</v>
      </c>
      <c r="D16" s="50"/>
      <c r="E16" s="50"/>
      <c r="F16" s="53"/>
      <c r="G16" s="53"/>
    </row>
    <row r="17" spans="1:7">
      <c r="A17" s="62"/>
      <c r="B17" s="50"/>
      <c r="C17" s="67"/>
      <c r="D17" s="62"/>
      <c r="E17" s="62"/>
      <c r="F17" s="74"/>
      <c r="G17" s="74"/>
    </row>
    <row r="18" spans="1:7">
      <c r="A18" s="62"/>
      <c r="B18" s="50" t="s">
        <v>157</v>
      </c>
      <c r="C18" s="67" t="s">
        <v>208</v>
      </c>
      <c r="D18" s="62" t="s">
        <v>18</v>
      </c>
      <c r="E18" s="62">
        <v>1</v>
      </c>
      <c r="F18" s="74"/>
      <c r="G18" s="159">
        <f>E18*F18</f>
        <v>0</v>
      </c>
    </row>
    <row r="19" spans="1:7">
      <c r="A19" s="62"/>
      <c r="B19" s="50"/>
      <c r="C19" s="67"/>
      <c r="D19" s="62"/>
      <c r="E19" s="62"/>
      <c r="F19" s="74"/>
      <c r="G19" s="74"/>
    </row>
    <row r="20" spans="1:7">
      <c r="A20" s="62"/>
      <c r="B20" s="50" t="s">
        <v>158</v>
      </c>
      <c r="C20" s="67" t="s">
        <v>159</v>
      </c>
      <c r="D20" s="62" t="s">
        <v>18</v>
      </c>
      <c r="E20" s="62">
        <v>1</v>
      </c>
      <c r="F20" s="74"/>
      <c r="G20" s="159">
        <f>E20*F20</f>
        <v>0</v>
      </c>
    </row>
    <row r="21" spans="1:7">
      <c r="A21" s="62"/>
      <c r="B21" s="50"/>
      <c r="C21" s="52"/>
      <c r="D21" s="50"/>
      <c r="E21" s="50"/>
      <c r="F21" s="53"/>
      <c r="G21" s="53"/>
    </row>
    <row r="22" spans="1:7">
      <c r="A22" s="62"/>
      <c r="B22" s="50" t="s">
        <v>160</v>
      </c>
      <c r="C22" s="73" t="s">
        <v>20</v>
      </c>
      <c r="D22" s="50"/>
      <c r="E22" s="50"/>
      <c r="F22" s="53"/>
      <c r="G22" s="53"/>
    </row>
    <row r="23" spans="1:7">
      <c r="A23" s="62"/>
      <c r="B23" s="50"/>
      <c r="C23" s="52"/>
      <c r="D23" s="50"/>
      <c r="E23" s="50"/>
      <c r="F23" s="53"/>
      <c r="G23" s="53"/>
    </row>
    <row r="24" spans="1:7">
      <c r="A24" s="62">
        <v>2</v>
      </c>
      <c r="B24" s="50" t="s">
        <v>161</v>
      </c>
      <c r="C24" s="52" t="s">
        <v>162</v>
      </c>
      <c r="D24" s="50" t="s">
        <v>18</v>
      </c>
      <c r="E24" s="50">
        <v>1</v>
      </c>
      <c r="F24" s="53"/>
      <c r="G24" s="159">
        <f>E24*F24</f>
        <v>0</v>
      </c>
    </row>
    <row r="25" spans="1:7">
      <c r="A25" s="62"/>
      <c r="B25" s="50"/>
      <c r="C25" s="52"/>
      <c r="D25" s="50"/>
      <c r="E25" s="50"/>
      <c r="F25" s="53"/>
      <c r="G25" s="53"/>
    </row>
    <row r="26" spans="1:7">
      <c r="A26" s="62">
        <v>3</v>
      </c>
      <c r="B26" s="50" t="s">
        <v>163</v>
      </c>
      <c r="C26" s="52" t="s">
        <v>164</v>
      </c>
      <c r="D26" s="50" t="s">
        <v>18</v>
      </c>
      <c r="E26" s="50">
        <v>1</v>
      </c>
      <c r="F26" s="53"/>
      <c r="G26" s="159">
        <f>E26*F26</f>
        <v>0</v>
      </c>
    </row>
    <row r="27" spans="1:7">
      <c r="A27" s="62"/>
      <c r="B27" s="50"/>
      <c r="C27" s="52"/>
      <c r="D27" s="50"/>
      <c r="E27" s="50"/>
      <c r="F27" s="53"/>
      <c r="G27" s="53"/>
    </row>
    <row r="28" spans="1:7">
      <c r="A28" s="62">
        <v>4</v>
      </c>
      <c r="B28" s="50" t="s">
        <v>165</v>
      </c>
      <c r="C28" s="52" t="s">
        <v>166</v>
      </c>
      <c r="D28" s="50" t="s">
        <v>18</v>
      </c>
      <c r="E28" s="50">
        <v>1</v>
      </c>
      <c r="F28" s="53"/>
      <c r="G28" s="159">
        <f>E28*F28</f>
        <v>0</v>
      </c>
    </row>
    <row r="29" spans="1:7">
      <c r="A29" s="62"/>
      <c r="B29" s="50"/>
      <c r="C29" s="52"/>
      <c r="D29" s="50"/>
      <c r="E29" s="50"/>
      <c r="F29" s="53"/>
      <c r="G29" s="53"/>
    </row>
    <row r="30" spans="1:7">
      <c r="A30" s="62">
        <v>5</v>
      </c>
      <c r="B30" s="50" t="s">
        <v>167</v>
      </c>
      <c r="C30" s="52" t="s">
        <v>168</v>
      </c>
      <c r="D30" s="50" t="s">
        <v>18</v>
      </c>
      <c r="E30" s="50">
        <v>1</v>
      </c>
      <c r="F30" s="53"/>
      <c r="G30" s="159">
        <f>E30*F30</f>
        <v>0</v>
      </c>
    </row>
    <row r="31" spans="1:7">
      <c r="A31" s="62"/>
      <c r="B31" s="50"/>
      <c r="C31" s="52"/>
      <c r="D31" s="50"/>
      <c r="E31" s="50"/>
      <c r="F31" s="53"/>
      <c r="G31" s="53"/>
    </row>
    <row r="32" spans="1:7">
      <c r="A32" s="62">
        <v>6</v>
      </c>
      <c r="B32" s="50" t="s">
        <v>169</v>
      </c>
      <c r="C32" s="52" t="s">
        <v>170</v>
      </c>
      <c r="D32" s="50" t="s">
        <v>18</v>
      </c>
      <c r="E32" s="50">
        <v>1</v>
      </c>
      <c r="F32" s="53"/>
      <c r="G32" s="159">
        <f>E32*F32</f>
        <v>0</v>
      </c>
    </row>
    <row r="33" spans="1:7">
      <c r="A33" s="62"/>
      <c r="B33" s="50"/>
      <c r="C33" s="52"/>
      <c r="D33" s="50"/>
      <c r="E33" s="50"/>
      <c r="F33" s="53"/>
      <c r="G33" s="53"/>
    </row>
    <row r="34" spans="1:7">
      <c r="A34" s="62">
        <v>7</v>
      </c>
      <c r="B34" s="50" t="s">
        <v>171</v>
      </c>
      <c r="C34" s="52" t="s">
        <v>172</v>
      </c>
      <c r="D34" s="50" t="s">
        <v>18</v>
      </c>
      <c r="E34" s="50">
        <v>1</v>
      </c>
      <c r="F34" s="53"/>
      <c r="G34" s="159">
        <f>E34*F34</f>
        <v>0</v>
      </c>
    </row>
    <row r="35" spans="1:7">
      <c r="A35" s="62"/>
      <c r="B35" s="50"/>
      <c r="C35" s="52"/>
      <c r="D35" s="50"/>
      <c r="E35" s="50"/>
      <c r="F35" s="53"/>
      <c r="G35" s="53"/>
    </row>
    <row r="36" spans="1:7">
      <c r="A36" s="62">
        <v>8</v>
      </c>
      <c r="B36" s="50" t="s">
        <v>173</v>
      </c>
      <c r="C36" s="52" t="s">
        <v>174</v>
      </c>
      <c r="D36" s="50" t="s">
        <v>18</v>
      </c>
      <c r="E36" s="50">
        <v>1</v>
      </c>
      <c r="F36" s="53"/>
      <c r="G36" s="159">
        <f>E36*F36</f>
        <v>0</v>
      </c>
    </row>
    <row r="37" spans="1:7">
      <c r="A37" s="62"/>
      <c r="B37" s="50"/>
      <c r="C37" s="52"/>
      <c r="D37" s="50"/>
      <c r="E37" s="50"/>
      <c r="F37" s="53"/>
      <c r="G37" s="53"/>
    </row>
    <row r="38" spans="1:7">
      <c r="A38" s="62">
        <v>9</v>
      </c>
      <c r="B38" s="50" t="s">
        <v>175</v>
      </c>
      <c r="C38" s="52" t="s">
        <v>21</v>
      </c>
      <c r="D38" s="50" t="s">
        <v>18</v>
      </c>
      <c r="E38" s="50">
        <v>1</v>
      </c>
      <c r="F38" s="53"/>
      <c r="G38" s="159">
        <f>E38*F38</f>
        <v>0</v>
      </c>
    </row>
    <row r="39" spans="1:7">
      <c r="A39" s="62"/>
      <c r="B39" s="50"/>
      <c r="C39" s="52"/>
      <c r="D39" s="50"/>
      <c r="E39" s="50"/>
      <c r="F39" s="53"/>
      <c r="G39" s="53"/>
    </row>
    <row r="40" spans="1:7">
      <c r="A40" s="62">
        <v>10</v>
      </c>
      <c r="B40" s="50" t="s">
        <v>176</v>
      </c>
      <c r="C40" s="52" t="s">
        <v>177</v>
      </c>
      <c r="D40" s="50" t="s">
        <v>18</v>
      </c>
      <c r="E40" s="50">
        <v>1</v>
      </c>
      <c r="F40" s="53"/>
      <c r="G40" s="159">
        <f>E40*F40</f>
        <v>0</v>
      </c>
    </row>
    <row r="41" spans="1:7">
      <c r="A41" s="62"/>
      <c r="B41" s="50"/>
      <c r="C41" s="52"/>
      <c r="D41" s="50"/>
      <c r="E41" s="50"/>
      <c r="F41" s="53"/>
      <c r="G41" s="53"/>
    </row>
    <row r="42" spans="1:7">
      <c r="A42" s="62">
        <v>11</v>
      </c>
      <c r="B42" s="50" t="s">
        <v>178</v>
      </c>
      <c r="C42" s="52" t="s">
        <v>28</v>
      </c>
      <c r="D42" s="50" t="s">
        <v>18</v>
      </c>
      <c r="E42" s="50">
        <v>1</v>
      </c>
      <c r="F42" s="53"/>
      <c r="G42" s="159">
        <f>E42*F42</f>
        <v>0</v>
      </c>
    </row>
    <row r="43" spans="1:7">
      <c r="A43" s="62"/>
      <c r="B43" s="50"/>
      <c r="C43" s="52"/>
      <c r="D43" s="50"/>
      <c r="E43" s="50"/>
      <c r="F43" s="53"/>
      <c r="G43" s="53"/>
    </row>
    <row r="44" spans="1:7">
      <c r="A44" s="62">
        <v>12</v>
      </c>
      <c r="B44" s="50" t="s">
        <v>92</v>
      </c>
      <c r="C44" s="52" t="s">
        <v>179</v>
      </c>
      <c r="D44" s="50" t="s">
        <v>18</v>
      </c>
      <c r="E44" s="50">
        <v>1</v>
      </c>
      <c r="F44" s="53"/>
      <c r="G44" s="159">
        <f>E44*F44</f>
        <v>0</v>
      </c>
    </row>
    <row r="45" spans="1:7">
      <c r="A45" s="62"/>
      <c r="B45" s="50"/>
      <c r="C45" s="52"/>
      <c r="D45" s="50"/>
      <c r="E45" s="50"/>
      <c r="F45" s="53"/>
      <c r="G45" s="159"/>
    </row>
    <row r="46" spans="1:7">
      <c r="A46" s="62">
        <v>13</v>
      </c>
      <c r="B46" s="50" t="s">
        <v>68</v>
      </c>
      <c r="C46" s="52" t="s">
        <v>180</v>
      </c>
      <c r="D46" s="50" t="s">
        <v>18</v>
      </c>
      <c r="E46" s="50">
        <v>1</v>
      </c>
      <c r="F46" s="53"/>
      <c r="G46" s="159">
        <f>E46*F46</f>
        <v>0</v>
      </c>
    </row>
    <row r="47" spans="1:7">
      <c r="A47" s="62"/>
      <c r="B47" s="50"/>
      <c r="C47" s="52"/>
      <c r="D47" s="50"/>
      <c r="E47" s="50"/>
      <c r="F47" s="53"/>
      <c r="G47" s="53"/>
    </row>
    <row r="48" spans="1:7">
      <c r="A48" s="62">
        <v>14</v>
      </c>
      <c r="B48" s="50" t="s">
        <v>181</v>
      </c>
      <c r="C48" s="52" t="s">
        <v>22</v>
      </c>
      <c r="D48" s="50" t="s">
        <v>18</v>
      </c>
      <c r="E48" s="50">
        <v>1</v>
      </c>
      <c r="F48" s="53"/>
      <c r="G48" s="159">
        <f>E48*F48</f>
        <v>0</v>
      </c>
    </row>
    <row r="49" spans="1:7">
      <c r="A49" s="62"/>
      <c r="B49" s="50"/>
      <c r="C49" s="52"/>
      <c r="D49" s="50"/>
      <c r="E49" s="50"/>
      <c r="F49" s="53"/>
      <c r="G49" s="53"/>
    </row>
    <row r="50" spans="1:7">
      <c r="A50" s="62">
        <v>15</v>
      </c>
      <c r="B50" s="50" t="s">
        <v>182</v>
      </c>
      <c r="C50" s="52" t="s">
        <v>183</v>
      </c>
      <c r="D50" s="50" t="s">
        <v>18</v>
      </c>
      <c r="E50" s="50">
        <v>1</v>
      </c>
      <c r="F50" s="53"/>
      <c r="G50" s="159">
        <f>E50*F50</f>
        <v>0</v>
      </c>
    </row>
    <row r="51" spans="1:7">
      <c r="A51" s="62"/>
      <c r="B51" s="50"/>
      <c r="C51" s="52"/>
      <c r="D51" s="50"/>
      <c r="E51" s="50"/>
      <c r="F51" s="53"/>
      <c r="G51" s="53"/>
    </row>
    <row r="52" spans="1:7">
      <c r="A52" s="62"/>
      <c r="B52" s="50" t="s">
        <v>100</v>
      </c>
      <c r="C52" s="54" t="s">
        <v>23</v>
      </c>
      <c r="D52" s="50"/>
      <c r="E52" s="50"/>
      <c r="F52" s="53"/>
      <c r="G52" s="141"/>
    </row>
    <row r="53" spans="1:7">
      <c r="A53" s="62"/>
      <c r="B53" s="50"/>
      <c r="C53" s="52"/>
      <c r="D53" s="50"/>
      <c r="E53" s="50"/>
      <c r="F53" s="53"/>
      <c r="G53" s="141"/>
    </row>
    <row r="54" spans="1:7" ht="20.399999999999999">
      <c r="A54" s="62">
        <v>16</v>
      </c>
      <c r="B54" s="50" t="s">
        <v>78</v>
      </c>
      <c r="C54" s="52" t="s">
        <v>29</v>
      </c>
      <c r="D54" s="50" t="s">
        <v>18</v>
      </c>
      <c r="E54" s="50">
        <v>1</v>
      </c>
      <c r="F54" s="53"/>
      <c r="G54" s="159">
        <f>E54*F54</f>
        <v>0</v>
      </c>
    </row>
    <row r="55" spans="1:7">
      <c r="A55" s="62"/>
      <c r="B55" s="50"/>
      <c r="C55" s="52"/>
      <c r="D55" s="50"/>
      <c r="E55" s="50"/>
      <c r="F55" s="53"/>
      <c r="G55" s="141"/>
    </row>
    <row r="56" spans="1:7" ht="20.399999999999999">
      <c r="A56" s="62"/>
      <c r="B56" s="50" t="s">
        <v>101</v>
      </c>
      <c r="C56" s="18" t="s">
        <v>185</v>
      </c>
      <c r="D56" s="50"/>
      <c r="E56" s="50"/>
      <c r="F56" s="53"/>
      <c r="G56" s="141"/>
    </row>
    <row r="57" spans="1:7">
      <c r="A57" s="62"/>
      <c r="B57" s="50"/>
      <c r="C57" s="52"/>
      <c r="D57" s="50"/>
      <c r="E57" s="50"/>
      <c r="F57" s="53"/>
      <c r="G57" s="53"/>
    </row>
    <row r="58" spans="1:7">
      <c r="A58" s="62"/>
      <c r="B58" s="50"/>
      <c r="C58" s="52"/>
      <c r="D58" s="50"/>
      <c r="E58" s="50"/>
      <c r="F58" s="53"/>
      <c r="G58" s="53"/>
    </row>
    <row r="59" spans="1:7">
      <c r="A59" s="62"/>
      <c r="B59" s="50"/>
      <c r="C59" s="67"/>
      <c r="D59" s="50"/>
      <c r="E59" s="50"/>
      <c r="F59" s="53"/>
      <c r="G59" s="53"/>
    </row>
    <row r="60" spans="1:7">
      <c r="A60" s="62"/>
      <c r="B60" s="50"/>
      <c r="C60" s="67"/>
      <c r="D60" s="50"/>
      <c r="E60" s="50"/>
      <c r="F60" s="53"/>
      <c r="G60" s="53"/>
    </row>
    <row r="61" spans="1:7">
      <c r="A61" s="62"/>
      <c r="B61" s="50"/>
      <c r="C61" s="67"/>
      <c r="D61" s="50"/>
      <c r="E61" s="50"/>
      <c r="F61" s="53"/>
      <c r="G61" s="53"/>
    </row>
    <row r="62" spans="1:7">
      <c r="A62" s="62"/>
      <c r="B62" s="50"/>
      <c r="C62" s="52"/>
      <c r="D62" s="50"/>
      <c r="E62" s="50"/>
      <c r="F62" s="53"/>
      <c r="G62" s="53"/>
    </row>
    <row r="63" spans="1:7" ht="20.100000000000001" customHeight="1">
      <c r="A63" s="231" t="s">
        <v>40</v>
      </c>
      <c r="B63" s="232"/>
      <c r="C63" s="232"/>
      <c r="D63" s="232"/>
      <c r="E63" s="232"/>
      <c r="F63" s="233"/>
      <c r="G63" s="160">
        <f>SUM(G7:G62)</f>
        <v>0</v>
      </c>
    </row>
    <row r="66" spans="1:7" ht="20.399999999999999">
      <c r="A66" s="71" t="s">
        <v>8</v>
      </c>
      <c r="B66" s="49" t="s">
        <v>9</v>
      </c>
      <c r="C66" s="48" t="s">
        <v>10</v>
      </c>
      <c r="D66" s="49" t="s">
        <v>11</v>
      </c>
      <c r="E66" s="49" t="s">
        <v>32</v>
      </c>
      <c r="F66" s="144" t="s">
        <v>263</v>
      </c>
      <c r="G66" s="144" t="s">
        <v>249</v>
      </c>
    </row>
    <row r="67" spans="1:7" ht="20.100000000000001" customHeight="1">
      <c r="A67" s="231" t="s">
        <v>41</v>
      </c>
      <c r="B67" s="232"/>
      <c r="C67" s="232"/>
      <c r="D67" s="232"/>
      <c r="E67" s="232"/>
      <c r="F67" s="233"/>
      <c r="G67" s="160">
        <f>G63</f>
        <v>0</v>
      </c>
    </row>
    <row r="68" spans="1:7">
      <c r="A68" s="62"/>
      <c r="B68" s="50"/>
      <c r="C68" s="52"/>
      <c r="D68" s="50"/>
      <c r="E68" s="50"/>
      <c r="F68" s="53"/>
      <c r="G68" s="141"/>
    </row>
    <row r="69" spans="1:7">
      <c r="A69" s="62"/>
      <c r="B69" s="62" t="s">
        <v>186</v>
      </c>
      <c r="C69" s="133" t="s">
        <v>156</v>
      </c>
      <c r="D69" s="62"/>
      <c r="E69" s="62"/>
      <c r="F69" s="74"/>
      <c r="G69" s="143"/>
    </row>
    <row r="70" spans="1:7">
      <c r="A70" s="62"/>
      <c r="B70" s="62"/>
      <c r="C70" s="67"/>
      <c r="D70" s="62"/>
      <c r="E70" s="62"/>
      <c r="F70" s="74"/>
      <c r="G70" s="143"/>
    </row>
    <row r="71" spans="1:7">
      <c r="A71" s="62">
        <v>17</v>
      </c>
      <c r="B71" s="62" t="s">
        <v>187</v>
      </c>
      <c r="C71" s="67" t="s">
        <v>208</v>
      </c>
      <c r="D71" s="62" t="s">
        <v>18</v>
      </c>
      <c r="E71" s="62">
        <v>1</v>
      </c>
      <c r="F71" s="74"/>
      <c r="G71" s="159">
        <f>E71*F71</f>
        <v>0</v>
      </c>
    </row>
    <row r="72" spans="1:7">
      <c r="A72" s="62"/>
      <c r="B72" s="62"/>
      <c r="C72" s="67"/>
      <c r="D72" s="62"/>
      <c r="E72" s="62"/>
      <c r="F72" s="74"/>
      <c r="G72" s="143"/>
    </row>
    <row r="73" spans="1:7">
      <c r="A73" s="62">
        <v>18</v>
      </c>
      <c r="B73" s="62" t="s">
        <v>188</v>
      </c>
      <c r="C73" s="67" t="s">
        <v>159</v>
      </c>
      <c r="D73" s="62" t="s">
        <v>18</v>
      </c>
      <c r="E73" s="62">
        <v>1</v>
      </c>
      <c r="F73" s="74"/>
      <c r="G73" s="159">
        <f>E73*F73</f>
        <v>0</v>
      </c>
    </row>
    <row r="74" spans="1:7">
      <c r="A74" s="62"/>
      <c r="B74" s="62"/>
      <c r="C74" s="67"/>
      <c r="D74" s="62"/>
      <c r="E74" s="62"/>
      <c r="F74" s="74"/>
      <c r="G74" s="143"/>
    </row>
    <row r="75" spans="1:7">
      <c r="A75" s="62">
        <v>19</v>
      </c>
      <c r="B75" s="62" t="s">
        <v>189</v>
      </c>
      <c r="C75" s="67" t="s">
        <v>190</v>
      </c>
      <c r="D75" s="62" t="s">
        <v>18</v>
      </c>
      <c r="E75" s="62">
        <v>1</v>
      </c>
      <c r="F75" s="74"/>
      <c r="G75" s="159">
        <f>E75*F75</f>
        <v>0</v>
      </c>
    </row>
    <row r="76" spans="1:7">
      <c r="A76" s="62"/>
      <c r="B76" s="62"/>
      <c r="C76" s="67"/>
      <c r="D76" s="62"/>
      <c r="E76" s="62"/>
      <c r="F76" s="74"/>
      <c r="G76" s="143"/>
    </row>
    <row r="77" spans="1:7">
      <c r="A77" s="62"/>
      <c r="B77" s="50" t="s">
        <v>191</v>
      </c>
      <c r="C77" s="73" t="s">
        <v>20</v>
      </c>
      <c r="D77" s="50"/>
      <c r="E77" s="50"/>
      <c r="F77" s="53"/>
      <c r="G77" s="141"/>
    </row>
    <row r="78" spans="1:7">
      <c r="A78" s="62"/>
      <c r="B78" s="50"/>
      <c r="C78" s="52"/>
      <c r="D78" s="50"/>
      <c r="E78" s="50"/>
      <c r="F78" s="53"/>
      <c r="G78" s="141"/>
    </row>
    <row r="79" spans="1:7">
      <c r="A79" s="62">
        <v>20</v>
      </c>
      <c r="B79" s="50" t="s">
        <v>192</v>
      </c>
      <c r="C79" s="52" t="s">
        <v>162</v>
      </c>
      <c r="D79" s="50" t="s">
        <v>18</v>
      </c>
      <c r="E79" s="50">
        <v>1</v>
      </c>
      <c r="F79" s="53"/>
      <c r="G79" s="159">
        <f>E79*F79</f>
        <v>0</v>
      </c>
    </row>
    <row r="80" spans="1:7">
      <c r="A80" s="62"/>
      <c r="B80" s="50"/>
      <c r="C80" s="52"/>
      <c r="D80" s="50"/>
      <c r="E80" s="50"/>
      <c r="F80" s="53"/>
      <c r="G80" s="141"/>
    </row>
    <row r="81" spans="1:7">
      <c r="A81" s="62">
        <v>21</v>
      </c>
      <c r="B81" s="50" t="s">
        <v>193</v>
      </c>
      <c r="C81" s="52" t="s">
        <v>164</v>
      </c>
      <c r="D81" s="50" t="s">
        <v>18</v>
      </c>
      <c r="E81" s="50">
        <v>1</v>
      </c>
      <c r="F81" s="53"/>
      <c r="G81" s="159">
        <f>E81*F81</f>
        <v>0</v>
      </c>
    </row>
    <row r="82" spans="1:7">
      <c r="A82" s="62"/>
      <c r="B82" s="50"/>
      <c r="C82" s="52"/>
      <c r="D82" s="50"/>
      <c r="E82" s="50"/>
      <c r="F82" s="53"/>
      <c r="G82" s="141"/>
    </row>
    <row r="83" spans="1:7">
      <c r="A83" s="62">
        <v>22</v>
      </c>
      <c r="B83" s="50" t="s">
        <v>194</v>
      </c>
      <c r="C83" s="52" t="s">
        <v>166</v>
      </c>
      <c r="D83" s="50" t="s">
        <v>18</v>
      </c>
      <c r="E83" s="50">
        <v>1</v>
      </c>
      <c r="F83" s="53"/>
      <c r="G83" s="159">
        <f>E83*F83</f>
        <v>0</v>
      </c>
    </row>
    <row r="84" spans="1:7">
      <c r="A84" s="62"/>
      <c r="B84" s="50"/>
      <c r="C84" s="52"/>
      <c r="D84" s="50"/>
      <c r="E84" s="50"/>
      <c r="F84" s="53"/>
      <c r="G84" s="141"/>
    </row>
    <row r="85" spans="1:7">
      <c r="A85" s="62">
        <v>23</v>
      </c>
      <c r="B85" s="50" t="s">
        <v>195</v>
      </c>
      <c r="C85" s="52" t="s">
        <v>168</v>
      </c>
      <c r="D85" s="50" t="s">
        <v>18</v>
      </c>
      <c r="E85" s="50">
        <v>1</v>
      </c>
      <c r="F85" s="53"/>
      <c r="G85" s="159">
        <f>E85*F85</f>
        <v>0</v>
      </c>
    </row>
    <row r="86" spans="1:7">
      <c r="A86" s="62"/>
      <c r="B86" s="50"/>
      <c r="C86" s="52"/>
      <c r="D86" s="50"/>
      <c r="E86" s="50"/>
      <c r="F86" s="53"/>
      <c r="G86" s="141"/>
    </row>
    <row r="87" spans="1:7">
      <c r="A87" s="62">
        <v>24</v>
      </c>
      <c r="B87" s="50" t="s">
        <v>196</v>
      </c>
      <c r="C87" s="52" t="s">
        <v>170</v>
      </c>
      <c r="D87" s="50" t="s">
        <v>18</v>
      </c>
      <c r="E87" s="50">
        <v>1</v>
      </c>
      <c r="F87" s="53"/>
      <c r="G87" s="159">
        <f>E87*F87</f>
        <v>0</v>
      </c>
    </row>
    <row r="88" spans="1:7">
      <c r="A88" s="62"/>
      <c r="B88" s="50"/>
      <c r="C88" s="52"/>
      <c r="D88" s="50"/>
      <c r="E88" s="50"/>
      <c r="F88" s="53"/>
      <c r="G88" s="141"/>
    </row>
    <row r="89" spans="1:7">
      <c r="A89" s="62">
        <v>25</v>
      </c>
      <c r="B89" s="50" t="s">
        <v>197</v>
      </c>
      <c r="C89" s="52" t="s">
        <v>172</v>
      </c>
      <c r="D89" s="50" t="s">
        <v>18</v>
      </c>
      <c r="E89" s="50">
        <v>1</v>
      </c>
      <c r="F89" s="53"/>
      <c r="G89" s="159">
        <f>E89*F89</f>
        <v>0</v>
      </c>
    </row>
    <row r="90" spans="1:7">
      <c r="A90" s="62"/>
      <c r="B90" s="50"/>
      <c r="C90" s="52"/>
      <c r="D90" s="50"/>
      <c r="E90" s="50"/>
      <c r="F90" s="53"/>
      <c r="G90" s="159"/>
    </row>
    <row r="91" spans="1:7">
      <c r="A91" s="62">
        <v>26</v>
      </c>
      <c r="B91" s="50" t="s">
        <v>198</v>
      </c>
      <c r="C91" s="52" t="s">
        <v>184</v>
      </c>
      <c r="D91" s="50" t="s">
        <v>18</v>
      </c>
      <c r="E91" s="50">
        <v>1</v>
      </c>
      <c r="F91" s="53"/>
      <c r="G91" s="159">
        <f>E91*F91</f>
        <v>0</v>
      </c>
    </row>
    <row r="92" spans="1:7">
      <c r="A92" s="62"/>
      <c r="B92" s="50"/>
      <c r="C92" s="52"/>
      <c r="D92" s="50"/>
      <c r="E92" s="50"/>
      <c r="F92" s="53"/>
      <c r="G92" s="141"/>
    </row>
    <row r="93" spans="1:7">
      <c r="A93" s="62">
        <v>27</v>
      </c>
      <c r="B93" s="50" t="s">
        <v>199</v>
      </c>
      <c r="C93" s="52" t="s">
        <v>21</v>
      </c>
      <c r="D93" s="50" t="s">
        <v>18</v>
      </c>
      <c r="E93" s="50">
        <v>1</v>
      </c>
      <c r="F93" s="53"/>
      <c r="G93" s="159">
        <f>E93*F93</f>
        <v>0</v>
      </c>
    </row>
    <row r="94" spans="1:7">
      <c r="A94" s="62"/>
      <c r="B94" s="50"/>
      <c r="C94" s="52"/>
      <c r="D94" s="50"/>
      <c r="E94" s="50"/>
      <c r="F94" s="53"/>
      <c r="G94" s="141"/>
    </row>
    <row r="95" spans="1:7">
      <c r="A95" s="62">
        <v>28</v>
      </c>
      <c r="B95" s="50" t="s">
        <v>200</v>
      </c>
      <c r="C95" s="52" t="s">
        <v>177</v>
      </c>
      <c r="D95" s="50" t="s">
        <v>18</v>
      </c>
      <c r="E95" s="50">
        <v>1</v>
      </c>
      <c r="F95" s="53"/>
      <c r="G95" s="159">
        <f>E95*F95</f>
        <v>0</v>
      </c>
    </row>
    <row r="96" spans="1:7">
      <c r="A96" s="62"/>
      <c r="B96" s="50"/>
      <c r="C96" s="52"/>
      <c r="D96" s="50"/>
      <c r="E96" s="50"/>
      <c r="F96" s="53"/>
      <c r="G96" s="141"/>
    </row>
    <row r="97" spans="1:7">
      <c r="A97" s="62">
        <v>29</v>
      </c>
      <c r="B97" s="50" t="s">
        <v>201</v>
      </c>
      <c r="C97" s="52" t="s">
        <v>28</v>
      </c>
      <c r="D97" s="50" t="s">
        <v>18</v>
      </c>
      <c r="E97" s="50">
        <v>1</v>
      </c>
      <c r="F97" s="53"/>
      <c r="G97" s="159">
        <f>E97*F97</f>
        <v>0</v>
      </c>
    </row>
    <row r="98" spans="1:7">
      <c r="A98" s="62"/>
      <c r="B98" s="50"/>
      <c r="C98" s="52"/>
      <c r="D98" s="50"/>
      <c r="E98" s="50"/>
      <c r="F98" s="53"/>
      <c r="G98" s="159"/>
    </row>
    <row r="99" spans="1:7">
      <c r="A99" s="62">
        <v>30</v>
      </c>
      <c r="B99" s="50" t="s">
        <v>102</v>
      </c>
      <c r="C99" s="52" t="s">
        <v>24</v>
      </c>
      <c r="D99" s="50" t="s">
        <v>18</v>
      </c>
      <c r="E99" s="50">
        <v>1</v>
      </c>
      <c r="F99" s="53"/>
      <c r="G99" s="159">
        <f>E99*F99</f>
        <v>0</v>
      </c>
    </row>
    <row r="100" spans="1:7">
      <c r="A100" s="62"/>
      <c r="B100" s="50"/>
      <c r="C100" s="52"/>
      <c r="D100" s="50"/>
      <c r="E100" s="50"/>
      <c r="F100" s="53"/>
      <c r="G100" s="141"/>
    </row>
    <row r="101" spans="1:7" ht="20.399999999999999">
      <c r="A101" s="62">
        <v>31</v>
      </c>
      <c r="B101" s="50" t="s">
        <v>103</v>
      </c>
      <c r="C101" s="52" t="s">
        <v>25</v>
      </c>
      <c r="D101" s="50" t="s">
        <v>18</v>
      </c>
      <c r="E101" s="50">
        <v>1</v>
      </c>
      <c r="F101" s="53"/>
      <c r="G101" s="159">
        <f>E101*F101</f>
        <v>0</v>
      </c>
    </row>
    <row r="102" spans="1:7">
      <c r="A102" s="62"/>
      <c r="B102" s="50"/>
      <c r="C102" s="52"/>
      <c r="D102" s="50"/>
      <c r="E102" s="50"/>
      <c r="F102" s="53"/>
      <c r="G102" s="141"/>
    </row>
    <row r="103" spans="1:7">
      <c r="A103" s="62">
        <v>32</v>
      </c>
      <c r="B103" s="50" t="s">
        <v>202</v>
      </c>
      <c r="C103" s="52" t="s">
        <v>203</v>
      </c>
      <c r="D103" s="50" t="s">
        <v>18</v>
      </c>
      <c r="E103" s="50">
        <v>1</v>
      </c>
      <c r="F103" s="53"/>
      <c r="G103" s="159">
        <f>E103*F103</f>
        <v>0</v>
      </c>
    </row>
    <row r="104" spans="1:7" ht="13.95" customHeight="1">
      <c r="A104" s="62"/>
      <c r="B104" s="50"/>
      <c r="C104" s="52"/>
      <c r="D104" s="50"/>
      <c r="E104" s="50"/>
      <c r="F104" s="53"/>
      <c r="G104" s="141"/>
    </row>
    <row r="105" spans="1:7">
      <c r="A105" s="62">
        <v>33</v>
      </c>
      <c r="B105" s="50" t="s">
        <v>204</v>
      </c>
      <c r="C105" s="52" t="s">
        <v>22</v>
      </c>
      <c r="D105" s="50" t="s">
        <v>18</v>
      </c>
      <c r="E105" s="50">
        <v>1</v>
      </c>
      <c r="F105" s="53"/>
      <c r="G105" s="159">
        <f>E105*F105</f>
        <v>0</v>
      </c>
    </row>
    <row r="106" spans="1:7">
      <c r="A106" s="62"/>
      <c r="B106" s="50"/>
      <c r="C106" s="52"/>
      <c r="D106" s="50"/>
      <c r="E106" s="50"/>
      <c r="F106" s="53"/>
      <c r="G106" s="141"/>
    </row>
    <row r="107" spans="1:7">
      <c r="A107" s="62">
        <v>34</v>
      </c>
      <c r="B107" s="50" t="s">
        <v>205</v>
      </c>
      <c r="C107" s="52" t="s">
        <v>183</v>
      </c>
      <c r="D107" s="50" t="s">
        <v>18</v>
      </c>
      <c r="E107" s="50">
        <v>1</v>
      </c>
      <c r="F107" s="53"/>
      <c r="G107" s="159">
        <f>E107*F107</f>
        <v>0</v>
      </c>
    </row>
    <row r="108" spans="1:7">
      <c r="A108" s="62"/>
      <c r="B108" s="50"/>
      <c r="C108" s="52"/>
      <c r="D108" s="50"/>
      <c r="E108" s="50"/>
      <c r="F108" s="53"/>
      <c r="G108" s="141"/>
    </row>
    <row r="109" spans="1:7">
      <c r="A109" s="62"/>
      <c r="B109" s="50" t="s">
        <v>114</v>
      </c>
      <c r="C109" s="54" t="s">
        <v>206</v>
      </c>
      <c r="D109" s="50"/>
      <c r="E109" s="50"/>
      <c r="F109" s="53"/>
      <c r="G109" s="141"/>
    </row>
    <row r="110" spans="1:7">
      <c r="A110" s="62"/>
      <c r="B110" s="50"/>
      <c r="C110" s="52"/>
      <c r="D110" s="50"/>
      <c r="E110" s="50"/>
      <c r="F110" s="53"/>
      <c r="G110" s="141"/>
    </row>
    <row r="111" spans="1:7">
      <c r="A111" s="62"/>
      <c r="B111" s="50" t="s">
        <v>105</v>
      </c>
      <c r="C111" s="54" t="s">
        <v>26</v>
      </c>
      <c r="D111" s="50"/>
      <c r="E111" s="50"/>
      <c r="F111" s="53"/>
      <c r="G111" s="141"/>
    </row>
    <row r="112" spans="1:7">
      <c r="A112" s="62"/>
      <c r="B112" s="50"/>
      <c r="C112" s="52"/>
      <c r="D112" s="50"/>
      <c r="E112" s="50"/>
      <c r="F112" s="53"/>
      <c r="G112" s="141"/>
    </row>
    <row r="113" spans="1:7" ht="20.399999999999999">
      <c r="A113" s="62">
        <v>35</v>
      </c>
      <c r="B113" s="134"/>
      <c r="C113" s="205" t="s">
        <v>207</v>
      </c>
      <c r="D113" s="62" t="s">
        <v>27</v>
      </c>
      <c r="E113" s="62">
        <v>25</v>
      </c>
      <c r="F113" s="145"/>
      <c r="G113" s="159">
        <f>E113*F113</f>
        <v>0</v>
      </c>
    </row>
    <row r="114" spans="1:7">
      <c r="A114" s="62"/>
      <c r="B114" s="50"/>
      <c r="C114" s="52"/>
      <c r="D114" s="50"/>
      <c r="E114" s="50"/>
      <c r="F114" s="53"/>
      <c r="G114" s="141"/>
    </row>
    <row r="115" spans="1:7" ht="20.399999999999999">
      <c r="A115" s="62">
        <v>36</v>
      </c>
      <c r="B115" s="50"/>
      <c r="C115" s="140" t="s">
        <v>30</v>
      </c>
      <c r="D115" s="135" t="s">
        <v>209</v>
      </c>
      <c r="E115" s="136"/>
      <c r="F115" s="137"/>
      <c r="G115" s="159">
        <v>55000</v>
      </c>
    </row>
    <row r="116" spans="1:7">
      <c r="A116" s="62"/>
      <c r="B116" s="50"/>
      <c r="C116" s="52"/>
      <c r="D116" s="50"/>
      <c r="E116" s="50"/>
      <c r="F116" s="53"/>
      <c r="G116" s="141"/>
    </row>
    <row r="117" spans="1:7">
      <c r="A117" s="62">
        <v>37</v>
      </c>
      <c r="B117" s="50"/>
      <c r="C117" s="140" t="s">
        <v>211</v>
      </c>
      <c r="D117" s="136" t="s">
        <v>210</v>
      </c>
      <c r="E117" s="136"/>
      <c r="F117" s="136"/>
      <c r="G117" s="159">
        <f>E117*F117</f>
        <v>0</v>
      </c>
    </row>
    <row r="118" spans="1:7">
      <c r="A118" s="62"/>
      <c r="B118" s="50"/>
      <c r="C118" s="140"/>
      <c r="D118" s="136"/>
      <c r="E118" s="136"/>
      <c r="F118" s="136"/>
      <c r="G118" s="142"/>
    </row>
    <row r="119" spans="1:7">
      <c r="A119" s="62">
        <v>38</v>
      </c>
      <c r="B119" s="50"/>
      <c r="C119" s="140" t="s">
        <v>218</v>
      </c>
      <c r="D119" s="136" t="s">
        <v>210</v>
      </c>
      <c r="E119" s="136"/>
      <c r="F119" s="136"/>
      <c r="G119" s="159">
        <f>E119*F119</f>
        <v>0</v>
      </c>
    </row>
    <row r="120" spans="1:7" ht="23.4" customHeight="1">
      <c r="A120" s="228" t="s">
        <v>120</v>
      </c>
      <c r="B120" s="229"/>
      <c r="C120" s="229"/>
      <c r="D120" s="229"/>
      <c r="E120" s="229"/>
      <c r="F120" s="230"/>
      <c r="G120" s="160">
        <f>SUM(G67:G119)+(0.25*'S2-ENGINEERED PLATFORM &amp; PAVING'!G126)+(0.25*'S3-STORMWATER'!G118)+(0.25*'S4-SEWER'!G60)+(0.25*'S5-WATER'!G110)</f>
        <v>7653637.75</v>
      </c>
    </row>
  </sheetData>
  <mergeCells count="3">
    <mergeCell ref="A120:F120"/>
    <mergeCell ref="A63:F63"/>
    <mergeCell ref="A67:F67"/>
  </mergeCells>
  <pageMargins left="0.78740157480314965" right="0.39370078740157483" top="0.59055118110236227" bottom="0.59055118110236227" header="0.39370078740157483" footer="0.39370078740157483"/>
  <pageSetup paperSize="9" orientation="portrait" r:id="rId1"/>
  <headerFooter>
    <oddFooter xml:space="preserve">&amp;R&amp;"Arial,Regular"&amp;8Page 6.&amp;P+5 </oddFooter>
  </headerFooter>
  <rowBreaks count="1" manualBreakCount="1">
    <brk id="64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4"/>
  <sheetViews>
    <sheetView showGridLines="0" showZeros="0" view="pageBreakPreview" topLeftCell="A86" zoomScaleNormal="100" zoomScaleSheetLayoutView="100" workbookViewId="0">
      <selection activeCell="G72" sqref="G72"/>
    </sheetView>
  </sheetViews>
  <sheetFormatPr defaultColWidth="13.109375" defaultRowHeight="10.199999999999999"/>
  <cols>
    <col min="1" max="1" width="4.88671875" style="168" customWidth="1"/>
    <col min="2" max="2" width="8.33203125" style="58" customWidth="1"/>
    <col min="3" max="3" width="41.6640625" style="25" customWidth="1"/>
    <col min="4" max="4" width="5.109375" style="44" customWidth="1"/>
    <col min="5" max="5" width="6" style="44" customWidth="1"/>
    <col min="6" max="6" width="7.5546875" style="45" customWidth="1"/>
    <col min="7" max="7" width="16" style="45" bestFit="1" customWidth="1"/>
    <col min="8" max="9" width="13.109375" style="59" customWidth="1"/>
    <col min="10" max="16384" width="13.109375" style="59"/>
  </cols>
  <sheetData>
    <row r="1" spans="1:7" ht="15" customHeight="1">
      <c r="A1" s="104" t="str">
        <f>'S1-P&amp;G''S'!A2</f>
        <v>NAFASI WATER - ARNOT WATER AND SEWER</v>
      </c>
      <c r="B1" s="105"/>
      <c r="C1" s="102"/>
      <c r="D1" s="106"/>
      <c r="E1" s="106"/>
      <c r="F1" s="107"/>
      <c r="G1" s="108" t="str">
        <f>'S1-P&amp;G''S'!G2</f>
        <v>Revision T1</v>
      </c>
    </row>
    <row r="2" spans="1:7" ht="15" customHeight="1">
      <c r="A2" s="104" t="str">
        <f>'S1-P&amp;G''S'!A3</f>
        <v>EARTHWORKS AND CIVIL WORK</v>
      </c>
      <c r="B2" s="105"/>
      <c r="C2" s="102"/>
      <c r="D2" s="106"/>
      <c r="E2" s="106"/>
      <c r="F2" s="107"/>
      <c r="G2" s="138"/>
    </row>
    <row r="3" spans="1:7" ht="15" customHeight="1">
      <c r="A3" s="104" t="s">
        <v>154</v>
      </c>
      <c r="B3" s="105"/>
      <c r="C3" s="102"/>
      <c r="D3" s="106"/>
      <c r="E3" s="106"/>
      <c r="F3" s="107"/>
      <c r="G3" s="109">
        <f>'S1-P&amp;G''S'!G4</f>
        <v>45184</v>
      </c>
    </row>
    <row r="4" spans="1:7" ht="15" customHeight="1">
      <c r="A4" s="165"/>
      <c r="B4" s="105"/>
      <c r="C4" s="102"/>
      <c r="D4" s="106"/>
      <c r="E4" s="106"/>
      <c r="F4" s="107"/>
      <c r="G4" s="110"/>
    </row>
    <row r="5" spans="1:7" ht="22.5" customHeight="1">
      <c r="A5" s="111" t="s">
        <v>8</v>
      </c>
      <c r="B5" s="112" t="s">
        <v>9</v>
      </c>
      <c r="C5" s="111" t="s">
        <v>10</v>
      </c>
      <c r="D5" s="112" t="s">
        <v>11</v>
      </c>
      <c r="E5" s="112" t="s">
        <v>32</v>
      </c>
      <c r="F5" s="82" t="s">
        <v>245</v>
      </c>
      <c r="G5" s="82" t="s">
        <v>261</v>
      </c>
    </row>
    <row r="6" spans="1:7">
      <c r="A6" s="166"/>
      <c r="B6" s="89"/>
      <c r="C6" s="90"/>
      <c r="D6" s="91"/>
      <c r="E6" s="91"/>
      <c r="F6" s="180"/>
      <c r="G6" s="192"/>
    </row>
    <row r="7" spans="1:7">
      <c r="A7" s="15"/>
      <c r="B7" s="27"/>
      <c r="C7" s="113" t="str">
        <f>A3</f>
        <v xml:space="preserve">SECTION 2 - EARTHWORKS &amp; INTERLOCKING PAVING </v>
      </c>
      <c r="D7" s="11"/>
      <c r="E7" s="11"/>
      <c r="F7" s="157"/>
      <c r="G7" s="192"/>
    </row>
    <row r="8" spans="1:7">
      <c r="A8" s="15"/>
      <c r="B8" s="27"/>
      <c r="C8" s="113"/>
      <c r="D8" s="11"/>
      <c r="E8" s="11"/>
      <c r="F8" s="157"/>
      <c r="G8" s="192"/>
    </row>
    <row r="9" spans="1:7" ht="20.399999999999999">
      <c r="A9" s="167"/>
      <c r="B9" s="153" t="s">
        <v>61</v>
      </c>
      <c r="C9" s="154" t="s">
        <v>16</v>
      </c>
      <c r="D9" s="155"/>
      <c r="E9" s="62"/>
      <c r="F9" s="157"/>
      <c r="G9" s="192"/>
    </row>
    <row r="10" spans="1:7">
      <c r="A10" s="167"/>
      <c r="B10" s="60" t="s">
        <v>65</v>
      </c>
      <c r="C10" s="156" t="s">
        <v>44</v>
      </c>
      <c r="D10" s="62"/>
      <c r="E10" s="62"/>
      <c r="F10" s="157"/>
      <c r="G10" s="192"/>
    </row>
    <row r="11" spans="1:7" ht="45.6" customHeight="1">
      <c r="A11" s="167"/>
      <c r="B11" s="153"/>
      <c r="C11" s="63" t="s">
        <v>217</v>
      </c>
      <c r="D11" s="62"/>
      <c r="E11" s="62"/>
      <c r="F11" s="157"/>
      <c r="G11" s="192"/>
    </row>
    <row r="12" spans="1:7">
      <c r="A12" s="167"/>
      <c r="B12" s="153"/>
      <c r="C12" s="63"/>
      <c r="D12" s="62"/>
      <c r="E12" s="62"/>
      <c r="F12" s="157"/>
      <c r="G12" s="192"/>
    </row>
    <row r="13" spans="1:7">
      <c r="A13" s="11">
        <v>1</v>
      </c>
      <c r="B13" s="153"/>
      <c r="C13" s="63" t="s">
        <v>45</v>
      </c>
      <c r="D13" s="1" t="s">
        <v>33</v>
      </c>
      <c r="E13" s="7">
        <v>24640</v>
      </c>
      <c r="F13" s="157">
        <v>10.5</v>
      </c>
      <c r="G13" s="192">
        <f>E13*F13</f>
        <v>258720</v>
      </c>
    </row>
    <row r="14" spans="1:7">
      <c r="A14" s="60"/>
      <c r="B14" s="153"/>
      <c r="C14" s="63"/>
      <c r="D14" s="62"/>
      <c r="E14" s="64"/>
      <c r="F14" s="157"/>
      <c r="G14" s="192"/>
    </row>
    <row r="15" spans="1:7">
      <c r="A15" s="60"/>
      <c r="B15" s="60" t="s">
        <v>80</v>
      </c>
      <c r="C15" s="156" t="s">
        <v>47</v>
      </c>
      <c r="D15" s="62"/>
      <c r="E15" s="64"/>
      <c r="F15" s="157"/>
      <c r="G15" s="192"/>
    </row>
    <row r="16" spans="1:7">
      <c r="A16" s="60"/>
      <c r="B16" s="153"/>
      <c r="C16" s="156"/>
      <c r="D16" s="62"/>
      <c r="E16" s="64"/>
      <c r="F16" s="157"/>
      <c r="G16" s="192"/>
    </row>
    <row r="17" spans="1:7">
      <c r="A17" s="11">
        <v>2</v>
      </c>
      <c r="B17" s="153"/>
      <c r="C17" s="63" t="s">
        <v>46</v>
      </c>
      <c r="D17" s="62" t="s">
        <v>7</v>
      </c>
      <c r="E17" s="7">
        <v>5</v>
      </c>
      <c r="F17" s="157">
        <v>5000</v>
      </c>
      <c r="G17" s="192">
        <f>E17*F17</f>
        <v>25000</v>
      </c>
    </row>
    <row r="18" spans="1:7">
      <c r="A18" s="60"/>
      <c r="B18" s="153"/>
      <c r="C18" s="156"/>
      <c r="D18" s="62"/>
      <c r="E18" s="64"/>
      <c r="F18" s="157"/>
      <c r="G18" s="192"/>
    </row>
    <row r="19" spans="1:7">
      <c r="A19" s="11"/>
      <c r="B19" s="27" t="s">
        <v>129</v>
      </c>
      <c r="C19" s="36"/>
      <c r="D19" s="33"/>
      <c r="E19" s="26"/>
      <c r="F19" s="157"/>
      <c r="G19" s="192"/>
    </row>
    <row r="20" spans="1:7">
      <c r="A20" s="11"/>
      <c r="B20" s="27" t="s">
        <v>134</v>
      </c>
      <c r="C20" s="35" t="s">
        <v>49</v>
      </c>
      <c r="D20" s="11"/>
      <c r="E20" s="26"/>
      <c r="F20" s="157"/>
      <c r="G20" s="192"/>
    </row>
    <row r="21" spans="1:7">
      <c r="A21" s="11"/>
      <c r="B21" s="27"/>
      <c r="C21" s="35"/>
      <c r="D21" s="11"/>
      <c r="E21" s="26"/>
      <c r="F21" s="157"/>
      <c r="G21" s="192"/>
    </row>
    <row r="22" spans="1:7">
      <c r="A22" s="11"/>
      <c r="B22" s="11" t="s">
        <v>99</v>
      </c>
      <c r="C22" s="37" t="s">
        <v>38</v>
      </c>
      <c r="D22" s="11"/>
      <c r="E22" s="26"/>
      <c r="F22" s="157"/>
      <c r="G22" s="192"/>
    </row>
    <row r="23" spans="1:7">
      <c r="A23" s="11"/>
      <c r="B23" s="11"/>
      <c r="C23" s="37"/>
      <c r="D23" s="11"/>
      <c r="E23" s="26"/>
      <c r="F23" s="157"/>
      <c r="G23" s="192"/>
    </row>
    <row r="24" spans="1:7" ht="20.399999999999999">
      <c r="A24" s="11"/>
      <c r="B24" s="27"/>
      <c r="C24" s="114" t="s">
        <v>224</v>
      </c>
      <c r="D24" s="33"/>
      <c r="E24" s="26"/>
      <c r="F24" s="157"/>
      <c r="G24" s="192"/>
    </row>
    <row r="25" spans="1:7">
      <c r="A25" s="11"/>
      <c r="B25" s="27"/>
      <c r="C25" s="17"/>
      <c r="D25" s="33"/>
      <c r="E25" s="7"/>
      <c r="F25" s="157"/>
      <c r="G25" s="192"/>
    </row>
    <row r="26" spans="1:7" ht="20.399999999999999">
      <c r="A26" s="4">
        <v>3</v>
      </c>
      <c r="B26" s="162"/>
      <c r="C26" s="158" t="s">
        <v>223</v>
      </c>
      <c r="D26" s="1" t="s">
        <v>27</v>
      </c>
      <c r="E26" s="7">
        <v>12617</v>
      </c>
      <c r="F26" s="157">
        <v>115</v>
      </c>
      <c r="G26" s="192">
        <f>E26*F26</f>
        <v>1450955</v>
      </c>
    </row>
    <row r="27" spans="1:7">
      <c r="A27" s="59"/>
      <c r="B27" s="162"/>
      <c r="C27" s="197"/>
      <c r="D27" s="1"/>
      <c r="E27" s="7"/>
      <c r="F27" s="157"/>
      <c r="G27" s="192"/>
    </row>
    <row r="28" spans="1:7" ht="20.399999999999999">
      <c r="A28" s="4">
        <v>4</v>
      </c>
      <c r="B28" s="162"/>
      <c r="C28" s="197" t="s">
        <v>260</v>
      </c>
      <c r="D28" s="1" t="s">
        <v>27</v>
      </c>
      <c r="E28" s="7">
        <v>800</v>
      </c>
      <c r="F28" s="157">
        <v>245</v>
      </c>
      <c r="G28" s="192">
        <f>E28*F28</f>
        <v>196000</v>
      </c>
    </row>
    <row r="29" spans="1:7">
      <c r="A29" s="4"/>
      <c r="B29" s="162"/>
      <c r="C29" s="197"/>
      <c r="D29" s="1"/>
      <c r="E29" s="7"/>
      <c r="F29" s="157"/>
      <c r="G29" s="192"/>
    </row>
    <row r="30" spans="1:7">
      <c r="A30" s="11"/>
      <c r="B30" s="27" t="s">
        <v>129</v>
      </c>
      <c r="C30" s="2"/>
      <c r="D30" s="33"/>
      <c r="E30" s="26"/>
      <c r="F30" s="75"/>
      <c r="G30" s="75"/>
    </row>
    <row r="31" spans="1:7">
      <c r="A31" s="11"/>
      <c r="B31" s="27" t="s">
        <v>246</v>
      </c>
      <c r="C31" s="35" t="s">
        <v>91</v>
      </c>
      <c r="D31" s="33"/>
      <c r="E31" s="26"/>
      <c r="F31" s="75"/>
      <c r="G31" s="75"/>
    </row>
    <row r="32" spans="1:7">
      <c r="A32" s="11"/>
      <c r="B32" s="27"/>
      <c r="C32" s="35"/>
      <c r="D32" s="33"/>
      <c r="E32" s="26"/>
      <c r="F32" s="75"/>
      <c r="G32" s="75"/>
    </row>
    <row r="33" spans="1:9">
      <c r="A33" s="11"/>
      <c r="B33" s="209" t="s">
        <v>92</v>
      </c>
      <c r="C33" s="214" t="s">
        <v>39</v>
      </c>
      <c r="D33" s="209"/>
      <c r="E33" s="26"/>
      <c r="F33" s="75"/>
      <c r="G33" s="75"/>
    </row>
    <row r="34" spans="1:9">
      <c r="A34" s="11"/>
      <c r="B34" s="212"/>
      <c r="C34" s="215"/>
      <c r="D34" s="209"/>
      <c r="E34" s="226"/>
      <c r="F34" s="75"/>
      <c r="G34" s="75"/>
    </row>
    <row r="35" spans="1:9" ht="30.6">
      <c r="A35" s="209">
        <v>5</v>
      </c>
      <c r="B35" s="212"/>
      <c r="C35" s="215" t="s">
        <v>258</v>
      </c>
      <c r="D35" s="132" t="s">
        <v>33</v>
      </c>
      <c r="E35" s="226">
        <v>24640</v>
      </c>
      <c r="F35" s="75">
        <v>23</v>
      </c>
      <c r="G35" s="198">
        <f>E35*F35</f>
        <v>566720</v>
      </c>
    </row>
    <row r="36" spans="1:9">
      <c r="A36" s="210"/>
      <c r="B36" s="213" t="s">
        <v>129</v>
      </c>
      <c r="C36" s="216"/>
      <c r="D36" s="208"/>
      <c r="E36" s="224"/>
      <c r="F36" s="157"/>
      <c r="G36" s="192"/>
      <c r="H36" s="80"/>
      <c r="I36" s="80"/>
    </row>
    <row r="37" spans="1:9">
      <c r="A37" s="208"/>
      <c r="B37" s="213" t="s">
        <v>135</v>
      </c>
      <c r="C37" s="217" t="s">
        <v>50</v>
      </c>
      <c r="D37" s="208"/>
      <c r="E37" s="224"/>
      <c r="F37" s="157"/>
      <c r="G37" s="192"/>
      <c r="H37" s="80"/>
      <c r="I37" s="80"/>
    </row>
    <row r="38" spans="1:9" ht="29.4" customHeight="1">
      <c r="A38" s="208"/>
      <c r="B38" s="210" t="s">
        <v>92</v>
      </c>
      <c r="C38" s="218" t="s">
        <v>124</v>
      </c>
      <c r="D38" s="208"/>
      <c r="E38" s="224"/>
      <c r="F38" s="157"/>
      <c r="G38" s="192"/>
      <c r="H38" s="80"/>
      <c r="I38" s="80"/>
    </row>
    <row r="39" spans="1:9">
      <c r="A39" s="208"/>
      <c r="B39" s="213"/>
      <c r="C39" s="219"/>
      <c r="D39" s="208"/>
      <c r="E39" s="224"/>
      <c r="F39" s="157"/>
      <c r="G39" s="192"/>
      <c r="H39" s="80"/>
      <c r="I39" s="80"/>
    </row>
    <row r="40" spans="1:9">
      <c r="A40" s="208">
        <v>6</v>
      </c>
      <c r="B40" s="213"/>
      <c r="C40" s="216" t="s">
        <v>238</v>
      </c>
      <c r="D40" s="208" t="s">
        <v>27</v>
      </c>
      <c r="E40" s="224">
        <v>8270</v>
      </c>
      <c r="F40" s="157">
        <v>725</v>
      </c>
      <c r="G40" s="192">
        <f>E40*F40</f>
        <v>5995750</v>
      </c>
      <c r="H40" s="80"/>
      <c r="I40" s="80"/>
    </row>
    <row r="41" spans="1:9">
      <c r="A41" s="132"/>
      <c r="B41" s="212"/>
      <c r="C41" s="220"/>
      <c r="D41" s="132"/>
      <c r="E41" s="226"/>
      <c r="F41" s="157"/>
      <c r="G41" s="192"/>
      <c r="H41" s="80"/>
      <c r="I41" s="80"/>
    </row>
    <row r="42" spans="1:9">
      <c r="A42" s="208">
        <v>7</v>
      </c>
      <c r="B42" s="213"/>
      <c r="C42" s="216" t="s">
        <v>259</v>
      </c>
      <c r="D42" s="208" t="s">
        <v>27</v>
      </c>
      <c r="E42" s="224">
        <v>17600</v>
      </c>
      <c r="F42" s="157">
        <v>625</v>
      </c>
      <c r="G42" s="192">
        <f>E42*F42</f>
        <v>11000000</v>
      </c>
      <c r="H42" s="80"/>
      <c r="I42" s="80"/>
    </row>
    <row r="43" spans="1:9">
      <c r="A43" s="208"/>
      <c r="B43" s="213"/>
      <c r="C43" s="216"/>
      <c r="D43" s="208"/>
      <c r="E43" s="224"/>
      <c r="F43" s="157"/>
      <c r="G43" s="192"/>
      <c r="H43" s="80"/>
      <c r="I43" s="80"/>
    </row>
    <row r="44" spans="1:9">
      <c r="A44" s="4"/>
      <c r="B44" s="162" t="s">
        <v>129</v>
      </c>
      <c r="C44" s="163"/>
      <c r="D44" s="1"/>
      <c r="E44" s="7"/>
      <c r="F44" s="157"/>
      <c r="G44" s="157"/>
      <c r="H44" s="80"/>
      <c r="I44" s="80"/>
    </row>
    <row r="45" spans="1:9">
      <c r="A45" s="1"/>
      <c r="B45" s="162" t="s">
        <v>135</v>
      </c>
      <c r="C45" s="238" t="s">
        <v>50</v>
      </c>
      <c r="D45" s="1"/>
      <c r="E45" s="7"/>
      <c r="F45" s="157"/>
      <c r="G45" s="157"/>
      <c r="H45" s="80"/>
      <c r="I45" s="80"/>
    </row>
    <row r="46" spans="1:9" ht="20.399999999999999">
      <c r="A46" s="1"/>
      <c r="B46" s="4" t="s">
        <v>92</v>
      </c>
      <c r="C46" s="164" t="s">
        <v>124</v>
      </c>
      <c r="D46" s="1"/>
      <c r="E46" s="7"/>
      <c r="F46" s="157"/>
      <c r="G46" s="157"/>
      <c r="H46" s="80"/>
      <c r="I46" s="80"/>
    </row>
    <row r="47" spans="1:9">
      <c r="A47" s="1"/>
      <c r="B47" s="162"/>
      <c r="C47" s="239"/>
      <c r="D47" s="1"/>
      <c r="E47" s="7"/>
      <c r="F47" s="157"/>
      <c r="G47" s="157"/>
      <c r="H47" s="80"/>
      <c r="I47" s="80"/>
    </row>
    <row r="48" spans="1:9" ht="20.399999999999999">
      <c r="A48" s="1">
        <v>8</v>
      </c>
      <c r="B48" s="162"/>
      <c r="C48" s="163" t="s">
        <v>262</v>
      </c>
      <c r="D48" s="1" t="s">
        <v>27</v>
      </c>
      <c r="E48" s="7">
        <v>1790</v>
      </c>
      <c r="F48" s="157">
        <v>725</v>
      </c>
      <c r="G48" s="240">
        <f>E48*F48</f>
        <v>1297750</v>
      </c>
      <c r="H48" s="80"/>
      <c r="I48" s="80"/>
    </row>
    <row r="49" spans="1:9">
      <c r="A49" s="208"/>
      <c r="B49" s="213"/>
      <c r="C49" s="216"/>
      <c r="D49" s="208"/>
      <c r="E49" s="224"/>
      <c r="F49" s="157"/>
      <c r="G49" s="192"/>
      <c r="H49" s="80"/>
      <c r="I49" s="80"/>
    </row>
    <row r="50" spans="1:9">
      <c r="A50" s="132"/>
      <c r="B50" s="212"/>
      <c r="C50" s="220"/>
      <c r="D50" s="132"/>
      <c r="E50" s="226"/>
      <c r="F50" s="157"/>
      <c r="G50" s="192"/>
      <c r="H50" s="80"/>
      <c r="I50" s="80"/>
    </row>
    <row r="51" spans="1:9" ht="20.399999999999999">
      <c r="A51" s="132"/>
      <c r="B51" s="209" t="s">
        <v>93</v>
      </c>
      <c r="C51" s="214" t="s">
        <v>54</v>
      </c>
      <c r="D51" s="132"/>
      <c r="E51" s="226"/>
      <c r="F51" s="157"/>
      <c r="G51" s="192"/>
      <c r="H51" s="80"/>
      <c r="I51" s="80"/>
    </row>
    <row r="52" spans="1:9">
      <c r="A52" s="132"/>
      <c r="B52" s="212"/>
      <c r="C52" s="220"/>
      <c r="D52" s="132"/>
      <c r="E52" s="226"/>
      <c r="F52" s="157"/>
      <c r="G52" s="192"/>
      <c r="H52" s="80"/>
      <c r="I52" s="80"/>
    </row>
    <row r="53" spans="1:9">
      <c r="A53" s="208">
        <v>9</v>
      </c>
      <c r="B53" s="210"/>
      <c r="C53" s="216" t="s">
        <v>52</v>
      </c>
      <c r="D53" s="208" t="s">
        <v>27</v>
      </c>
      <c r="E53" s="224">
        <v>1790</v>
      </c>
      <c r="F53" s="157">
        <v>89</v>
      </c>
      <c r="G53" s="192">
        <f>E53*F53</f>
        <v>159310</v>
      </c>
      <c r="H53" s="80"/>
      <c r="I53" s="80"/>
    </row>
    <row r="54" spans="1:9">
      <c r="A54" s="208"/>
      <c r="B54" s="213"/>
      <c r="C54" s="218"/>
      <c r="D54" s="208"/>
      <c r="E54" s="224"/>
      <c r="F54" s="157"/>
      <c r="G54" s="192"/>
      <c r="H54" s="80"/>
      <c r="I54" s="80"/>
    </row>
    <row r="55" spans="1:9">
      <c r="A55" s="208"/>
      <c r="B55" s="210" t="s">
        <v>94</v>
      </c>
      <c r="C55" s="218" t="s">
        <v>51</v>
      </c>
      <c r="D55" s="223"/>
      <c r="E55" s="224"/>
      <c r="F55" s="157"/>
      <c r="G55" s="192"/>
      <c r="H55" s="80"/>
      <c r="I55" s="80"/>
    </row>
    <row r="56" spans="1:9">
      <c r="A56" s="208"/>
      <c r="B56" s="213"/>
      <c r="C56" s="216"/>
      <c r="D56" s="208"/>
      <c r="E56" s="224"/>
      <c r="F56" s="157"/>
      <c r="G56" s="192"/>
      <c r="H56" s="80"/>
      <c r="I56" s="80"/>
    </row>
    <row r="57" spans="1:9">
      <c r="A57" s="208">
        <v>10</v>
      </c>
      <c r="B57" s="210"/>
      <c r="C57" s="8" t="s">
        <v>53</v>
      </c>
      <c r="D57" s="208" t="s">
        <v>2</v>
      </c>
      <c r="E57" s="224">
        <f>ROUNDUP(E53*(3/100)*1.61,0)</f>
        <v>87</v>
      </c>
      <c r="F57" s="157">
        <v>2596</v>
      </c>
      <c r="G57" s="192">
        <f>E57*F57</f>
        <v>225852</v>
      </c>
      <c r="H57" s="80"/>
      <c r="I57" s="80"/>
    </row>
    <row r="58" spans="1:9">
      <c r="A58" s="208"/>
      <c r="B58" s="210"/>
      <c r="C58" s="8"/>
      <c r="D58" s="208"/>
      <c r="E58" s="224"/>
      <c r="F58" s="157"/>
      <c r="G58" s="192"/>
      <c r="H58" s="80"/>
      <c r="I58" s="80"/>
    </row>
    <row r="59" spans="1:9">
      <c r="A59" s="208"/>
      <c r="B59" s="210"/>
      <c r="C59" s="8"/>
      <c r="D59" s="208"/>
      <c r="E59" s="224"/>
      <c r="F59" s="157"/>
      <c r="G59" s="192"/>
      <c r="H59" s="80"/>
      <c r="I59" s="80"/>
    </row>
    <row r="60" spans="1:9">
      <c r="A60" s="208"/>
      <c r="B60" s="210"/>
      <c r="C60" s="8"/>
      <c r="D60" s="208"/>
      <c r="E60" s="224"/>
      <c r="F60" s="157"/>
      <c r="G60" s="192"/>
      <c r="H60" s="80"/>
      <c r="I60" s="80"/>
    </row>
    <row r="61" spans="1:9">
      <c r="A61" s="208"/>
      <c r="B61" s="211"/>
      <c r="C61" s="221"/>
      <c r="D61" s="222"/>
      <c r="E61" s="225"/>
      <c r="F61" s="227"/>
      <c r="G61" s="192"/>
      <c r="H61" s="80"/>
      <c r="I61" s="80"/>
    </row>
    <row r="62" spans="1:9" s="40" customFormat="1" ht="20.100000000000001" customHeight="1">
      <c r="A62" s="231" t="s">
        <v>40</v>
      </c>
      <c r="B62" s="232"/>
      <c r="C62" s="232"/>
      <c r="D62" s="232"/>
      <c r="E62" s="232"/>
      <c r="F62" s="233"/>
      <c r="G62" s="160">
        <f>SUM(G6:G57)</f>
        <v>21176057</v>
      </c>
    </row>
    <row r="63" spans="1:9" s="40" customFormat="1">
      <c r="A63" s="44"/>
      <c r="B63" s="41"/>
      <c r="C63" s="18"/>
      <c r="D63" s="41"/>
      <c r="E63" s="41"/>
      <c r="F63" s="42"/>
      <c r="G63" s="42"/>
    </row>
    <row r="64" spans="1:9" s="40" customFormat="1">
      <c r="A64" s="44"/>
      <c r="B64" s="41"/>
      <c r="C64" s="18"/>
      <c r="D64" s="41"/>
      <c r="E64" s="41"/>
      <c r="F64" s="42"/>
      <c r="G64" s="42"/>
    </row>
    <row r="65" spans="1:9" s="40" customFormat="1" ht="20.399999999999999">
      <c r="A65" s="71" t="s">
        <v>8</v>
      </c>
      <c r="B65" s="49" t="s">
        <v>9</v>
      </c>
      <c r="C65" s="48" t="s">
        <v>10</v>
      </c>
      <c r="D65" s="49" t="s">
        <v>11</v>
      </c>
      <c r="E65" s="49" t="s">
        <v>32</v>
      </c>
      <c r="F65" s="144" t="s">
        <v>214</v>
      </c>
      <c r="G65" s="144" t="s">
        <v>213</v>
      </c>
    </row>
    <row r="66" spans="1:9" s="40" customFormat="1" ht="20.100000000000001" customHeight="1">
      <c r="A66" s="231" t="s">
        <v>41</v>
      </c>
      <c r="B66" s="232"/>
      <c r="C66" s="232"/>
      <c r="D66" s="232"/>
      <c r="E66" s="232"/>
      <c r="F66" s="233"/>
      <c r="G66" s="160">
        <f>G62</f>
        <v>21176057</v>
      </c>
    </row>
    <row r="67" spans="1:9">
      <c r="A67" s="4"/>
      <c r="B67" s="162"/>
      <c r="C67" s="163"/>
      <c r="D67" s="1"/>
      <c r="E67" s="7"/>
      <c r="F67" s="157"/>
      <c r="G67" s="192"/>
      <c r="H67" s="80"/>
      <c r="I67" s="80"/>
    </row>
    <row r="68" spans="1:9">
      <c r="A68" s="33"/>
      <c r="B68" s="27" t="s">
        <v>129</v>
      </c>
      <c r="C68" s="30"/>
      <c r="D68" s="11"/>
      <c r="E68" s="26"/>
      <c r="F68" s="157"/>
      <c r="G68" s="192"/>
      <c r="H68" s="80"/>
      <c r="I68" s="80"/>
    </row>
    <row r="69" spans="1:9">
      <c r="A69" s="11"/>
      <c r="B69" s="27" t="s">
        <v>136</v>
      </c>
      <c r="C69" s="28" t="s">
        <v>55</v>
      </c>
      <c r="D69" s="11"/>
      <c r="E69" s="26"/>
      <c r="F69" s="157"/>
      <c r="G69" s="192"/>
      <c r="H69" s="80"/>
      <c r="I69" s="80"/>
    </row>
    <row r="70" spans="1:9">
      <c r="A70" s="11"/>
      <c r="B70" s="11" t="s">
        <v>95</v>
      </c>
      <c r="C70" s="30" t="s">
        <v>56</v>
      </c>
      <c r="D70" s="11"/>
      <c r="E70" s="26"/>
      <c r="F70" s="157"/>
      <c r="G70" s="192"/>
      <c r="H70" s="80"/>
      <c r="I70" s="80"/>
    </row>
    <row r="71" spans="1:9">
      <c r="A71" s="11"/>
      <c r="B71" s="27"/>
      <c r="C71" s="29"/>
      <c r="D71" s="11"/>
      <c r="E71" s="26"/>
      <c r="F71" s="157"/>
      <c r="G71" s="192"/>
      <c r="H71" s="80"/>
      <c r="I71" s="80"/>
    </row>
    <row r="72" spans="1:9" ht="20.399999999999999">
      <c r="A72" s="4">
        <v>11</v>
      </c>
      <c r="B72" s="162"/>
      <c r="C72" s="8" t="s">
        <v>145</v>
      </c>
      <c r="D72" s="4" t="s">
        <v>33</v>
      </c>
      <c r="E72" s="7">
        <v>7580</v>
      </c>
      <c r="F72" s="157">
        <v>425</v>
      </c>
      <c r="G72" s="192">
        <f>E72*F72</f>
        <v>3221500</v>
      </c>
      <c r="H72" s="80"/>
      <c r="I72" s="80"/>
    </row>
    <row r="73" spans="1:9">
      <c r="A73" s="11"/>
      <c r="B73" s="27"/>
      <c r="C73" s="31"/>
      <c r="D73" s="11"/>
      <c r="E73" s="26"/>
      <c r="F73" s="157"/>
      <c r="G73" s="192"/>
      <c r="H73" s="80"/>
      <c r="I73" s="80"/>
    </row>
    <row r="74" spans="1:9" ht="20.399999999999999">
      <c r="A74" s="4">
        <v>12</v>
      </c>
      <c r="B74" s="162"/>
      <c r="C74" s="8" t="s">
        <v>225</v>
      </c>
      <c r="D74" s="4" t="s">
        <v>33</v>
      </c>
      <c r="E74" s="7">
        <v>9600</v>
      </c>
      <c r="F74" s="157">
        <v>315</v>
      </c>
      <c r="G74" s="192">
        <f>E74*F74</f>
        <v>3024000</v>
      </c>
      <c r="H74" s="80"/>
      <c r="I74" s="80"/>
    </row>
    <row r="75" spans="1:9">
      <c r="A75" s="11"/>
      <c r="B75" s="27"/>
      <c r="C75" s="31"/>
      <c r="D75" s="11"/>
      <c r="E75" s="26"/>
      <c r="F75" s="157"/>
      <c r="G75" s="192"/>
      <c r="H75" s="80"/>
      <c r="I75" s="80"/>
    </row>
    <row r="76" spans="1:9">
      <c r="A76" s="11"/>
      <c r="B76" s="27" t="s">
        <v>129</v>
      </c>
      <c r="C76" s="29"/>
      <c r="D76" s="11"/>
      <c r="E76" s="26"/>
      <c r="F76" s="157"/>
      <c r="G76" s="192"/>
      <c r="H76" s="80"/>
      <c r="I76" s="80"/>
    </row>
    <row r="77" spans="1:9">
      <c r="A77" s="11"/>
      <c r="B77" s="27" t="s">
        <v>137</v>
      </c>
      <c r="C77" s="28" t="s">
        <v>35</v>
      </c>
      <c r="D77" s="11"/>
      <c r="E77" s="26"/>
      <c r="F77" s="157"/>
      <c r="G77" s="192"/>
      <c r="H77" s="80"/>
      <c r="I77" s="80"/>
    </row>
    <row r="78" spans="1:9">
      <c r="A78" s="11"/>
      <c r="B78" s="11" t="s">
        <v>65</v>
      </c>
      <c r="C78" s="30" t="s">
        <v>57</v>
      </c>
      <c r="D78" s="11"/>
      <c r="E78" s="26"/>
      <c r="F78" s="157"/>
      <c r="G78" s="192"/>
      <c r="H78" s="80"/>
      <c r="I78" s="80"/>
    </row>
    <row r="79" spans="1:9">
      <c r="A79" s="11"/>
      <c r="B79" s="27"/>
      <c r="C79" s="29"/>
      <c r="D79" s="11"/>
      <c r="E79" s="26"/>
      <c r="F79" s="157"/>
      <c r="G79" s="192"/>
      <c r="H79" s="80"/>
      <c r="I79" s="80"/>
    </row>
    <row r="80" spans="1:9">
      <c r="A80" s="11"/>
      <c r="B80" s="27"/>
      <c r="C80" s="31" t="s">
        <v>151</v>
      </c>
      <c r="D80" s="11"/>
      <c r="E80" s="26"/>
      <c r="F80" s="157"/>
      <c r="G80" s="192"/>
      <c r="H80" s="80"/>
      <c r="I80" s="80"/>
    </row>
    <row r="81" spans="1:9">
      <c r="A81" s="11"/>
      <c r="B81" s="27"/>
      <c r="C81" s="29"/>
      <c r="D81" s="11"/>
      <c r="E81" s="26"/>
      <c r="F81" s="157"/>
      <c r="G81" s="192"/>
      <c r="H81" s="80"/>
      <c r="I81" s="80"/>
    </row>
    <row r="82" spans="1:9">
      <c r="A82" s="4">
        <v>13</v>
      </c>
      <c r="B82" s="162"/>
      <c r="C82" s="8" t="s">
        <v>127</v>
      </c>
      <c r="D82" s="4" t="s">
        <v>1</v>
      </c>
      <c r="E82" s="7">
        <v>2300</v>
      </c>
      <c r="F82" s="157">
        <v>275</v>
      </c>
      <c r="G82" s="192">
        <f>E82*F82</f>
        <v>632500</v>
      </c>
      <c r="H82" s="80"/>
      <c r="I82" s="80"/>
    </row>
    <row r="83" spans="1:9">
      <c r="A83" s="11"/>
      <c r="B83" s="27"/>
      <c r="C83" s="31"/>
      <c r="D83" s="11"/>
      <c r="E83" s="26"/>
      <c r="F83" s="157"/>
      <c r="G83" s="192"/>
      <c r="H83" s="80"/>
      <c r="I83" s="80"/>
    </row>
    <row r="84" spans="1:9">
      <c r="A84" s="11"/>
      <c r="B84" s="27" t="s">
        <v>129</v>
      </c>
      <c r="C84" s="116"/>
      <c r="D84" s="11"/>
      <c r="E84" s="26"/>
      <c r="F84" s="157"/>
      <c r="G84" s="192"/>
      <c r="H84" s="80"/>
      <c r="I84" s="80"/>
    </row>
    <row r="85" spans="1:9">
      <c r="A85" s="11"/>
      <c r="B85" s="27" t="s">
        <v>138</v>
      </c>
      <c r="C85" s="28" t="s">
        <v>36</v>
      </c>
      <c r="D85" s="11"/>
      <c r="E85" s="26"/>
      <c r="F85" s="157"/>
      <c r="G85" s="192"/>
      <c r="H85" s="80"/>
      <c r="I85" s="80"/>
    </row>
    <row r="86" spans="1:9">
      <c r="A86" s="11"/>
      <c r="B86" s="27"/>
      <c r="C86" s="30" t="s">
        <v>74</v>
      </c>
      <c r="D86" s="117"/>
      <c r="E86" s="117"/>
      <c r="F86" s="157"/>
      <c r="G86" s="192"/>
      <c r="H86" s="80"/>
      <c r="I86" s="80"/>
    </row>
    <row r="87" spans="1:9">
      <c r="A87" s="11"/>
      <c r="B87" s="27"/>
      <c r="C87" s="118"/>
      <c r="D87" s="117"/>
      <c r="E87" s="117"/>
      <c r="F87" s="157"/>
      <c r="G87" s="192"/>
      <c r="H87" s="80"/>
      <c r="I87" s="80"/>
    </row>
    <row r="88" spans="1:9" ht="20.399999999999999">
      <c r="A88" s="11"/>
      <c r="B88" s="27" t="s">
        <v>76</v>
      </c>
      <c r="C88" s="34" t="s">
        <v>77</v>
      </c>
      <c r="D88" s="117"/>
      <c r="E88" s="117"/>
      <c r="F88" s="157"/>
      <c r="G88" s="192"/>
      <c r="H88" s="80"/>
      <c r="I88" s="80"/>
    </row>
    <row r="89" spans="1:9">
      <c r="A89" s="11"/>
      <c r="B89" s="11"/>
      <c r="C89" s="118" t="s">
        <v>73</v>
      </c>
      <c r="D89" s="32"/>
      <c r="E89" s="117"/>
      <c r="F89" s="157"/>
      <c r="G89" s="192"/>
      <c r="H89" s="80"/>
      <c r="I89" s="80"/>
    </row>
    <row r="90" spans="1:9">
      <c r="A90" s="11"/>
      <c r="B90" s="27"/>
      <c r="C90" s="118"/>
      <c r="D90" s="117"/>
      <c r="E90" s="117"/>
      <c r="F90" s="157"/>
      <c r="G90" s="192"/>
      <c r="H90" s="80"/>
      <c r="I90" s="80"/>
    </row>
    <row r="91" spans="1:9">
      <c r="A91" s="4">
        <v>14</v>
      </c>
      <c r="B91" s="4"/>
      <c r="C91" s="171" t="s">
        <v>75</v>
      </c>
      <c r="D91" s="4" t="s">
        <v>33</v>
      </c>
      <c r="E91" s="7">
        <v>25</v>
      </c>
      <c r="F91" s="157">
        <v>925</v>
      </c>
      <c r="G91" s="192">
        <f>E91*F91</f>
        <v>23125</v>
      </c>
      <c r="H91" s="80"/>
      <c r="I91" s="80"/>
    </row>
    <row r="92" spans="1:9">
      <c r="A92" s="15"/>
      <c r="B92" s="27"/>
      <c r="C92" s="118"/>
      <c r="D92" s="117"/>
      <c r="E92" s="117"/>
      <c r="F92" s="157"/>
      <c r="G92" s="192"/>
      <c r="H92" s="80"/>
      <c r="I92" s="80"/>
    </row>
    <row r="93" spans="1:9">
      <c r="A93" s="4">
        <v>15</v>
      </c>
      <c r="B93" s="11"/>
      <c r="C93" s="118" t="s">
        <v>37</v>
      </c>
      <c r="D93" s="11" t="s">
        <v>219</v>
      </c>
      <c r="E93" s="26">
        <v>1</v>
      </c>
      <c r="F93" s="157">
        <v>45000</v>
      </c>
      <c r="G93" s="192">
        <f>F93*E93</f>
        <v>45000</v>
      </c>
      <c r="H93" s="80"/>
      <c r="I93" s="80"/>
    </row>
    <row r="94" spans="1:9">
      <c r="A94" s="4"/>
      <c r="B94" s="11"/>
      <c r="C94" s="118"/>
      <c r="D94" s="11"/>
      <c r="E94" s="26"/>
      <c r="F94" s="157"/>
      <c r="G94" s="192"/>
      <c r="H94" s="80"/>
      <c r="I94" s="80"/>
    </row>
    <row r="95" spans="1:9">
      <c r="A95" s="4"/>
      <c r="B95" s="11"/>
      <c r="C95" s="118"/>
      <c r="D95" s="11"/>
      <c r="E95" s="26"/>
      <c r="F95" s="157"/>
      <c r="G95" s="192"/>
      <c r="H95" s="80"/>
      <c r="I95" s="80"/>
    </row>
    <row r="96" spans="1:9">
      <c r="A96" s="4"/>
      <c r="B96" s="11"/>
      <c r="C96" s="118"/>
      <c r="D96" s="11"/>
      <c r="E96" s="26"/>
      <c r="F96" s="157"/>
      <c r="G96" s="192"/>
      <c r="H96" s="80"/>
      <c r="I96" s="80"/>
    </row>
    <row r="97" spans="1:9">
      <c r="A97" s="4"/>
      <c r="B97" s="11"/>
      <c r="C97" s="118"/>
      <c r="D97" s="11"/>
      <c r="E97" s="26"/>
      <c r="F97" s="157"/>
      <c r="G97" s="192"/>
      <c r="H97" s="80"/>
      <c r="I97" s="80"/>
    </row>
    <row r="98" spans="1:9">
      <c r="A98" s="4"/>
      <c r="B98" s="11"/>
      <c r="C98" s="118"/>
      <c r="D98" s="11"/>
      <c r="E98" s="26"/>
      <c r="F98" s="157"/>
      <c r="G98" s="192"/>
      <c r="H98" s="80"/>
      <c r="I98" s="80"/>
    </row>
    <row r="99" spans="1:9">
      <c r="A99" s="4"/>
      <c r="B99" s="11"/>
      <c r="C99" s="118"/>
      <c r="D99" s="11"/>
      <c r="E99" s="26"/>
      <c r="F99" s="157"/>
      <c r="G99" s="192"/>
      <c r="H99" s="80"/>
      <c r="I99" s="80"/>
    </row>
    <row r="100" spans="1:9">
      <c r="A100" s="4"/>
      <c r="B100" s="11"/>
      <c r="C100" s="118"/>
      <c r="D100" s="11"/>
      <c r="E100" s="26"/>
      <c r="F100" s="157"/>
      <c r="G100" s="192"/>
      <c r="H100" s="80"/>
      <c r="I100" s="80"/>
    </row>
    <row r="101" spans="1:9">
      <c r="A101" s="4"/>
      <c r="B101" s="11"/>
      <c r="C101" s="118"/>
      <c r="D101" s="11"/>
      <c r="E101" s="26"/>
      <c r="F101" s="157"/>
      <c r="G101" s="192"/>
      <c r="H101" s="80"/>
      <c r="I101" s="80"/>
    </row>
    <row r="102" spans="1:9">
      <c r="A102" s="4"/>
      <c r="B102" s="11"/>
      <c r="C102" s="118"/>
      <c r="D102" s="11"/>
      <c r="E102" s="26"/>
      <c r="F102" s="157"/>
      <c r="G102" s="192"/>
      <c r="H102" s="80"/>
      <c r="I102" s="80"/>
    </row>
    <row r="103" spans="1:9">
      <c r="A103" s="4"/>
      <c r="B103" s="11"/>
      <c r="C103" s="118"/>
      <c r="D103" s="11"/>
      <c r="E103" s="26"/>
      <c r="F103" s="157"/>
      <c r="G103" s="192"/>
      <c r="H103" s="80"/>
      <c r="I103" s="80"/>
    </row>
    <row r="104" spans="1:9">
      <c r="A104" s="4"/>
      <c r="B104" s="11"/>
      <c r="C104" s="118"/>
      <c r="D104" s="11"/>
      <c r="E104" s="26"/>
      <c r="F104" s="157"/>
      <c r="G104" s="192"/>
      <c r="H104" s="80"/>
      <c r="I104" s="80"/>
    </row>
    <row r="105" spans="1:9">
      <c r="A105" s="4"/>
      <c r="B105" s="11"/>
      <c r="C105" s="118"/>
      <c r="D105" s="11"/>
      <c r="E105" s="26"/>
      <c r="F105" s="157"/>
      <c r="G105" s="192"/>
      <c r="H105" s="80"/>
      <c r="I105" s="80"/>
    </row>
    <row r="106" spans="1:9">
      <c r="A106" s="4"/>
      <c r="B106" s="11"/>
      <c r="C106" s="118"/>
      <c r="D106" s="11"/>
      <c r="E106" s="26"/>
      <c r="F106" s="157"/>
      <c r="G106" s="192"/>
      <c r="H106" s="80"/>
      <c r="I106" s="80"/>
    </row>
    <row r="107" spans="1:9">
      <c r="A107" s="4"/>
      <c r="B107" s="11"/>
      <c r="C107" s="118"/>
      <c r="D107" s="11"/>
      <c r="E107" s="26"/>
      <c r="F107" s="157"/>
      <c r="G107" s="192"/>
      <c r="H107" s="80"/>
      <c r="I107" s="80"/>
    </row>
    <row r="108" spans="1:9">
      <c r="A108" s="4"/>
      <c r="B108" s="11"/>
      <c r="C108" s="118"/>
      <c r="D108" s="11"/>
      <c r="E108" s="26"/>
      <c r="F108" s="157"/>
      <c r="G108" s="192"/>
      <c r="H108" s="80"/>
      <c r="I108" s="80"/>
    </row>
    <row r="109" spans="1:9">
      <c r="A109" s="4"/>
      <c r="B109" s="11"/>
      <c r="C109" s="118"/>
      <c r="D109" s="11"/>
      <c r="E109" s="26"/>
      <c r="F109" s="157"/>
      <c r="G109" s="192"/>
      <c r="H109" s="80"/>
      <c r="I109" s="80"/>
    </row>
    <row r="110" spans="1:9">
      <c r="A110" s="4"/>
      <c r="B110" s="11"/>
      <c r="C110" s="118"/>
      <c r="D110" s="11"/>
      <c r="E110" s="26"/>
      <c r="F110" s="157"/>
      <c r="G110" s="192"/>
      <c r="H110" s="80"/>
      <c r="I110" s="80"/>
    </row>
    <row r="111" spans="1:9">
      <c r="A111" s="4"/>
      <c r="B111" s="11"/>
      <c r="C111" s="118"/>
      <c r="D111" s="11"/>
      <c r="E111" s="26"/>
      <c r="F111" s="157"/>
      <c r="G111" s="192"/>
      <c r="H111" s="80"/>
      <c r="I111" s="80"/>
    </row>
    <row r="112" spans="1:9">
      <c r="A112" s="4"/>
      <c r="B112" s="11"/>
      <c r="C112" s="118"/>
      <c r="D112" s="11"/>
      <c r="E112" s="26"/>
      <c r="F112" s="157"/>
      <c r="G112" s="192"/>
      <c r="H112" s="80"/>
      <c r="I112" s="80"/>
    </row>
    <row r="113" spans="1:9">
      <c r="A113" s="4"/>
      <c r="B113" s="11"/>
      <c r="C113" s="118"/>
      <c r="D113" s="11"/>
      <c r="E113" s="26"/>
      <c r="F113" s="157"/>
      <c r="G113" s="192"/>
      <c r="H113" s="80"/>
      <c r="I113" s="80"/>
    </row>
    <row r="114" spans="1:9">
      <c r="A114" s="4"/>
      <c r="B114" s="11"/>
      <c r="C114" s="118"/>
      <c r="D114" s="11"/>
      <c r="E114" s="26"/>
      <c r="F114" s="157"/>
      <c r="G114" s="192"/>
      <c r="H114" s="80"/>
      <c r="I114" s="80"/>
    </row>
    <row r="115" spans="1:9">
      <c r="A115" s="4"/>
      <c r="B115" s="11"/>
      <c r="C115" s="118"/>
      <c r="D115" s="11"/>
      <c r="E115" s="26"/>
      <c r="F115" s="157"/>
      <c r="G115" s="192"/>
      <c r="H115" s="80"/>
      <c r="I115" s="80"/>
    </row>
    <row r="116" spans="1:9">
      <c r="A116" s="4"/>
      <c r="B116" s="11"/>
      <c r="C116" s="118"/>
      <c r="D116" s="11"/>
      <c r="E116" s="26"/>
      <c r="F116" s="157"/>
      <c r="G116" s="192"/>
      <c r="H116" s="80"/>
      <c r="I116" s="80"/>
    </row>
    <row r="117" spans="1:9">
      <c r="A117" s="4"/>
      <c r="B117" s="11"/>
      <c r="C117" s="118"/>
      <c r="D117" s="11"/>
      <c r="E117" s="26"/>
      <c r="F117" s="157"/>
      <c r="G117" s="192"/>
      <c r="H117" s="80"/>
      <c r="I117" s="80"/>
    </row>
    <row r="118" spans="1:9">
      <c r="A118" s="4"/>
      <c r="B118" s="11"/>
      <c r="C118" s="118"/>
      <c r="D118" s="11"/>
      <c r="E118" s="26"/>
      <c r="F118" s="157"/>
      <c r="G118" s="192"/>
      <c r="H118" s="80"/>
      <c r="I118" s="80"/>
    </row>
    <row r="119" spans="1:9">
      <c r="A119" s="4"/>
      <c r="B119" s="11"/>
      <c r="C119" s="118"/>
      <c r="D119" s="11"/>
      <c r="E119" s="26"/>
      <c r="F119" s="157"/>
      <c r="G119" s="192"/>
      <c r="H119" s="80"/>
      <c r="I119" s="80"/>
    </row>
    <row r="120" spans="1:9">
      <c r="A120" s="4"/>
      <c r="B120" s="11"/>
      <c r="C120" s="118"/>
      <c r="D120" s="11"/>
      <c r="E120" s="26"/>
      <c r="F120" s="157"/>
      <c r="G120" s="192"/>
      <c r="H120" s="80"/>
      <c r="I120" s="80"/>
    </row>
    <row r="121" spans="1:9">
      <c r="A121" s="4"/>
      <c r="B121" s="11"/>
      <c r="C121" s="118"/>
      <c r="D121" s="11"/>
      <c r="E121" s="26"/>
      <c r="F121" s="157"/>
      <c r="G121" s="192"/>
      <c r="H121" s="80"/>
      <c r="I121" s="80"/>
    </row>
    <row r="122" spans="1:9">
      <c r="A122" s="4"/>
      <c r="B122" s="11"/>
      <c r="C122" s="118"/>
      <c r="D122" s="11"/>
      <c r="E122" s="26"/>
      <c r="F122" s="157"/>
      <c r="G122" s="192"/>
      <c r="H122" s="80"/>
      <c r="I122" s="80"/>
    </row>
    <row r="123" spans="1:9">
      <c r="A123" s="4"/>
      <c r="B123" s="11"/>
      <c r="C123" s="118"/>
      <c r="D123" s="11"/>
      <c r="E123" s="26"/>
      <c r="F123" s="157"/>
      <c r="G123" s="192"/>
      <c r="H123" s="80"/>
      <c r="I123" s="80"/>
    </row>
    <row r="124" spans="1:9">
      <c r="A124" s="4"/>
      <c r="B124" s="11"/>
      <c r="C124" s="118"/>
      <c r="D124" s="11"/>
      <c r="E124" s="26"/>
      <c r="F124" s="157"/>
      <c r="G124" s="192"/>
      <c r="H124" s="80"/>
      <c r="I124" s="80"/>
    </row>
    <row r="125" spans="1:9">
      <c r="A125" s="15"/>
      <c r="B125" s="11"/>
      <c r="C125" s="118"/>
      <c r="D125" s="11"/>
      <c r="E125" s="26"/>
      <c r="F125" s="75"/>
      <c r="G125" s="192"/>
      <c r="H125" s="80"/>
      <c r="I125" s="80"/>
    </row>
    <row r="126" spans="1:9" ht="22.5" customHeight="1">
      <c r="A126" s="234" t="s">
        <v>120</v>
      </c>
      <c r="B126" s="235"/>
      <c r="C126" s="235"/>
      <c r="D126" s="235"/>
      <c r="E126" s="235"/>
      <c r="F126" s="236"/>
      <c r="G126" s="193">
        <f>SUM(G66:G125)</f>
        <v>28122182</v>
      </c>
      <c r="H126" s="47"/>
      <c r="I126" s="47"/>
    </row>
    <row r="127" spans="1:9" ht="26.25" customHeight="1"/>
    <row r="154" ht="15.6" customHeight="1"/>
  </sheetData>
  <mergeCells count="3">
    <mergeCell ref="A126:F126"/>
    <mergeCell ref="A62:F62"/>
    <mergeCell ref="A66:F66"/>
  </mergeCells>
  <pageMargins left="0.78740157480314965" right="0.39370078740157483" top="0.59055118110236227" bottom="0.59055118110236227" header="0.39370078740157483" footer="0.39370078740157483"/>
  <pageSetup paperSize="9" scale="90" orientation="portrait" r:id="rId1"/>
  <headerFooter>
    <oddFooter xml:space="preserve">&amp;R&amp;"Arial,Regular"&amp;8Page 6.&amp;P+5 </oddFooter>
  </headerFooter>
  <rowBreaks count="1" manualBreakCount="1">
    <brk id="63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67"/>
  <sheetViews>
    <sheetView showGridLines="0" showZeros="0" view="pageBreakPreview" topLeftCell="A87" zoomScaleNormal="100" zoomScaleSheetLayoutView="100" workbookViewId="0">
      <selection activeCell="G63" sqref="G63"/>
    </sheetView>
  </sheetViews>
  <sheetFormatPr defaultColWidth="13.109375" defaultRowHeight="10.199999999999999"/>
  <cols>
    <col min="1" max="1" width="4.88671875" style="106" customWidth="1"/>
    <col min="2" max="2" width="8.33203125" style="105" customWidth="1"/>
    <col min="3" max="3" width="41.6640625" style="102" customWidth="1"/>
    <col min="4" max="4" width="5.109375" style="106" customWidth="1"/>
    <col min="5" max="5" width="6" style="106" customWidth="1"/>
    <col min="6" max="6" width="6.88671875" style="107" customWidth="1"/>
    <col min="7" max="7" width="16" style="107" bestFit="1" customWidth="1"/>
    <col min="8" max="16384" width="13.109375" style="59"/>
  </cols>
  <sheetData>
    <row r="1" spans="1:7" ht="15" customHeight="1">
      <c r="A1" s="104" t="str">
        <f>'S1-P&amp;G''S'!A2</f>
        <v>NAFASI WATER - ARNOT WATER AND SEWER</v>
      </c>
      <c r="G1" s="108" t="str">
        <f>'S1-P&amp;G''S'!G2</f>
        <v>Revision T1</v>
      </c>
    </row>
    <row r="2" spans="1:7" ht="15" customHeight="1">
      <c r="A2" s="104" t="str">
        <f>'S1-P&amp;G''S'!A3</f>
        <v>EARTHWORKS AND CIVIL WORK</v>
      </c>
      <c r="G2" s="138"/>
    </row>
    <row r="3" spans="1:7" ht="15" customHeight="1">
      <c r="A3" s="119" t="s">
        <v>131</v>
      </c>
      <c r="G3" s="109">
        <f>'S1-P&amp;G''S'!G4</f>
        <v>45184</v>
      </c>
    </row>
    <row r="4" spans="1:7" ht="15" customHeight="1">
      <c r="A4" s="119"/>
      <c r="G4" s="110"/>
    </row>
    <row r="5" spans="1:7" ht="24" customHeight="1">
      <c r="A5" s="111" t="s">
        <v>8</v>
      </c>
      <c r="B5" s="112" t="s">
        <v>9</v>
      </c>
      <c r="C5" s="111" t="s">
        <v>10</v>
      </c>
      <c r="D5" s="112" t="s">
        <v>11</v>
      </c>
      <c r="E5" s="112" t="s">
        <v>32</v>
      </c>
      <c r="F5" s="82" t="s">
        <v>245</v>
      </c>
      <c r="G5" s="82" t="s">
        <v>261</v>
      </c>
    </row>
    <row r="6" spans="1:7">
      <c r="A6" s="88"/>
      <c r="B6" s="89"/>
      <c r="C6" s="90"/>
      <c r="D6" s="91"/>
      <c r="E6" s="91"/>
      <c r="F6" s="92"/>
      <c r="G6" s="92"/>
    </row>
    <row r="7" spans="1:7">
      <c r="A7" s="88"/>
      <c r="B7" s="89"/>
      <c r="C7" s="93" t="str">
        <f>A3</f>
        <v>SECTION 3 - STORM WATER DRAINAGE</v>
      </c>
      <c r="D7" s="120"/>
      <c r="E7" s="96"/>
      <c r="F7" s="94"/>
      <c r="G7" s="94"/>
    </row>
    <row r="8" spans="1:7">
      <c r="A8" s="88"/>
      <c r="B8" s="89" t="s">
        <v>129</v>
      </c>
      <c r="C8" s="121" t="s">
        <v>48</v>
      </c>
      <c r="D8" s="96"/>
      <c r="E8" s="97"/>
      <c r="F8" s="94"/>
      <c r="G8" s="94"/>
    </row>
    <row r="9" spans="1:7">
      <c r="A9" s="88"/>
      <c r="B9" s="89" t="s">
        <v>134</v>
      </c>
      <c r="C9" s="98" t="s">
        <v>49</v>
      </c>
      <c r="D9" s="88"/>
      <c r="E9" s="97"/>
      <c r="F9" s="94"/>
      <c r="G9" s="94"/>
    </row>
    <row r="10" spans="1:7">
      <c r="A10" s="88"/>
      <c r="B10" s="89"/>
      <c r="C10" s="95" t="s">
        <v>60</v>
      </c>
      <c r="D10" s="88"/>
      <c r="E10" s="97"/>
      <c r="F10" s="94"/>
      <c r="G10" s="94"/>
    </row>
    <row r="11" spans="1:7">
      <c r="A11" s="88"/>
      <c r="B11" s="88" t="s">
        <v>92</v>
      </c>
      <c r="C11" s="86" t="s">
        <v>119</v>
      </c>
      <c r="D11" s="88"/>
      <c r="E11" s="97"/>
      <c r="F11" s="94"/>
      <c r="G11" s="94"/>
    </row>
    <row r="12" spans="1:7">
      <c r="A12" s="88"/>
      <c r="B12" s="88"/>
      <c r="C12" s="87"/>
      <c r="D12" s="88"/>
      <c r="E12" s="97"/>
      <c r="F12" s="94"/>
      <c r="G12" s="94"/>
    </row>
    <row r="13" spans="1:7" ht="20.399999999999999">
      <c r="A13" s="88"/>
      <c r="B13" s="88"/>
      <c r="C13" s="87" t="s">
        <v>34</v>
      </c>
      <c r="D13" s="88"/>
      <c r="E13" s="97"/>
      <c r="F13" s="94"/>
      <c r="G13" s="94"/>
    </row>
    <row r="14" spans="1:7">
      <c r="A14" s="88"/>
      <c r="B14" s="88"/>
      <c r="C14" s="122"/>
      <c r="D14" s="88"/>
      <c r="E14" s="97"/>
      <c r="F14" s="94"/>
      <c r="G14" s="94"/>
    </row>
    <row r="15" spans="1:7">
      <c r="A15" s="60">
        <v>1</v>
      </c>
      <c r="B15" s="60"/>
      <c r="C15" s="67" t="s">
        <v>139</v>
      </c>
      <c r="D15" s="60" t="s">
        <v>27</v>
      </c>
      <c r="E15" s="64">
        <v>100</v>
      </c>
      <c r="F15" s="61">
        <v>450</v>
      </c>
      <c r="G15" s="192">
        <f>E15*F15</f>
        <v>45000</v>
      </c>
    </row>
    <row r="16" spans="1:7">
      <c r="A16" s="60"/>
      <c r="B16" s="60"/>
      <c r="C16" s="25"/>
      <c r="D16" s="60"/>
      <c r="E16" s="64"/>
      <c r="F16" s="61"/>
      <c r="G16" s="161"/>
    </row>
    <row r="17" spans="1:7" ht="20.399999999999999">
      <c r="A17" s="4"/>
      <c r="B17" s="162" t="s">
        <v>107</v>
      </c>
      <c r="C17" s="181" t="s">
        <v>67</v>
      </c>
      <c r="D17" s="10"/>
      <c r="E17" s="19"/>
      <c r="F17" s="157"/>
      <c r="G17" s="5"/>
    </row>
    <row r="18" spans="1:7">
      <c r="A18" s="4"/>
      <c r="B18" s="4"/>
      <c r="C18" s="182"/>
      <c r="D18" s="10"/>
      <c r="E18" s="19"/>
      <c r="F18" s="157"/>
      <c r="G18" s="5"/>
    </row>
    <row r="19" spans="1:7" ht="20.399999999999999">
      <c r="A19" s="4"/>
      <c r="B19" s="4" t="s">
        <v>99</v>
      </c>
      <c r="C19" s="183" t="s">
        <v>122</v>
      </c>
      <c r="D19" s="10"/>
      <c r="E19" s="19"/>
      <c r="F19" s="157"/>
      <c r="G19" s="5"/>
    </row>
    <row r="20" spans="1:7">
      <c r="A20" s="4"/>
      <c r="B20" s="4"/>
      <c r="C20" s="183"/>
      <c r="D20" s="10"/>
      <c r="E20" s="19"/>
      <c r="F20" s="157"/>
      <c r="G20" s="5"/>
    </row>
    <row r="21" spans="1:7">
      <c r="A21" s="4"/>
      <c r="B21" s="4"/>
      <c r="C21" s="183" t="s">
        <v>239</v>
      </c>
      <c r="D21" s="10"/>
      <c r="E21" s="19"/>
      <c r="F21" s="157"/>
      <c r="G21" s="5"/>
    </row>
    <row r="22" spans="1:7">
      <c r="A22" s="4"/>
      <c r="B22" s="4"/>
      <c r="C22" s="183"/>
      <c r="D22" s="10"/>
      <c r="E22" s="19"/>
      <c r="F22" s="157"/>
      <c r="G22" s="5"/>
    </row>
    <row r="23" spans="1:7">
      <c r="A23" s="4">
        <v>2</v>
      </c>
      <c r="B23" s="4"/>
      <c r="C23" s="183" t="s">
        <v>121</v>
      </c>
      <c r="D23" s="10" t="s">
        <v>1</v>
      </c>
      <c r="E23" s="64">
        <v>70</v>
      </c>
      <c r="F23" s="61">
        <v>178</v>
      </c>
      <c r="G23" s="192">
        <f>E23*F23</f>
        <v>12460</v>
      </c>
    </row>
    <row r="24" spans="1:7">
      <c r="A24" s="4"/>
      <c r="B24" s="4"/>
      <c r="C24" s="183"/>
      <c r="D24" s="10"/>
      <c r="E24" s="19"/>
      <c r="F24" s="157"/>
      <c r="G24" s="184"/>
    </row>
    <row r="25" spans="1:7">
      <c r="A25" s="88"/>
      <c r="B25" s="89" t="s">
        <v>129</v>
      </c>
      <c r="C25" s="100"/>
      <c r="D25" s="99"/>
      <c r="E25" s="97"/>
      <c r="F25" s="94"/>
      <c r="G25" s="94"/>
    </row>
    <row r="26" spans="1:7">
      <c r="A26" s="88"/>
      <c r="B26" s="89" t="s">
        <v>130</v>
      </c>
      <c r="C26" s="85" t="s">
        <v>0</v>
      </c>
      <c r="D26" s="88"/>
      <c r="E26" s="97"/>
      <c r="F26" s="94"/>
      <c r="G26" s="94"/>
    </row>
    <row r="27" spans="1:7">
      <c r="A27" s="88"/>
      <c r="B27" s="88"/>
      <c r="C27" s="87"/>
      <c r="D27" s="88"/>
      <c r="E27" s="97"/>
      <c r="F27" s="94"/>
      <c r="G27" s="94"/>
    </row>
    <row r="28" spans="1:7">
      <c r="A28" s="88"/>
      <c r="B28" s="88" t="s">
        <v>96</v>
      </c>
      <c r="C28" s="123" t="s">
        <v>12</v>
      </c>
      <c r="D28" s="88"/>
      <c r="E28" s="97"/>
      <c r="F28" s="94"/>
      <c r="G28" s="94"/>
    </row>
    <row r="29" spans="1:7">
      <c r="A29" s="88"/>
      <c r="B29" s="88"/>
      <c r="C29" s="87"/>
      <c r="D29" s="88"/>
      <c r="E29" s="97"/>
      <c r="F29" s="94"/>
      <c r="G29" s="94"/>
    </row>
    <row r="30" spans="1:7">
      <c r="A30" s="88"/>
      <c r="B30" s="88" t="s">
        <v>65</v>
      </c>
      <c r="C30" s="85" t="s">
        <v>117</v>
      </c>
      <c r="D30" s="88"/>
      <c r="E30" s="97"/>
      <c r="F30" s="94"/>
      <c r="G30" s="192"/>
    </row>
    <row r="31" spans="1:7" ht="20.399999999999999">
      <c r="A31" s="88"/>
      <c r="B31" s="88"/>
      <c r="C31" s="87" t="s">
        <v>110</v>
      </c>
      <c r="D31" s="88"/>
      <c r="E31" s="97"/>
      <c r="F31" s="94"/>
      <c r="G31" s="192"/>
    </row>
    <row r="32" spans="1:7">
      <c r="A32" s="88"/>
      <c r="B32" s="88"/>
      <c r="C32" s="87"/>
      <c r="D32" s="88"/>
      <c r="E32" s="97"/>
      <c r="F32" s="94"/>
      <c r="G32" s="192"/>
    </row>
    <row r="33" spans="1:7">
      <c r="A33" s="88"/>
      <c r="B33" s="88"/>
      <c r="C33" s="86" t="s">
        <v>118</v>
      </c>
      <c r="D33" s="88"/>
      <c r="E33" s="97"/>
      <c r="F33" s="94"/>
      <c r="G33" s="192"/>
    </row>
    <row r="34" spans="1:7">
      <c r="A34" s="88"/>
      <c r="B34" s="88"/>
      <c r="C34" s="87"/>
      <c r="D34" s="88"/>
      <c r="E34" s="97"/>
      <c r="F34" s="94"/>
      <c r="G34" s="192"/>
    </row>
    <row r="35" spans="1:7">
      <c r="A35" s="88"/>
      <c r="B35" s="88" t="s">
        <v>97</v>
      </c>
      <c r="C35" s="85" t="s">
        <v>115</v>
      </c>
      <c r="D35" s="88"/>
      <c r="E35" s="97"/>
      <c r="F35" s="94"/>
      <c r="G35" s="192"/>
    </row>
    <row r="36" spans="1:7">
      <c r="A36" s="88"/>
      <c r="B36" s="88"/>
      <c r="C36" s="87"/>
      <c r="D36" s="88"/>
      <c r="E36" s="97"/>
      <c r="F36" s="94"/>
      <c r="G36" s="192"/>
    </row>
    <row r="37" spans="1:7">
      <c r="A37" s="60">
        <v>3</v>
      </c>
      <c r="B37" s="60"/>
      <c r="C37" s="67" t="s">
        <v>113</v>
      </c>
      <c r="D37" s="60" t="s">
        <v>1</v>
      </c>
      <c r="E37" s="64">
        <v>1600</v>
      </c>
      <c r="F37" s="61">
        <v>135</v>
      </c>
      <c r="G37" s="192">
        <f>E37*F37</f>
        <v>216000</v>
      </c>
    </row>
    <row r="38" spans="1:7">
      <c r="A38" s="124"/>
      <c r="B38" s="125"/>
      <c r="C38" s="126"/>
      <c r="D38" s="124"/>
      <c r="E38" s="124"/>
      <c r="F38" s="127"/>
      <c r="G38" s="192"/>
    </row>
    <row r="39" spans="1:7">
      <c r="A39" s="88"/>
      <c r="B39" s="89" t="s">
        <v>98</v>
      </c>
      <c r="C39" s="85" t="s">
        <v>13</v>
      </c>
      <c r="D39" s="88"/>
      <c r="E39" s="97"/>
      <c r="F39" s="94"/>
      <c r="G39" s="192"/>
    </row>
    <row r="40" spans="1:7">
      <c r="A40" s="88"/>
      <c r="B40" s="88"/>
      <c r="C40" s="87"/>
      <c r="D40" s="88"/>
      <c r="E40" s="97"/>
      <c r="F40" s="94"/>
      <c r="G40" s="192"/>
    </row>
    <row r="41" spans="1:7">
      <c r="A41" s="88"/>
      <c r="B41" s="88" t="s">
        <v>99</v>
      </c>
      <c r="C41" s="85" t="s">
        <v>3</v>
      </c>
      <c r="D41" s="88"/>
      <c r="E41" s="97"/>
      <c r="F41" s="94"/>
      <c r="G41" s="192"/>
    </row>
    <row r="42" spans="1:7" ht="30.6">
      <c r="A42" s="88"/>
      <c r="B42" s="88"/>
      <c r="C42" s="87" t="s">
        <v>31</v>
      </c>
      <c r="D42" s="88"/>
      <c r="E42" s="97"/>
      <c r="F42" s="94"/>
      <c r="G42" s="192"/>
    </row>
    <row r="43" spans="1:7">
      <c r="A43" s="88"/>
      <c r="B43" s="88"/>
      <c r="C43" s="87"/>
      <c r="D43" s="88"/>
      <c r="E43" s="97"/>
      <c r="F43" s="94"/>
      <c r="G43" s="192"/>
    </row>
    <row r="44" spans="1:7">
      <c r="A44" s="60">
        <v>4</v>
      </c>
      <c r="B44" s="60"/>
      <c r="C44" s="67" t="s">
        <v>43</v>
      </c>
      <c r="D44" s="60" t="s">
        <v>33</v>
      </c>
      <c r="E44" s="64">
        <v>1600</v>
      </c>
      <c r="F44" s="61">
        <v>345</v>
      </c>
      <c r="G44" s="192">
        <f>E44*F44</f>
        <v>552000</v>
      </c>
    </row>
    <row r="45" spans="1:7">
      <c r="A45" s="88"/>
      <c r="B45" s="128"/>
      <c r="C45" s="87"/>
      <c r="D45" s="129"/>
      <c r="E45" s="97"/>
      <c r="F45" s="94"/>
      <c r="G45" s="192"/>
    </row>
    <row r="46" spans="1:7">
      <c r="A46" s="88"/>
      <c r="B46" s="130" t="s">
        <v>100</v>
      </c>
      <c r="C46" s="85" t="s">
        <v>4</v>
      </c>
      <c r="D46" s="88"/>
      <c r="E46" s="97"/>
      <c r="F46" s="94"/>
      <c r="G46" s="192"/>
    </row>
    <row r="47" spans="1:7">
      <c r="A47" s="88"/>
      <c r="C47" s="87"/>
      <c r="D47" s="88"/>
      <c r="E47" s="97"/>
      <c r="F47" s="94"/>
      <c r="G47" s="192"/>
    </row>
    <row r="48" spans="1:7">
      <c r="A48" s="88"/>
      <c r="B48" s="128" t="s">
        <v>102</v>
      </c>
      <c r="C48" s="85" t="s">
        <v>14</v>
      </c>
      <c r="D48" s="129"/>
      <c r="E48" s="97"/>
      <c r="F48" s="94"/>
      <c r="G48" s="192"/>
    </row>
    <row r="49" spans="1:7">
      <c r="A49" s="88"/>
      <c r="B49" s="88"/>
      <c r="C49" s="87"/>
      <c r="D49" s="88"/>
      <c r="E49" s="97"/>
      <c r="F49" s="94"/>
      <c r="G49" s="192"/>
    </row>
    <row r="50" spans="1:7">
      <c r="A50" s="88"/>
      <c r="B50" s="88"/>
      <c r="C50" s="85" t="s">
        <v>146</v>
      </c>
      <c r="D50" s="88"/>
      <c r="E50" s="97"/>
      <c r="F50" s="94"/>
      <c r="G50" s="192"/>
    </row>
    <row r="51" spans="1:7">
      <c r="A51" s="88"/>
      <c r="B51" s="88"/>
      <c r="C51" s="87"/>
      <c r="D51" s="88"/>
      <c r="E51" s="97"/>
      <c r="F51" s="94"/>
      <c r="G51" s="192"/>
    </row>
    <row r="52" spans="1:7">
      <c r="A52" s="60">
        <v>5</v>
      </c>
      <c r="B52" s="60"/>
      <c r="C52" s="67" t="s">
        <v>126</v>
      </c>
      <c r="D52" s="60" t="s">
        <v>27</v>
      </c>
      <c r="E52" s="64">
        <v>108</v>
      </c>
      <c r="F52" s="61">
        <v>3250</v>
      </c>
      <c r="G52" s="192">
        <f>E52*F52</f>
        <v>351000</v>
      </c>
    </row>
    <row r="53" spans="1:7">
      <c r="A53" s="60"/>
      <c r="B53" s="60"/>
      <c r="C53" s="67"/>
      <c r="D53" s="60"/>
      <c r="E53" s="64"/>
      <c r="F53" s="61"/>
      <c r="G53" s="192"/>
    </row>
    <row r="54" spans="1:7">
      <c r="A54" s="60"/>
      <c r="B54" s="60"/>
      <c r="C54" s="67"/>
      <c r="D54" s="60"/>
      <c r="E54" s="64"/>
      <c r="F54" s="61"/>
      <c r="G54" s="192"/>
    </row>
    <row r="55" spans="1:7">
      <c r="A55" s="60"/>
      <c r="B55" s="60"/>
      <c r="C55" s="67"/>
      <c r="D55" s="60"/>
      <c r="E55" s="64"/>
      <c r="F55" s="61"/>
      <c r="G55" s="192"/>
    </row>
    <row r="56" spans="1:7">
      <c r="A56" s="88"/>
      <c r="B56" s="88"/>
      <c r="C56" s="87"/>
      <c r="D56" s="88"/>
      <c r="E56" s="97"/>
      <c r="F56" s="94"/>
      <c r="G56" s="192"/>
    </row>
    <row r="57" spans="1:7">
      <c r="A57" s="88"/>
      <c r="B57" s="88"/>
      <c r="C57" s="87"/>
      <c r="D57" s="88"/>
      <c r="E57" s="97"/>
      <c r="F57" s="94"/>
      <c r="G57" s="192"/>
    </row>
    <row r="58" spans="1:7">
      <c r="A58" s="88"/>
      <c r="B58" s="88"/>
      <c r="C58" s="87"/>
      <c r="D58" s="88"/>
      <c r="E58" s="97"/>
      <c r="F58" s="94"/>
      <c r="G58" s="192"/>
    </row>
    <row r="59" spans="1:7" s="40" customFormat="1" ht="20.100000000000001" customHeight="1">
      <c r="A59" s="231" t="s">
        <v>40</v>
      </c>
      <c r="B59" s="232"/>
      <c r="C59" s="232"/>
      <c r="D59" s="232"/>
      <c r="E59" s="232"/>
      <c r="F59" s="233"/>
      <c r="G59" s="160">
        <f>SUM(G6:G58)</f>
        <v>1176460</v>
      </c>
    </row>
    <row r="60" spans="1:7" s="40" customFormat="1">
      <c r="A60" s="44"/>
      <c r="B60" s="41"/>
      <c r="C60" s="18"/>
      <c r="D60" s="41"/>
      <c r="E60" s="41"/>
      <c r="F60" s="42"/>
      <c r="G60" s="42"/>
    </row>
    <row r="61" spans="1:7" s="40" customFormat="1">
      <c r="A61" s="44"/>
      <c r="B61" s="41"/>
      <c r="C61" s="18"/>
      <c r="D61" s="41"/>
      <c r="E61" s="41"/>
      <c r="F61" s="42"/>
      <c r="G61" s="42"/>
    </row>
    <row r="62" spans="1:7" s="40" customFormat="1" ht="20.399999999999999">
      <c r="A62" s="71" t="s">
        <v>8</v>
      </c>
      <c r="B62" s="49" t="s">
        <v>9</v>
      </c>
      <c r="C62" s="48" t="s">
        <v>10</v>
      </c>
      <c r="D62" s="49" t="s">
        <v>11</v>
      </c>
      <c r="E62" s="49" t="s">
        <v>32</v>
      </c>
      <c r="F62" s="144" t="s">
        <v>263</v>
      </c>
      <c r="G62" s="144" t="s">
        <v>265</v>
      </c>
    </row>
    <row r="63" spans="1:7" s="40" customFormat="1" ht="20.100000000000001" customHeight="1">
      <c r="A63" s="231" t="s">
        <v>41</v>
      </c>
      <c r="B63" s="232"/>
      <c r="C63" s="232"/>
      <c r="D63" s="232"/>
      <c r="E63" s="232"/>
      <c r="F63" s="233"/>
      <c r="G63" s="160">
        <f>G59</f>
        <v>1176460</v>
      </c>
    </row>
    <row r="64" spans="1:7">
      <c r="A64" s="88"/>
      <c r="B64" s="88"/>
      <c r="C64" s="87"/>
      <c r="D64" s="88"/>
      <c r="E64" s="97"/>
      <c r="F64" s="94"/>
      <c r="G64" s="192"/>
    </row>
    <row r="65" spans="1:7">
      <c r="A65" s="88"/>
      <c r="B65" s="88" t="s">
        <v>103</v>
      </c>
      <c r="C65" s="85" t="s">
        <v>5</v>
      </c>
      <c r="D65" s="88"/>
      <c r="E65" s="97"/>
      <c r="F65" s="94"/>
      <c r="G65" s="192"/>
    </row>
    <row r="66" spans="1:7">
      <c r="A66" s="88"/>
      <c r="B66" s="88"/>
      <c r="C66" s="87"/>
      <c r="D66" s="88"/>
      <c r="E66" s="97"/>
      <c r="F66" s="94"/>
      <c r="G66" s="192"/>
    </row>
    <row r="67" spans="1:7">
      <c r="A67" s="88"/>
      <c r="B67" s="88"/>
      <c r="C67" s="86" t="s">
        <v>6</v>
      </c>
      <c r="D67" s="88"/>
      <c r="E67" s="97"/>
      <c r="F67" s="94"/>
      <c r="G67" s="192"/>
    </row>
    <row r="68" spans="1:7">
      <c r="A68" s="88"/>
      <c r="B68" s="88"/>
      <c r="C68" s="87"/>
      <c r="D68" s="88"/>
      <c r="E68" s="97"/>
      <c r="F68" s="94"/>
      <c r="G68" s="192"/>
    </row>
    <row r="69" spans="1:7">
      <c r="A69" s="60">
        <v>6</v>
      </c>
      <c r="B69" s="60"/>
      <c r="C69" s="67" t="s">
        <v>126</v>
      </c>
      <c r="D69" s="60" t="s">
        <v>33</v>
      </c>
      <c r="E69" s="64">
        <v>1550</v>
      </c>
      <c r="F69" s="61">
        <v>46</v>
      </c>
      <c r="G69" s="192">
        <f>E69*F69</f>
        <v>71300</v>
      </c>
    </row>
    <row r="70" spans="1:7">
      <c r="A70" s="88"/>
      <c r="B70" s="88"/>
      <c r="C70" s="87"/>
      <c r="D70" s="88"/>
      <c r="E70" s="97"/>
      <c r="F70" s="94"/>
      <c r="G70" s="192"/>
    </row>
    <row r="71" spans="1:7">
      <c r="A71" s="88"/>
      <c r="B71" s="88" t="s">
        <v>104</v>
      </c>
      <c r="C71" s="85" t="s">
        <v>15</v>
      </c>
      <c r="D71" s="88"/>
      <c r="E71" s="97"/>
      <c r="F71" s="131"/>
      <c r="G71" s="192"/>
    </row>
    <row r="72" spans="1:7">
      <c r="A72" s="88"/>
      <c r="B72" s="88"/>
      <c r="C72" s="87"/>
      <c r="D72" s="88"/>
      <c r="E72" s="97"/>
      <c r="F72" s="131"/>
      <c r="G72" s="192"/>
    </row>
    <row r="73" spans="1:7">
      <c r="A73" s="88"/>
      <c r="B73" s="88"/>
      <c r="C73" s="85" t="s">
        <v>152</v>
      </c>
      <c r="D73" s="88"/>
      <c r="E73" s="97"/>
      <c r="F73" s="94"/>
      <c r="G73" s="192"/>
    </row>
    <row r="74" spans="1:7">
      <c r="A74" s="88"/>
      <c r="B74" s="88"/>
      <c r="C74" s="87"/>
      <c r="D74" s="88"/>
      <c r="E74" s="97"/>
      <c r="F74" s="94"/>
      <c r="G74" s="192"/>
    </row>
    <row r="75" spans="1:7" ht="20.399999999999999">
      <c r="A75" s="60">
        <v>7</v>
      </c>
      <c r="B75" s="60"/>
      <c r="C75" s="67" t="s">
        <v>133</v>
      </c>
      <c r="D75" s="4" t="s">
        <v>33</v>
      </c>
      <c r="E75" s="7">
        <v>74</v>
      </c>
      <c r="F75" s="157">
        <v>750</v>
      </c>
      <c r="G75" s="192">
        <f>E75*F75</f>
        <v>55500</v>
      </c>
    </row>
    <row r="76" spans="1:7">
      <c r="A76" s="4"/>
      <c r="B76" s="4"/>
      <c r="C76" s="183"/>
      <c r="D76" s="10"/>
      <c r="E76" s="19"/>
      <c r="F76" s="157"/>
      <c r="G76" s="192"/>
    </row>
    <row r="77" spans="1:7" ht="20.399999999999999">
      <c r="A77" s="4"/>
      <c r="B77" s="162" t="s">
        <v>108</v>
      </c>
      <c r="C77" s="181" t="s">
        <v>71</v>
      </c>
      <c r="D77" s="10"/>
      <c r="E77" s="19"/>
      <c r="F77" s="157"/>
      <c r="G77" s="192"/>
    </row>
    <row r="78" spans="1:7">
      <c r="A78" s="4"/>
      <c r="B78" s="4"/>
      <c r="C78" s="183"/>
      <c r="D78" s="10"/>
      <c r="E78" s="19"/>
      <c r="F78" s="157"/>
      <c r="G78" s="192"/>
    </row>
    <row r="79" spans="1:7">
      <c r="A79" s="4"/>
      <c r="B79" s="185" t="s">
        <v>65</v>
      </c>
      <c r="C79" s="3" t="s">
        <v>226</v>
      </c>
      <c r="D79" s="10"/>
      <c r="E79" s="19"/>
      <c r="F79" s="157"/>
      <c r="G79" s="192"/>
    </row>
    <row r="80" spans="1:7">
      <c r="A80" s="4"/>
      <c r="B80" s="4"/>
      <c r="C80" s="186"/>
      <c r="D80" s="10"/>
      <c r="E80" s="19"/>
      <c r="F80" s="157"/>
      <c r="G80" s="192"/>
    </row>
    <row r="81" spans="1:7">
      <c r="A81" s="4">
        <v>8</v>
      </c>
      <c r="B81" s="4"/>
      <c r="C81" s="3" t="s">
        <v>227</v>
      </c>
      <c r="D81" s="1" t="s">
        <v>27</v>
      </c>
      <c r="E81" s="7">
        <v>22</v>
      </c>
      <c r="F81" s="157">
        <v>519</v>
      </c>
      <c r="G81" s="192">
        <f>E81*F81</f>
        <v>11418</v>
      </c>
    </row>
    <row r="82" spans="1:7">
      <c r="A82" s="4"/>
      <c r="B82" s="4"/>
      <c r="C82" s="3"/>
      <c r="D82" s="1"/>
      <c r="E82" s="203"/>
      <c r="F82" s="157"/>
      <c r="G82" s="192"/>
    </row>
    <row r="83" spans="1:7">
      <c r="A83" s="4">
        <v>9</v>
      </c>
      <c r="B83" s="4"/>
      <c r="C83" s="3" t="s">
        <v>228</v>
      </c>
      <c r="D83" s="1" t="s">
        <v>27</v>
      </c>
      <c r="E83" s="7">
        <v>36</v>
      </c>
      <c r="F83" s="157">
        <v>519</v>
      </c>
      <c r="G83" s="192">
        <f>E83*F83</f>
        <v>18684</v>
      </c>
    </row>
    <row r="84" spans="1:7">
      <c r="A84" s="4"/>
      <c r="B84" s="4"/>
      <c r="C84" s="183"/>
      <c r="D84" s="10"/>
      <c r="E84" s="19"/>
      <c r="F84" s="157"/>
      <c r="G84" s="192"/>
    </row>
    <row r="85" spans="1:7" ht="20.399999999999999">
      <c r="A85" s="4"/>
      <c r="B85" s="162" t="s">
        <v>109</v>
      </c>
      <c r="C85" s="181" t="s">
        <v>62</v>
      </c>
      <c r="D85" s="10"/>
      <c r="E85" s="19"/>
      <c r="F85" s="157"/>
      <c r="G85" s="192"/>
    </row>
    <row r="86" spans="1:7">
      <c r="A86" s="4"/>
      <c r="B86" s="4"/>
      <c r="C86" s="183"/>
      <c r="D86" s="10"/>
      <c r="E86" s="19"/>
      <c r="F86" s="157"/>
      <c r="G86" s="192"/>
    </row>
    <row r="87" spans="1:7">
      <c r="A87" s="4"/>
      <c r="B87" s="4" t="s">
        <v>65</v>
      </c>
      <c r="C87" s="163" t="s">
        <v>63</v>
      </c>
      <c r="D87" s="10"/>
      <c r="E87" s="19"/>
      <c r="F87" s="157"/>
      <c r="G87" s="192"/>
    </row>
    <row r="88" spans="1:7">
      <c r="A88" s="4"/>
      <c r="B88" s="4"/>
      <c r="C88" s="163"/>
      <c r="D88" s="10"/>
      <c r="E88" s="19"/>
      <c r="F88" s="157"/>
      <c r="G88" s="192"/>
    </row>
    <row r="89" spans="1:7">
      <c r="A89" s="4"/>
      <c r="B89" s="4"/>
      <c r="C89" s="163" t="s">
        <v>64</v>
      </c>
      <c r="D89" s="10"/>
      <c r="E89" s="19"/>
      <c r="F89" s="157"/>
      <c r="G89" s="192"/>
    </row>
    <row r="90" spans="1:7">
      <c r="A90" s="4"/>
      <c r="B90" s="4"/>
      <c r="C90" s="182"/>
      <c r="D90" s="10"/>
      <c r="E90" s="19"/>
      <c r="F90" s="157"/>
      <c r="G90" s="192"/>
    </row>
    <row r="91" spans="1:7">
      <c r="A91" s="4">
        <v>10</v>
      </c>
      <c r="B91" s="4"/>
      <c r="C91" s="163" t="s">
        <v>237</v>
      </c>
      <c r="D91" s="1" t="s">
        <v>1</v>
      </c>
      <c r="E91" s="64">
        <v>74</v>
      </c>
      <c r="F91" s="61">
        <v>980</v>
      </c>
      <c r="G91" s="192">
        <f>E91*F91</f>
        <v>72520</v>
      </c>
    </row>
    <row r="92" spans="1:7">
      <c r="A92" s="4"/>
      <c r="B92" s="4"/>
      <c r="C92" s="182"/>
      <c r="D92" s="10"/>
      <c r="E92" s="19"/>
      <c r="F92" s="157"/>
      <c r="G92" s="192"/>
    </row>
    <row r="93" spans="1:7">
      <c r="A93" s="4"/>
      <c r="B93" s="4" t="s">
        <v>66</v>
      </c>
      <c r="C93" s="187" t="s">
        <v>229</v>
      </c>
      <c r="D93" s="10"/>
      <c r="E93" s="19"/>
      <c r="F93" s="157"/>
      <c r="G93" s="192"/>
    </row>
    <row r="94" spans="1:7">
      <c r="A94" s="4"/>
      <c r="B94" s="4"/>
      <c r="C94" s="182"/>
      <c r="D94" s="10"/>
      <c r="E94" s="19"/>
      <c r="F94" s="157"/>
      <c r="G94" s="192"/>
    </row>
    <row r="95" spans="1:7">
      <c r="A95" s="4"/>
      <c r="B95" s="4"/>
      <c r="C95" s="187" t="s">
        <v>230</v>
      </c>
      <c r="D95" s="10"/>
      <c r="E95" s="19"/>
      <c r="F95" s="157"/>
      <c r="G95" s="192"/>
    </row>
    <row r="96" spans="1:7">
      <c r="A96" s="4"/>
      <c r="B96" s="4"/>
      <c r="C96" s="183"/>
      <c r="D96" s="10"/>
      <c r="E96" s="19"/>
      <c r="F96" s="157"/>
      <c r="G96" s="192"/>
    </row>
    <row r="97" spans="1:7">
      <c r="A97" s="4">
        <v>11</v>
      </c>
      <c r="B97" s="4"/>
      <c r="C97" s="183" t="s">
        <v>231</v>
      </c>
      <c r="D97" s="173" t="s">
        <v>7</v>
      </c>
      <c r="E97" s="7">
        <v>1</v>
      </c>
      <c r="F97" s="157">
        <v>14850</v>
      </c>
      <c r="G97" s="192">
        <f>E97*F97</f>
        <v>14850</v>
      </c>
    </row>
    <row r="98" spans="1:7">
      <c r="A98" s="4"/>
      <c r="B98" s="4"/>
      <c r="C98" s="183"/>
      <c r="D98" s="10"/>
      <c r="E98" s="19"/>
      <c r="F98" s="157"/>
      <c r="G98" s="192"/>
    </row>
    <row r="99" spans="1:7">
      <c r="A99" s="4"/>
      <c r="B99" s="4"/>
      <c r="C99" s="187" t="s">
        <v>240</v>
      </c>
      <c r="D99" s="10"/>
      <c r="E99" s="19"/>
      <c r="F99" s="157"/>
      <c r="G99" s="192"/>
    </row>
    <row r="100" spans="1:7">
      <c r="A100" s="4"/>
      <c r="B100" s="4"/>
      <c r="C100" s="183"/>
      <c r="D100" s="10"/>
      <c r="E100" s="19"/>
      <c r="F100" s="157"/>
      <c r="G100" s="192"/>
    </row>
    <row r="101" spans="1:7">
      <c r="A101" s="4">
        <v>12</v>
      </c>
      <c r="B101" s="4"/>
      <c r="C101" s="183" t="s">
        <v>231</v>
      </c>
      <c r="D101" s="173" t="s">
        <v>7</v>
      </c>
      <c r="E101" s="7">
        <v>2</v>
      </c>
      <c r="F101" s="157">
        <v>14850</v>
      </c>
      <c r="G101" s="192">
        <f>E101*F101</f>
        <v>29700</v>
      </c>
    </row>
    <row r="102" spans="1:7">
      <c r="A102" s="4"/>
      <c r="B102" s="4"/>
      <c r="C102" s="183"/>
      <c r="D102" s="10"/>
      <c r="E102" s="7"/>
      <c r="F102" s="157"/>
      <c r="G102" s="192"/>
    </row>
    <row r="103" spans="1:7">
      <c r="A103" s="4"/>
      <c r="B103" s="4"/>
      <c r="C103" s="187" t="s">
        <v>232</v>
      </c>
      <c r="D103" s="10"/>
      <c r="E103" s="19"/>
      <c r="F103" s="157"/>
      <c r="G103" s="192"/>
    </row>
    <row r="104" spans="1:7">
      <c r="A104" s="4"/>
      <c r="B104" s="4"/>
      <c r="C104" s="183"/>
      <c r="D104" s="10"/>
      <c r="E104" s="19"/>
      <c r="F104" s="157"/>
      <c r="G104" s="192"/>
    </row>
    <row r="105" spans="1:7">
      <c r="A105" s="4">
        <v>13</v>
      </c>
      <c r="B105" s="4"/>
      <c r="C105" s="183" t="s">
        <v>231</v>
      </c>
      <c r="D105" s="173" t="s">
        <v>7</v>
      </c>
      <c r="E105" s="7">
        <v>1</v>
      </c>
      <c r="F105" s="157">
        <v>14850</v>
      </c>
      <c r="G105" s="192">
        <f>E105*F105</f>
        <v>14850</v>
      </c>
    </row>
    <row r="106" spans="1:7">
      <c r="A106" s="14"/>
      <c r="B106" s="4"/>
      <c r="C106" s="188"/>
      <c r="D106" s="189"/>
      <c r="E106" s="190"/>
      <c r="F106" s="191"/>
      <c r="G106" s="192"/>
    </row>
    <row r="107" spans="1:7">
      <c r="A107" s="4"/>
      <c r="B107" s="4"/>
      <c r="C107" s="164" t="s">
        <v>233</v>
      </c>
      <c r="D107" s="1"/>
      <c r="E107" s="19"/>
      <c r="F107" s="157"/>
      <c r="G107" s="192"/>
    </row>
    <row r="108" spans="1:7">
      <c r="A108" s="4"/>
      <c r="B108" s="4"/>
      <c r="C108" s="163"/>
      <c r="D108" s="1"/>
      <c r="E108" s="19"/>
      <c r="F108" s="157"/>
      <c r="G108" s="192"/>
    </row>
    <row r="109" spans="1:7">
      <c r="A109" s="4">
        <v>14</v>
      </c>
      <c r="B109" s="4"/>
      <c r="C109" s="163" t="s">
        <v>234</v>
      </c>
      <c r="D109" s="173" t="s">
        <v>7</v>
      </c>
      <c r="E109" s="7">
        <v>1</v>
      </c>
      <c r="F109" s="157">
        <v>5682</v>
      </c>
      <c r="G109" s="192">
        <f>E109*F109</f>
        <v>5682</v>
      </c>
    </row>
    <row r="110" spans="1:7">
      <c r="A110" s="60"/>
      <c r="B110" s="172"/>
      <c r="C110" s="67"/>
      <c r="D110" s="173"/>
      <c r="E110" s="174"/>
      <c r="F110" s="175"/>
      <c r="G110" s="192"/>
    </row>
    <row r="111" spans="1:7">
      <c r="A111" s="88"/>
      <c r="B111" s="89" t="s">
        <v>129</v>
      </c>
      <c r="C111" s="100"/>
      <c r="D111" s="99"/>
      <c r="E111" s="97"/>
      <c r="F111" s="94"/>
      <c r="G111" s="192"/>
    </row>
    <row r="112" spans="1:7">
      <c r="A112" s="88"/>
      <c r="B112" s="89" t="s">
        <v>130</v>
      </c>
      <c r="C112" s="85" t="s">
        <v>0</v>
      </c>
      <c r="D112" s="88"/>
      <c r="E112" s="97"/>
      <c r="F112" s="94"/>
      <c r="G112" s="192"/>
    </row>
    <row r="113" spans="1:7">
      <c r="A113" s="88"/>
      <c r="B113" s="88"/>
      <c r="C113" s="87"/>
      <c r="D113" s="88"/>
      <c r="E113" s="97"/>
      <c r="F113" s="94"/>
      <c r="G113" s="192"/>
    </row>
    <row r="114" spans="1:7">
      <c r="A114" s="88"/>
      <c r="B114" s="88" t="s">
        <v>96</v>
      </c>
      <c r="C114" s="123" t="s">
        <v>12</v>
      </c>
      <c r="D114" s="88"/>
      <c r="E114" s="97"/>
      <c r="F114" s="94"/>
      <c r="G114" s="192"/>
    </row>
    <row r="115" spans="1:7">
      <c r="A115" s="60"/>
      <c r="B115" s="172"/>
      <c r="C115" s="67"/>
      <c r="D115" s="173"/>
      <c r="E115" s="174"/>
      <c r="F115" s="175"/>
      <c r="G115" s="192"/>
    </row>
    <row r="116" spans="1:7">
      <c r="A116" s="60">
        <v>15</v>
      </c>
      <c r="B116" s="172"/>
      <c r="C116" s="67" t="s">
        <v>222</v>
      </c>
      <c r="D116" s="173" t="s">
        <v>7</v>
      </c>
      <c r="E116" s="7">
        <v>1</v>
      </c>
      <c r="F116" s="175">
        <v>32500</v>
      </c>
      <c r="G116" s="192">
        <f t="shared" ref="G116" si="0">E116*F116</f>
        <v>32500</v>
      </c>
    </row>
    <row r="117" spans="1:7">
      <c r="A117" s="88"/>
      <c r="B117" s="88"/>
      <c r="C117" s="87"/>
      <c r="D117" s="88"/>
      <c r="E117" s="97"/>
      <c r="F117" s="94"/>
      <c r="G117" s="101"/>
    </row>
    <row r="118" spans="1:7" ht="19.2" customHeight="1">
      <c r="A118" s="234" t="s">
        <v>120</v>
      </c>
      <c r="B118" s="235"/>
      <c r="C118" s="235"/>
      <c r="D118" s="235"/>
      <c r="E118" s="235"/>
      <c r="F118" s="236"/>
      <c r="G118" s="194">
        <f>SUM(G63:G117)</f>
        <v>1503464</v>
      </c>
    </row>
    <row r="167" ht="15.6" customHeight="1"/>
  </sheetData>
  <mergeCells count="3">
    <mergeCell ref="A118:F118"/>
    <mergeCell ref="A59:F59"/>
    <mergeCell ref="A63:F63"/>
  </mergeCells>
  <pageMargins left="0.78740157480314965" right="0.39370078740157483" top="0.59055118110236227" bottom="0.59055118110236227" header="0.39370078740157483" footer="0.39370078740157483"/>
  <pageSetup paperSize="9" orientation="portrait" r:id="rId1"/>
  <headerFooter>
    <oddFooter xml:space="preserve">&amp;R&amp;"Arial,Regular"&amp;8Page 6.&amp;P+5 </oddFooter>
  </headerFooter>
  <rowBreaks count="1" manualBreakCount="1">
    <brk id="60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31"/>
  <sheetViews>
    <sheetView showGridLines="0" showZeros="0" view="pageBreakPreview" topLeftCell="A40" zoomScaleNormal="100" zoomScaleSheetLayoutView="100" workbookViewId="0">
      <selection activeCell="G9" sqref="G9"/>
    </sheetView>
  </sheetViews>
  <sheetFormatPr defaultColWidth="13.109375" defaultRowHeight="10.199999999999999"/>
  <cols>
    <col min="1" max="1" width="4.88671875" style="106" customWidth="1"/>
    <col min="2" max="2" width="8.33203125" style="105" customWidth="1"/>
    <col min="3" max="3" width="41.6640625" style="102" customWidth="1"/>
    <col min="4" max="4" width="5.109375" style="106" customWidth="1"/>
    <col min="5" max="5" width="6" style="106" customWidth="1"/>
    <col min="6" max="6" width="6.88671875" style="107" customWidth="1"/>
    <col min="7" max="7" width="14.5546875" style="107" customWidth="1"/>
    <col min="8" max="16384" width="13.109375" style="59"/>
  </cols>
  <sheetData>
    <row r="1" spans="1:7" ht="15" customHeight="1">
      <c r="A1" s="104" t="str">
        <f>'S1-P&amp;G''S'!A2</f>
        <v>NAFASI WATER - ARNOT WATER AND SEWER</v>
      </c>
      <c r="G1" s="108" t="str">
        <f>'S1-P&amp;G''S'!G2</f>
        <v>Revision T1</v>
      </c>
    </row>
    <row r="2" spans="1:7" ht="15" customHeight="1">
      <c r="A2" s="104" t="str">
        <f>'S1-P&amp;G''S'!A3</f>
        <v>EARTHWORKS AND CIVIL WORK</v>
      </c>
      <c r="G2" s="138"/>
    </row>
    <row r="3" spans="1:7" ht="15" customHeight="1">
      <c r="A3" s="104" t="s">
        <v>128</v>
      </c>
      <c r="G3" s="109">
        <f>'S1-P&amp;G''S'!G4</f>
        <v>45184</v>
      </c>
    </row>
    <row r="4" spans="1:7" ht="15" customHeight="1">
      <c r="A4" s="104"/>
      <c r="G4" s="110"/>
    </row>
    <row r="5" spans="1:7" ht="25.2" customHeight="1">
      <c r="A5" s="111" t="s">
        <v>8</v>
      </c>
      <c r="B5" s="112" t="s">
        <v>9</v>
      </c>
      <c r="C5" s="111" t="s">
        <v>10</v>
      </c>
      <c r="D5" s="112" t="s">
        <v>11</v>
      </c>
      <c r="E5" s="112" t="s">
        <v>32</v>
      </c>
      <c r="F5" s="82" t="s">
        <v>245</v>
      </c>
      <c r="G5" s="82" t="s">
        <v>247</v>
      </c>
    </row>
    <row r="6" spans="1:7" ht="6.75" customHeight="1">
      <c r="A6" s="88"/>
      <c r="B6" s="89"/>
      <c r="C6" s="90"/>
      <c r="D6" s="91"/>
      <c r="E6" s="91"/>
      <c r="F6" s="92"/>
      <c r="G6" s="92"/>
    </row>
    <row r="7" spans="1:7">
      <c r="A7" s="88"/>
      <c r="B7" s="89"/>
      <c r="C7" s="93" t="str">
        <f>A3</f>
        <v>SECTION 4 - SEWER</v>
      </c>
      <c r="D7" s="88"/>
      <c r="E7" s="88"/>
      <c r="F7" s="94"/>
      <c r="G7" s="94"/>
    </row>
    <row r="8" spans="1:7">
      <c r="A8" s="88"/>
      <c r="B8" s="89" t="s">
        <v>129</v>
      </c>
      <c r="C8" s="95"/>
      <c r="D8" s="96"/>
      <c r="E8" s="97"/>
      <c r="F8" s="94"/>
      <c r="G8" s="94"/>
    </row>
    <row r="9" spans="1:7">
      <c r="A9" s="88"/>
      <c r="B9" s="89" t="s">
        <v>140</v>
      </c>
      <c r="C9" s="98" t="s">
        <v>67</v>
      </c>
      <c r="D9" s="99"/>
      <c r="E9" s="97"/>
      <c r="F9" s="94"/>
      <c r="G9" s="94"/>
    </row>
    <row r="10" spans="1:7">
      <c r="A10" s="88"/>
      <c r="B10" s="88"/>
      <c r="C10" s="16"/>
      <c r="D10" s="99"/>
      <c r="E10" s="97"/>
      <c r="F10" s="94"/>
      <c r="G10" s="94"/>
    </row>
    <row r="11" spans="1:7" ht="20.399999999999999">
      <c r="A11" s="88"/>
      <c r="B11" s="88" t="s">
        <v>99</v>
      </c>
      <c r="C11" s="100" t="s">
        <v>122</v>
      </c>
      <c r="D11" s="99"/>
      <c r="E11" s="97"/>
      <c r="F11" s="94"/>
      <c r="G11" s="94"/>
    </row>
    <row r="12" spans="1:7">
      <c r="A12" s="88"/>
      <c r="B12" s="88"/>
      <c r="C12" s="100"/>
      <c r="D12" s="99"/>
      <c r="E12" s="97"/>
      <c r="F12" s="94"/>
      <c r="G12" s="94"/>
    </row>
    <row r="13" spans="1:7">
      <c r="A13" s="88"/>
      <c r="B13" s="88"/>
      <c r="C13" s="100" t="s">
        <v>220</v>
      </c>
      <c r="D13" s="99"/>
      <c r="E13" s="97"/>
      <c r="F13" s="94"/>
      <c r="G13" s="94"/>
    </row>
    <row r="14" spans="1:7">
      <c r="A14" s="88"/>
      <c r="B14" s="88"/>
      <c r="C14" s="100"/>
      <c r="D14" s="99"/>
      <c r="E14" s="97"/>
      <c r="F14" s="94"/>
      <c r="G14" s="94"/>
    </row>
    <row r="15" spans="1:7">
      <c r="A15" s="88">
        <v>1</v>
      </c>
      <c r="B15" s="88"/>
      <c r="C15" s="68" t="s">
        <v>221</v>
      </c>
      <c r="D15" s="13" t="s">
        <v>1</v>
      </c>
      <c r="E15" s="64">
        <v>140</v>
      </c>
      <c r="F15" s="61">
        <v>290</v>
      </c>
      <c r="G15" s="192">
        <f>E15*F15</f>
        <v>40600</v>
      </c>
    </row>
    <row r="16" spans="1:7">
      <c r="A16" s="88"/>
      <c r="B16" s="88"/>
      <c r="C16" s="68"/>
      <c r="D16" s="13"/>
      <c r="E16" s="64"/>
      <c r="F16" s="61"/>
      <c r="G16" s="161"/>
    </row>
    <row r="17" spans="1:7">
      <c r="A17" s="88"/>
      <c r="B17" s="89" t="s">
        <v>129</v>
      </c>
      <c r="C17" s="100"/>
      <c r="D17" s="99"/>
      <c r="E17" s="97"/>
      <c r="F17" s="94"/>
      <c r="G17" s="192"/>
    </row>
    <row r="18" spans="1:7">
      <c r="A18" s="88"/>
      <c r="B18" s="89" t="s">
        <v>141</v>
      </c>
      <c r="C18" s="98" t="s">
        <v>71</v>
      </c>
      <c r="D18" s="99"/>
      <c r="E18" s="97"/>
      <c r="F18" s="94"/>
      <c r="G18" s="192"/>
    </row>
    <row r="19" spans="1:7">
      <c r="A19" s="88"/>
      <c r="B19" s="88"/>
      <c r="C19" s="100"/>
      <c r="D19" s="99"/>
      <c r="E19" s="97"/>
      <c r="F19" s="94"/>
      <c r="G19" s="192"/>
    </row>
    <row r="20" spans="1:7">
      <c r="A20" s="88"/>
      <c r="B20" s="88" t="s">
        <v>70</v>
      </c>
      <c r="C20" s="100" t="s">
        <v>69</v>
      </c>
      <c r="D20" s="99"/>
      <c r="E20" s="97"/>
      <c r="F20" s="94"/>
      <c r="G20" s="192"/>
    </row>
    <row r="21" spans="1:7">
      <c r="A21" s="88"/>
      <c r="B21" s="88"/>
      <c r="C21" s="100"/>
      <c r="D21" s="99"/>
      <c r="E21" s="97"/>
      <c r="F21" s="94"/>
      <c r="G21" s="192"/>
    </row>
    <row r="22" spans="1:7">
      <c r="A22" s="88">
        <v>2</v>
      </c>
      <c r="B22" s="88"/>
      <c r="C22" s="68" t="s">
        <v>112</v>
      </c>
      <c r="D22" s="13" t="s">
        <v>27</v>
      </c>
      <c r="E22" s="64">
        <v>17</v>
      </c>
      <c r="F22" s="61">
        <v>519</v>
      </c>
      <c r="G22" s="192">
        <f>E22*F22</f>
        <v>8823</v>
      </c>
    </row>
    <row r="23" spans="1:7">
      <c r="A23" s="88"/>
      <c r="B23" s="88"/>
      <c r="C23" s="68"/>
      <c r="D23" s="13"/>
      <c r="E23" s="64"/>
      <c r="F23" s="157"/>
      <c r="G23" s="192"/>
    </row>
    <row r="24" spans="1:7">
      <c r="A24" s="4">
        <v>3</v>
      </c>
      <c r="B24" s="4"/>
      <c r="C24" s="3" t="s">
        <v>228</v>
      </c>
      <c r="D24" s="185" t="s">
        <v>27</v>
      </c>
      <c r="E24" s="64">
        <v>38</v>
      </c>
      <c r="F24" s="61">
        <v>519</v>
      </c>
      <c r="G24" s="192">
        <f>E24*F24</f>
        <v>19722</v>
      </c>
    </row>
    <row r="25" spans="1:7">
      <c r="A25" s="4"/>
      <c r="B25" s="4"/>
      <c r="C25" s="3"/>
      <c r="D25" s="185"/>
      <c r="E25" s="64"/>
      <c r="F25" s="61"/>
      <c r="G25" s="192"/>
    </row>
    <row r="26" spans="1:7" ht="22.5" customHeight="1">
      <c r="A26" s="4">
        <v>4</v>
      </c>
      <c r="B26" s="4"/>
      <c r="C26" s="24" t="s">
        <v>251</v>
      </c>
      <c r="D26" s="1" t="s">
        <v>27</v>
      </c>
      <c r="E26" s="7">
        <v>5</v>
      </c>
      <c r="F26" s="157">
        <v>950</v>
      </c>
      <c r="G26" s="192">
        <f>E26*F26</f>
        <v>4750</v>
      </c>
    </row>
    <row r="27" spans="1:7">
      <c r="A27" s="4"/>
      <c r="B27" s="4"/>
      <c r="C27" s="183"/>
      <c r="D27" s="10"/>
      <c r="E27" s="19"/>
      <c r="F27" s="157"/>
      <c r="G27" s="192"/>
    </row>
    <row r="28" spans="1:7" ht="9" customHeight="1">
      <c r="A28" s="88"/>
      <c r="B28" s="89" t="s">
        <v>129</v>
      </c>
      <c r="C28" s="100"/>
      <c r="D28" s="99"/>
      <c r="E28" s="97"/>
      <c r="F28" s="94"/>
      <c r="G28" s="192"/>
    </row>
    <row r="29" spans="1:7">
      <c r="A29" s="88"/>
      <c r="B29" s="89" t="s">
        <v>142</v>
      </c>
      <c r="C29" s="98" t="s">
        <v>58</v>
      </c>
      <c r="D29" s="99"/>
      <c r="E29" s="97"/>
      <c r="F29" s="94"/>
      <c r="G29" s="192"/>
    </row>
    <row r="30" spans="1:7">
      <c r="A30" s="88"/>
      <c r="B30" s="89"/>
      <c r="C30" s="98"/>
      <c r="D30" s="99"/>
      <c r="E30" s="97"/>
      <c r="F30" s="94"/>
      <c r="G30" s="192"/>
    </row>
    <row r="31" spans="1:7" ht="24" customHeight="1">
      <c r="A31" s="88"/>
      <c r="B31" s="88" t="s">
        <v>65</v>
      </c>
      <c r="C31" s="103" t="s">
        <v>79</v>
      </c>
      <c r="D31" s="99"/>
      <c r="E31" s="97"/>
      <c r="F31" s="94"/>
      <c r="G31" s="192"/>
    </row>
    <row r="32" spans="1:7">
      <c r="A32" s="88"/>
      <c r="B32" s="88"/>
      <c r="C32" s="95"/>
      <c r="D32" s="99"/>
      <c r="E32" s="97"/>
      <c r="F32" s="94"/>
      <c r="G32" s="192"/>
    </row>
    <row r="33" spans="1:7">
      <c r="A33" s="88">
        <v>5</v>
      </c>
      <c r="B33" s="88"/>
      <c r="C33" s="63" t="s">
        <v>235</v>
      </c>
      <c r="D33" s="62" t="s">
        <v>1</v>
      </c>
      <c r="E33" s="64">
        <v>140</v>
      </c>
      <c r="F33" s="61">
        <v>638</v>
      </c>
      <c r="G33" s="192">
        <f>E33*F33</f>
        <v>89320</v>
      </c>
    </row>
    <row r="34" spans="1:7">
      <c r="A34" s="88"/>
      <c r="B34" s="88"/>
      <c r="C34" s="63"/>
      <c r="D34" s="62"/>
      <c r="E34" s="64"/>
      <c r="F34" s="61"/>
      <c r="G34" s="192"/>
    </row>
    <row r="35" spans="1:7" ht="33.75" customHeight="1">
      <c r="A35" s="88"/>
      <c r="B35" s="88" t="s">
        <v>72</v>
      </c>
      <c r="C35" s="103" t="s">
        <v>147</v>
      </c>
      <c r="D35" s="99"/>
      <c r="E35" s="97"/>
      <c r="F35" s="94"/>
      <c r="G35" s="192"/>
    </row>
    <row r="36" spans="1:7">
      <c r="A36" s="88"/>
      <c r="B36" s="88"/>
      <c r="C36" s="103"/>
      <c r="D36" s="99"/>
      <c r="E36" s="97"/>
      <c r="F36" s="94"/>
      <c r="G36" s="192"/>
    </row>
    <row r="37" spans="1:7" ht="9.75" customHeight="1">
      <c r="A37" s="88">
        <v>6</v>
      </c>
      <c r="B37" s="88"/>
      <c r="C37" s="63" t="s">
        <v>236</v>
      </c>
      <c r="D37" s="62" t="s">
        <v>7</v>
      </c>
      <c r="E37" s="64">
        <v>3</v>
      </c>
      <c r="F37" s="61">
        <v>16875</v>
      </c>
      <c r="G37" s="192">
        <f>E37*F37</f>
        <v>50625</v>
      </c>
    </row>
    <row r="38" spans="1:7">
      <c r="A38" s="88"/>
      <c r="B38" s="88"/>
      <c r="C38" s="95"/>
      <c r="D38" s="96"/>
      <c r="E38" s="97"/>
      <c r="F38" s="94"/>
      <c r="G38" s="192"/>
    </row>
    <row r="39" spans="1:7">
      <c r="A39" s="88">
        <v>7</v>
      </c>
      <c r="B39" s="88"/>
      <c r="C39" s="63" t="s">
        <v>248</v>
      </c>
      <c r="D39" s="62" t="s">
        <v>7</v>
      </c>
      <c r="E39" s="64">
        <v>1</v>
      </c>
      <c r="F39" s="61">
        <v>18862</v>
      </c>
      <c r="G39" s="192">
        <f>E39*F39</f>
        <v>18862</v>
      </c>
    </row>
    <row r="40" spans="1:7">
      <c r="A40" s="88"/>
      <c r="B40" s="88"/>
      <c r="C40" s="95"/>
      <c r="D40" s="96"/>
      <c r="E40" s="97"/>
      <c r="F40" s="94"/>
      <c r="G40" s="192"/>
    </row>
    <row r="41" spans="1:7">
      <c r="A41" s="88"/>
      <c r="B41" s="88" t="s">
        <v>97</v>
      </c>
      <c r="C41" s="103" t="s">
        <v>153</v>
      </c>
      <c r="D41" s="96"/>
      <c r="E41" s="97"/>
      <c r="F41" s="94"/>
      <c r="G41" s="192"/>
    </row>
    <row r="42" spans="1:7">
      <c r="A42" s="88"/>
      <c r="B42" s="88"/>
      <c r="C42" s="95"/>
      <c r="D42" s="96"/>
      <c r="E42" s="97"/>
      <c r="F42" s="94"/>
      <c r="G42" s="192"/>
    </row>
    <row r="43" spans="1:7">
      <c r="A43" s="88">
        <v>8</v>
      </c>
      <c r="B43" s="88"/>
      <c r="C43" s="63" t="s">
        <v>235</v>
      </c>
      <c r="D43" s="62" t="s">
        <v>7</v>
      </c>
      <c r="E43" s="64">
        <v>3</v>
      </c>
      <c r="F43" s="61">
        <v>210</v>
      </c>
      <c r="G43" s="192">
        <f>E43*F43</f>
        <v>630</v>
      </c>
    </row>
    <row r="44" spans="1:7">
      <c r="A44" s="88"/>
      <c r="B44" s="88"/>
      <c r="C44" s="95"/>
      <c r="D44" s="96"/>
      <c r="E44" s="97"/>
      <c r="F44" s="94"/>
      <c r="G44" s="192"/>
    </row>
    <row r="45" spans="1:7" s="84" customFormat="1" ht="21" customHeight="1">
      <c r="A45" s="60">
        <v>9</v>
      </c>
      <c r="B45" s="60"/>
      <c r="C45" s="63" t="s">
        <v>256</v>
      </c>
      <c r="D45" s="169" t="s">
        <v>7</v>
      </c>
      <c r="E45" s="7">
        <v>1</v>
      </c>
      <c r="F45" s="7">
        <v>36000</v>
      </c>
      <c r="G45" s="192">
        <f t="shared" ref="G45" si="0">E45*F45</f>
        <v>36000</v>
      </c>
    </row>
    <row r="46" spans="1:7" s="84" customFormat="1" ht="11.25" customHeight="1">
      <c r="A46" s="60"/>
      <c r="B46" s="60"/>
      <c r="C46" s="63"/>
      <c r="D46" s="207"/>
      <c r="E46" s="7"/>
      <c r="F46" s="7"/>
      <c r="G46" s="192"/>
    </row>
    <row r="47" spans="1:7" s="84" customFormat="1" ht="11.25" customHeight="1">
      <c r="A47" s="11"/>
      <c r="B47" s="11"/>
      <c r="C47" s="85" t="s">
        <v>132</v>
      </c>
      <c r="D47" s="132"/>
      <c r="E47" s="26"/>
      <c r="F47" s="75"/>
      <c r="G47" s="192"/>
    </row>
    <row r="48" spans="1:7" s="84" customFormat="1" ht="11.25" customHeight="1">
      <c r="A48" s="11"/>
      <c r="B48" s="11"/>
      <c r="C48" s="38"/>
      <c r="D48" s="132"/>
      <c r="E48" s="26"/>
      <c r="F48" s="75"/>
      <c r="G48" s="192"/>
    </row>
    <row r="49" spans="1:7" s="84" customFormat="1" ht="22.8" customHeight="1">
      <c r="A49" s="1">
        <v>10</v>
      </c>
      <c r="B49" s="50"/>
      <c r="C49" s="140" t="s">
        <v>212</v>
      </c>
      <c r="D49" s="169" t="s">
        <v>209</v>
      </c>
      <c r="E49" s="136">
        <v>1</v>
      </c>
      <c r="F49" s="199">
        <v>75000</v>
      </c>
      <c r="G49" s="192">
        <f>F49*E49</f>
        <v>75000</v>
      </c>
    </row>
    <row r="50" spans="1:7" s="84" customFormat="1" ht="11.25" customHeight="1">
      <c r="A50" s="62"/>
      <c r="B50" s="50"/>
      <c r="C50" s="52"/>
      <c r="D50" s="50"/>
      <c r="E50" s="50"/>
      <c r="F50" s="200"/>
      <c r="G50" s="192"/>
    </row>
    <row r="51" spans="1:7">
      <c r="A51" s="62">
        <v>11</v>
      </c>
      <c r="B51" s="50"/>
      <c r="C51" s="140" t="s">
        <v>241</v>
      </c>
      <c r="D51" s="136" t="s">
        <v>210</v>
      </c>
      <c r="E51" s="136">
        <v>1</v>
      </c>
      <c r="F51" s="136">
        <v>5000</v>
      </c>
      <c r="G51" s="192">
        <f>E51*F51</f>
        <v>5000</v>
      </c>
    </row>
    <row r="52" spans="1:7" s="84" customFormat="1" ht="11.25" customHeight="1">
      <c r="A52" s="60"/>
      <c r="B52" s="60"/>
      <c r="C52" s="63"/>
      <c r="D52" s="207"/>
      <c r="E52" s="7"/>
      <c r="F52" s="7"/>
      <c r="G52" s="192"/>
    </row>
    <row r="53" spans="1:7" s="84" customFormat="1">
      <c r="A53" s="60"/>
      <c r="B53" s="60"/>
      <c r="C53" s="63"/>
      <c r="D53" s="207"/>
      <c r="E53" s="7"/>
      <c r="F53" s="7"/>
      <c r="G53" s="192"/>
    </row>
    <row r="54" spans="1:7" s="84" customFormat="1">
      <c r="A54" s="60"/>
      <c r="B54" s="60"/>
      <c r="C54" s="63"/>
      <c r="D54" s="207"/>
      <c r="E54" s="7"/>
      <c r="F54" s="7"/>
      <c r="G54" s="192"/>
    </row>
    <row r="55" spans="1:7" ht="9" customHeight="1">
      <c r="A55" s="60"/>
      <c r="B55" s="60"/>
      <c r="C55" s="63"/>
      <c r="D55" s="207"/>
      <c r="E55" s="7"/>
      <c r="F55" s="7"/>
      <c r="G55" s="192"/>
    </row>
    <row r="56" spans="1:7">
      <c r="A56" s="60"/>
      <c r="B56" s="60"/>
      <c r="C56" s="63"/>
      <c r="D56" s="207"/>
      <c r="E56" s="7"/>
      <c r="F56" s="7"/>
      <c r="G56" s="192"/>
    </row>
    <row r="57" spans="1:7">
      <c r="A57" s="60"/>
      <c r="B57" s="60"/>
      <c r="C57" s="63"/>
      <c r="D57" s="207"/>
      <c r="E57" s="7"/>
      <c r="F57" s="7"/>
      <c r="G57" s="192"/>
    </row>
    <row r="58" spans="1:7">
      <c r="A58" s="60"/>
      <c r="B58" s="60"/>
      <c r="C58" s="63"/>
      <c r="D58" s="207"/>
      <c r="E58" s="7"/>
      <c r="F58" s="7"/>
      <c r="G58" s="192"/>
    </row>
    <row r="59" spans="1:7" ht="7.5" customHeight="1">
      <c r="A59" s="62"/>
      <c r="B59" s="50"/>
      <c r="C59" s="140"/>
      <c r="D59" s="170"/>
      <c r="E59" s="136"/>
      <c r="F59" s="136"/>
      <c r="G59" s="192"/>
    </row>
    <row r="60" spans="1:7" ht="20.100000000000001" customHeight="1">
      <c r="A60" s="234" t="s">
        <v>120</v>
      </c>
      <c r="B60" s="235"/>
      <c r="C60" s="235"/>
      <c r="D60" s="235"/>
      <c r="E60" s="235"/>
      <c r="F60" s="236"/>
      <c r="G60" s="194">
        <f>SUM(G6:G59)</f>
        <v>349332</v>
      </c>
    </row>
    <row r="131" ht="15.6" customHeight="1"/>
  </sheetData>
  <mergeCells count="1">
    <mergeCell ref="A60:F60"/>
  </mergeCells>
  <pageMargins left="0.78740157480314965" right="0.39370078740157483" top="0.59055118110236227" bottom="0.59055118110236227" header="0.39370078740157483" footer="0.39370078740157483"/>
  <pageSetup paperSize="9" orientation="portrait" r:id="rId1"/>
  <headerFooter>
    <oddFooter xml:space="preserve">&amp;R&amp;"Arial,Regular"&amp;8Page 6.&amp;P+5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61"/>
  <sheetViews>
    <sheetView showGridLines="0" showZeros="0" view="pageBreakPreview" zoomScaleNormal="100" zoomScaleSheetLayoutView="100" workbookViewId="0">
      <selection activeCell="C90" sqref="C90"/>
    </sheetView>
  </sheetViews>
  <sheetFormatPr defaultColWidth="13.109375" defaultRowHeight="10.199999999999999"/>
  <cols>
    <col min="1" max="1" width="4.88671875" style="44" customWidth="1"/>
    <col min="2" max="2" width="8.33203125" style="58" customWidth="1"/>
    <col min="3" max="3" width="41.6640625" style="25" customWidth="1"/>
    <col min="4" max="4" width="5.109375" style="44" customWidth="1"/>
    <col min="5" max="5" width="6" style="44" customWidth="1"/>
    <col min="6" max="6" width="7.44140625" style="45" customWidth="1"/>
    <col min="7" max="7" width="16" style="45" bestFit="1" customWidth="1"/>
    <col min="8" max="16384" width="13.109375" style="59"/>
  </cols>
  <sheetData>
    <row r="1" spans="1:8" ht="15" customHeight="1">
      <c r="A1" s="43" t="str">
        <f>'S1-P&amp;G''S'!A2</f>
        <v>NAFASI WATER - ARNOT WATER AND SEWER</v>
      </c>
      <c r="G1" s="46" t="str">
        <f>'S1-P&amp;G''S'!G2</f>
        <v>Revision T1</v>
      </c>
    </row>
    <row r="2" spans="1:8" ht="15" customHeight="1">
      <c r="A2" s="43" t="str">
        <f>'S1-P&amp;G''S'!A3</f>
        <v>EARTHWORKS AND CIVIL WORK</v>
      </c>
      <c r="B2" s="63"/>
      <c r="G2" s="139"/>
    </row>
    <row r="3" spans="1:8" ht="15" customHeight="1">
      <c r="A3" s="43" t="s">
        <v>143</v>
      </c>
      <c r="B3" s="63"/>
      <c r="G3" s="83">
        <f>'S1-P&amp;G''S'!G4</f>
        <v>45184</v>
      </c>
    </row>
    <row r="4" spans="1:8" ht="15" customHeight="1">
      <c r="A4" s="43"/>
      <c r="G4" s="57"/>
    </row>
    <row r="5" spans="1:8" ht="25.95" customHeight="1">
      <c r="A5" s="111" t="s">
        <v>8</v>
      </c>
      <c r="B5" s="112" t="s">
        <v>9</v>
      </c>
      <c r="C5" s="111" t="s">
        <v>10</v>
      </c>
      <c r="D5" s="112" t="s">
        <v>11</v>
      </c>
      <c r="E5" s="112" t="s">
        <v>32</v>
      </c>
      <c r="F5" s="82" t="s">
        <v>245</v>
      </c>
      <c r="G5" s="82" t="s">
        <v>261</v>
      </c>
    </row>
    <row r="6" spans="1:8">
      <c r="A6" s="88"/>
      <c r="B6" s="89"/>
      <c r="C6" s="93"/>
      <c r="D6" s="88"/>
      <c r="E6" s="88"/>
      <c r="F6" s="94"/>
      <c r="G6" s="94"/>
    </row>
    <row r="7" spans="1:8">
      <c r="A7" s="88"/>
      <c r="B7" s="89"/>
      <c r="C7" s="93" t="str">
        <f>A3</f>
        <v>SECTION 5 - WATER RETICULATION</v>
      </c>
      <c r="D7" s="88"/>
      <c r="E7" s="88"/>
      <c r="F7" s="94"/>
      <c r="G7" s="94"/>
    </row>
    <row r="8" spans="1:8">
      <c r="A8" s="88"/>
      <c r="B8" s="89" t="s">
        <v>129</v>
      </c>
      <c r="C8" s="95"/>
      <c r="D8" s="96"/>
      <c r="E8" s="97"/>
      <c r="F8" s="94"/>
      <c r="G8" s="94"/>
    </row>
    <row r="9" spans="1:8">
      <c r="A9" s="88"/>
      <c r="B9" s="89" t="s">
        <v>140</v>
      </c>
      <c r="C9" s="98" t="s">
        <v>67</v>
      </c>
      <c r="D9" s="99"/>
      <c r="E9" s="97"/>
      <c r="F9" s="94"/>
      <c r="G9" s="94"/>
    </row>
    <row r="10" spans="1:8">
      <c r="A10" s="88"/>
      <c r="B10" s="88"/>
      <c r="C10" s="16"/>
      <c r="D10" s="99"/>
      <c r="E10" s="97"/>
      <c r="F10" s="94"/>
      <c r="G10" s="94"/>
    </row>
    <row r="11" spans="1:8" ht="24.6" customHeight="1">
      <c r="A11" s="88"/>
      <c r="B11" s="88" t="s">
        <v>99</v>
      </c>
      <c r="C11" s="100" t="s">
        <v>122</v>
      </c>
      <c r="D11" s="99"/>
      <c r="E11" s="97"/>
      <c r="F11" s="94"/>
      <c r="G11" s="94"/>
    </row>
    <row r="12" spans="1:8" ht="9.75" customHeight="1">
      <c r="A12" s="88"/>
      <c r="B12" s="88"/>
      <c r="C12" s="100"/>
      <c r="D12" s="99"/>
      <c r="E12" s="97"/>
      <c r="F12" s="94"/>
      <c r="G12" s="94"/>
    </row>
    <row r="13" spans="1:8">
      <c r="A13" s="88"/>
      <c r="B13" s="88"/>
      <c r="C13" s="100" t="s">
        <v>220</v>
      </c>
      <c r="D13" s="196"/>
      <c r="E13" s="7"/>
      <c r="F13" s="7"/>
      <c r="G13" s="94"/>
    </row>
    <row r="14" spans="1:8">
      <c r="A14" s="88"/>
      <c r="B14" s="88"/>
      <c r="C14" s="100"/>
      <c r="D14" s="196"/>
      <c r="E14" s="7"/>
      <c r="F14" s="7"/>
      <c r="G14" s="94"/>
      <c r="H14" s="81"/>
    </row>
    <row r="15" spans="1:8">
      <c r="A15" s="60">
        <v>1</v>
      </c>
      <c r="B15" s="60"/>
      <c r="C15" s="68" t="s">
        <v>121</v>
      </c>
      <c r="D15" s="196" t="s">
        <v>1</v>
      </c>
      <c r="E15" s="7">
        <v>305</v>
      </c>
      <c r="F15" s="61">
        <v>235</v>
      </c>
      <c r="G15" s="192">
        <f>E15*F15</f>
        <v>71675</v>
      </c>
      <c r="H15" s="81"/>
    </row>
    <row r="16" spans="1:8">
      <c r="A16" s="88"/>
      <c r="B16" s="88"/>
      <c r="C16" s="100"/>
      <c r="D16" s="196"/>
      <c r="E16" s="7"/>
      <c r="F16" s="7"/>
      <c r="G16" s="94"/>
      <c r="H16" s="81"/>
    </row>
    <row r="17" spans="1:7">
      <c r="A17" s="88"/>
      <c r="B17" s="89" t="s">
        <v>129</v>
      </c>
      <c r="C17" s="102"/>
      <c r="D17" s="196"/>
      <c r="E17" s="7"/>
      <c r="F17" s="7"/>
      <c r="G17" s="192"/>
    </row>
    <row r="18" spans="1:7">
      <c r="A18" s="88"/>
      <c r="B18" s="89" t="s">
        <v>144</v>
      </c>
      <c r="C18" s="98" t="s">
        <v>111</v>
      </c>
      <c r="D18" s="196"/>
      <c r="E18" s="7"/>
      <c r="F18" s="7"/>
      <c r="G18" s="192"/>
    </row>
    <row r="19" spans="1:7">
      <c r="A19" s="88"/>
      <c r="B19" s="88" t="s">
        <v>59</v>
      </c>
      <c r="C19" s="16"/>
      <c r="D19" s="196"/>
      <c r="E19" s="7"/>
      <c r="F19" s="7"/>
      <c r="G19" s="192"/>
    </row>
    <row r="20" spans="1:7" ht="20.399999999999999">
      <c r="A20" s="88"/>
      <c r="B20" s="88" t="s">
        <v>65</v>
      </c>
      <c r="C20" s="103" t="s">
        <v>123</v>
      </c>
      <c r="D20" s="196"/>
      <c r="E20" s="7"/>
      <c r="F20" s="7"/>
      <c r="G20" s="192"/>
    </row>
    <row r="21" spans="1:7">
      <c r="A21" s="60"/>
      <c r="B21" s="60"/>
      <c r="C21" s="12"/>
      <c r="D21" s="196"/>
      <c r="E21" s="7"/>
      <c r="F21" s="7"/>
      <c r="G21" s="192"/>
    </row>
    <row r="22" spans="1:7">
      <c r="A22" s="60"/>
      <c r="B22" s="60"/>
      <c r="C22" s="72" t="s">
        <v>242</v>
      </c>
      <c r="D22" s="196"/>
      <c r="E22" s="7"/>
      <c r="F22" s="7"/>
      <c r="G22" s="192"/>
    </row>
    <row r="23" spans="1:7">
      <c r="A23" s="60"/>
      <c r="B23" s="60"/>
      <c r="C23" s="68"/>
      <c r="D23" s="196"/>
      <c r="E23" s="7"/>
      <c r="F23" s="7"/>
      <c r="G23" s="192"/>
    </row>
    <row r="24" spans="1:7">
      <c r="A24" s="60">
        <v>4</v>
      </c>
      <c r="B24" s="60"/>
      <c r="C24" s="63" t="s">
        <v>257</v>
      </c>
      <c r="D24" s="196" t="s">
        <v>1</v>
      </c>
      <c r="E24" s="7">
        <v>305</v>
      </c>
      <c r="F24" s="7">
        <v>750</v>
      </c>
      <c r="G24" s="192">
        <f>E24*F24</f>
        <v>228750</v>
      </c>
    </row>
    <row r="25" spans="1:7">
      <c r="A25" s="60"/>
      <c r="B25" s="60"/>
      <c r="C25" s="63"/>
      <c r="D25" s="196"/>
      <c r="E25" s="7"/>
      <c r="F25" s="7"/>
      <c r="G25" s="192"/>
    </row>
    <row r="26" spans="1:7" ht="20.399999999999999">
      <c r="A26" s="60"/>
      <c r="B26" s="60" t="s">
        <v>80</v>
      </c>
      <c r="C26" s="65" t="s">
        <v>149</v>
      </c>
      <c r="D26" s="196"/>
      <c r="E26" s="7"/>
      <c r="F26" s="7"/>
      <c r="G26" s="192"/>
    </row>
    <row r="27" spans="1:7">
      <c r="A27" s="60"/>
      <c r="B27" s="60"/>
      <c r="C27" s="63"/>
      <c r="D27" s="196"/>
      <c r="E27" s="7"/>
      <c r="F27" s="7"/>
      <c r="G27" s="192"/>
    </row>
    <row r="28" spans="1:7">
      <c r="A28" s="60"/>
      <c r="B28" s="60"/>
      <c r="C28" s="69" t="s">
        <v>81</v>
      </c>
      <c r="D28" s="196"/>
      <c r="E28" s="7"/>
      <c r="F28" s="7"/>
      <c r="G28" s="192"/>
    </row>
    <row r="29" spans="1:7">
      <c r="A29" s="60"/>
      <c r="B29" s="60"/>
      <c r="C29" s="63"/>
      <c r="D29" s="196"/>
      <c r="E29" s="7"/>
      <c r="F29" s="7"/>
      <c r="G29" s="192"/>
    </row>
    <row r="30" spans="1:7">
      <c r="A30" s="60">
        <v>5</v>
      </c>
      <c r="B30" s="60"/>
      <c r="C30" s="63" t="s">
        <v>252</v>
      </c>
      <c r="D30" s="196" t="s">
        <v>7</v>
      </c>
      <c r="E30" s="7">
        <v>14</v>
      </c>
      <c r="F30" s="7">
        <v>580</v>
      </c>
      <c r="G30" s="192">
        <f>E30*F30</f>
        <v>8120</v>
      </c>
    </row>
    <row r="31" spans="1:7">
      <c r="A31" s="60"/>
      <c r="B31" s="60"/>
      <c r="C31" s="63"/>
      <c r="D31" s="196"/>
      <c r="E31" s="7"/>
      <c r="F31" s="7"/>
      <c r="G31" s="192"/>
    </row>
    <row r="32" spans="1:7">
      <c r="A32" s="60"/>
      <c r="B32" s="60"/>
      <c r="C32" s="69" t="s">
        <v>82</v>
      </c>
      <c r="D32" s="196"/>
      <c r="E32" s="7"/>
      <c r="F32" s="7"/>
      <c r="G32" s="192"/>
    </row>
    <row r="33" spans="1:7">
      <c r="A33" s="60"/>
      <c r="B33" s="60"/>
      <c r="C33" s="63"/>
      <c r="D33" s="196"/>
      <c r="E33" s="7"/>
      <c r="F33" s="7"/>
      <c r="G33" s="192"/>
    </row>
    <row r="34" spans="1:7">
      <c r="A34" s="60">
        <v>6</v>
      </c>
      <c r="B34" s="60"/>
      <c r="C34" s="63" t="s">
        <v>252</v>
      </c>
      <c r="D34" s="196" t="s">
        <v>7</v>
      </c>
      <c r="E34" s="7">
        <v>6</v>
      </c>
      <c r="F34" s="7">
        <v>580</v>
      </c>
      <c r="G34" s="192">
        <f>E34*F34</f>
        <v>3480</v>
      </c>
    </row>
    <row r="35" spans="1:7">
      <c r="A35" s="60"/>
      <c r="B35" s="60"/>
      <c r="C35" s="63"/>
      <c r="D35" s="196"/>
      <c r="E35" s="7"/>
      <c r="F35" s="7"/>
      <c r="G35" s="192"/>
    </row>
    <row r="36" spans="1:7" ht="20.399999999999999">
      <c r="A36" s="60"/>
      <c r="B36" s="60" t="s">
        <v>72</v>
      </c>
      <c r="C36" s="79" t="s">
        <v>150</v>
      </c>
      <c r="D36" s="196"/>
      <c r="E36" s="7"/>
      <c r="F36" s="7"/>
      <c r="G36" s="192"/>
    </row>
    <row r="37" spans="1:7">
      <c r="A37" s="60"/>
      <c r="B37" s="60"/>
      <c r="C37" s="63"/>
      <c r="D37" s="196"/>
      <c r="E37" s="7"/>
      <c r="F37" s="7"/>
      <c r="G37" s="192"/>
    </row>
    <row r="38" spans="1:7">
      <c r="A38" s="60">
        <v>7</v>
      </c>
      <c r="B38" s="60"/>
      <c r="C38" s="63" t="s">
        <v>257</v>
      </c>
      <c r="D38" s="196" t="s">
        <v>7</v>
      </c>
      <c r="E38" s="7">
        <v>6</v>
      </c>
      <c r="F38" s="7">
        <v>3800</v>
      </c>
      <c r="G38" s="192">
        <f>E38*F38</f>
        <v>22800</v>
      </c>
    </row>
    <row r="39" spans="1:7">
      <c r="A39" s="60"/>
      <c r="B39" s="60"/>
      <c r="C39" s="63"/>
      <c r="D39" s="196"/>
      <c r="E39" s="7"/>
      <c r="F39" s="7"/>
      <c r="G39" s="192"/>
    </row>
    <row r="40" spans="1:7">
      <c r="A40" s="60"/>
      <c r="B40" s="60" t="s">
        <v>106</v>
      </c>
      <c r="C40" s="69" t="s">
        <v>83</v>
      </c>
      <c r="D40" s="196"/>
      <c r="E40" s="7"/>
      <c r="F40" s="7"/>
      <c r="G40" s="192"/>
    </row>
    <row r="41" spans="1:7">
      <c r="A41" s="60"/>
      <c r="B41" s="60"/>
      <c r="C41" s="63"/>
      <c r="D41" s="196"/>
      <c r="E41" s="7"/>
      <c r="F41" s="7"/>
      <c r="G41" s="192"/>
    </row>
    <row r="42" spans="1:7">
      <c r="A42" s="60">
        <v>8</v>
      </c>
      <c r="B42" s="60"/>
      <c r="C42" s="25" t="s">
        <v>84</v>
      </c>
      <c r="D42" s="196" t="s">
        <v>27</v>
      </c>
      <c r="E42" s="7">
        <v>4</v>
      </c>
      <c r="F42" s="7">
        <v>3250</v>
      </c>
      <c r="G42" s="192">
        <f>E42*F42</f>
        <v>13000</v>
      </c>
    </row>
    <row r="43" spans="1:7">
      <c r="A43" s="60"/>
      <c r="B43" s="60"/>
      <c r="D43" s="196"/>
      <c r="E43" s="7"/>
      <c r="F43" s="7"/>
      <c r="G43" s="192"/>
    </row>
    <row r="44" spans="1:7">
      <c r="A44" s="60">
        <v>9</v>
      </c>
      <c r="B44" s="60"/>
      <c r="C44" s="25" t="s">
        <v>85</v>
      </c>
      <c r="D44" s="196" t="s">
        <v>2</v>
      </c>
      <c r="E44" s="201">
        <v>0.4</v>
      </c>
      <c r="F44" s="7">
        <v>25750</v>
      </c>
      <c r="G44" s="192">
        <f>E44*F44</f>
        <v>10300</v>
      </c>
    </row>
    <row r="45" spans="1:7">
      <c r="A45" s="50"/>
      <c r="B45" s="51"/>
      <c r="C45" s="52"/>
      <c r="D45" s="196"/>
      <c r="E45" s="7"/>
      <c r="F45" s="7"/>
      <c r="G45" s="192"/>
    </row>
    <row r="46" spans="1:7">
      <c r="A46" s="60"/>
      <c r="B46" s="60" t="s">
        <v>86</v>
      </c>
      <c r="C46" s="65" t="s">
        <v>87</v>
      </c>
      <c r="D46" s="196"/>
      <c r="E46" s="7"/>
      <c r="F46" s="7"/>
      <c r="G46" s="192"/>
    </row>
    <row r="47" spans="1:7">
      <c r="A47" s="60"/>
      <c r="B47" s="60"/>
      <c r="C47" s="63"/>
      <c r="D47" s="196"/>
      <c r="E47" s="7"/>
      <c r="F47" s="7"/>
      <c r="G47" s="192"/>
    </row>
    <row r="48" spans="1:7">
      <c r="A48" s="60">
        <v>10</v>
      </c>
      <c r="B48" s="60"/>
      <c r="C48" s="25" t="s">
        <v>88</v>
      </c>
      <c r="D48" s="196" t="s">
        <v>27</v>
      </c>
      <c r="E48" s="7">
        <v>1</v>
      </c>
      <c r="F48" s="7">
        <v>3250</v>
      </c>
      <c r="G48" s="192">
        <f>E48*F48</f>
        <v>3250</v>
      </c>
    </row>
    <row r="49" spans="1:7">
      <c r="A49" s="60"/>
      <c r="B49" s="60"/>
      <c r="D49" s="196"/>
      <c r="E49" s="7"/>
      <c r="F49" s="7"/>
      <c r="G49" s="192"/>
    </row>
    <row r="50" spans="1:7">
      <c r="A50" s="60"/>
      <c r="B50" s="60"/>
      <c r="D50" s="196"/>
      <c r="E50" s="7"/>
      <c r="F50" s="7"/>
      <c r="G50" s="192"/>
    </row>
    <row r="51" spans="1:7">
      <c r="A51" s="60"/>
      <c r="B51" s="60"/>
      <c r="D51" s="196"/>
      <c r="E51" s="7"/>
      <c r="F51" s="7"/>
      <c r="G51" s="192"/>
    </row>
    <row r="52" spans="1:7">
      <c r="A52" s="60"/>
      <c r="B52" s="60"/>
      <c r="D52" s="196"/>
      <c r="E52" s="7"/>
      <c r="F52" s="7"/>
      <c r="G52" s="192"/>
    </row>
    <row r="53" spans="1:7">
      <c r="A53" s="60"/>
      <c r="B53" s="60"/>
      <c r="D53" s="196"/>
      <c r="E53" s="7"/>
      <c r="F53" s="7"/>
      <c r="G53" s="192"/>
    </row>
    <row r="54" spans="1:7">
      <c r="A54" s="60"/>
      <c r="B54" s="60"/>
      <c r="D54" s="196"/>
      <c r="E54" s="7"/>
      <c r="F54" s="7"/>
      <c r="G54" s="192"/>
    </row>
    <row r="55" spans="1:7">
      <c r="A55" s="60"/>
      <c r="B55" s="60"/>
      <c r="D55" s="196"/>
      <c r="E55" s="7"/>
      <c r="F55" s="7"/>
      <c r="G55" s="192"/>
    </row>
    <row r="56" spans="1:7">
      <c r="A56" s="60"/>
      <c r="B56" s="60"/>
      <c r="D56" s="196"/>
      <c r="E56" s="7"/>
      <c r="F56" s="7"/>
      <c r="G56" s="192"/>
    </row>
    <row r="57" spans="1:7">
      <c r="A57" s="60"/>
      <c r="B57" s="60"/>
      <c r="D57" s="196"/>
      <c r="E57" s="7"/>
      <c r="F57" s="7"/>
      <c r="G57" s="192"/>
    </row>
    <row r="58" spans="1:7">
      <c r="A58" s="60"/>
      <c r="B58" s="60"/>
      <c r="D58" s="196"/>
      <c r="E58" s="7"/>
      <c r="F58" s="7"/>
      <c r="G58" s="192"/>
    </row>
    <row r="59" spans="1:7">
      <c r="A59" s="60"/>
      <c r="B59" s="60"/>
      <c r="D59" s="196"/>
      <c r="E59" s="7"/>
      <c r="F59" s="7"/>
      <c r="G59" s="192"/>
    </row>
    <row r="60" spans="1:7">
      <c r="A60" s="60"/>
      <c r="B60" s="60"/>
      <c r="D60" s="196"/>
      <c r="E60" s="7"/>
      <c r="F60" s="7"/>
      <c r="G60" s="192"/>
    </row>
    <row r="61" spans="1:7" s="40" customFormat="1" ht="20.100000000000001" customHeight="1">
      <c r="A61" s="231" t="s">
        <v>40</v>
      </c>
      <c r="B61" s="232"/>
      <c r="C61" s="232"/>
      <c r="D61" s="232"/>
      <c r="E61" s="232"/>
      <c r="F61" s="233"/>
      <c r="G61" s="160">
        <f>SUM(G6:G60)</f>
        <v>361375</v>
      </c>
    </row>
    <row r="62" spans="1:7" s="40" customFormat="1">
      <c r="A62" s="44"/>
      <c r="B62" s="41"/>
      <c r="C62" s="18"/>
      <c r="D62" s="41"/>
      <c r="E62" s="41"/>
      <c r="F62" s="42"/>
      <c r="G62" s="42"/>
    </row>
    <row r="63" spans="1:7" s="40" customFormat="1">
      <c r="A63" s="44"/>
      <c r="B63" s="41"/>
      <c r="C63" s="18"/>
      <c r="D63" s="41"/>
      <c r="E63" s="41"/>
      <c r="F63" s="42"/>
      <c r="G63" s="42"/>
    </row>
    <row r="64" spans="1:7" s="40" customFormat="1" ht="20.399999999999999">
      <c r="A64" s="71" t="s">
        <v>8</v>
      </c>
      <c r="B64" s="49" t="s">
        <v>9</v>
      </c>
      <c r="C64" s="48" t="s">
        <v>10</v>
      </c>
      <c r="D64" s="49" t="s">
        <v>11</v>
      </c>
      <c r="E64" s="49" t="s">
        <v>32</v>
      </c>
      <c r="F64" s="144" t="s">
        <v>263</v>
      </c>
      <c r="G64" s="144" t="s">
        <v>264</v>
      </c>
    </row>
    <row r="65" spans="1:7" s="40" customFormat="1" ht="20.100000000000001" customHeight="1">
      <c r="A65" s="231" t="s">
        <v>41</v>
      </c>
      <c r="B65" s="232"/>
      <c r="C65" s="232"/>
      <c r="D65" s="232"/>
      <c r="E65" s="232"/>
      <c r="F65" s="233"/>
      <c r="G65" s="160">
        <f>G61</f>
        <v>361375</v>
      </c>
    </row>
    <row r="66" spans="1:7">
      <c r="A66" s="60"/>
      <c r="B66" s="60"/>
      <c r="D66" s="196"/>
      <c r="E66" s="7"/>
      <c r="F66" s="7"/>
      <c r="G66" s="192"/>
    </row>
    <row r="67" spans="1:7">
      <c r="A67" s="88"/>
      <c r="B67" s="89" t="s">
        <v>129</v>
      </c>
      <c r="C67" s="95"/>
      <c r="D67" s="196"/>
      <c r="E67" s="7"/>
      <c r="F67" s="7"/>
      <c r="G67" s="192"/>
    </row>
    <row r="68" spans="1:7">
      <c r="A68" s="88"/>
      <c r="B68" s="89" t="s">
        <v>141</v>
      </c>
      <c r="C68" s="98" t="s">
        <v>71</v>
      </c>
      <c r="D68" s="196"/>
      <c r="E68" s="7"/>
      <c r="F68" s="7"/>
      <c r="G68" s="192"/>
    </row>
    <row r="69" spans="1:7">
      <c r="A69" s="88"/>
      <c r="B69" s="88"/>
      <c r="C69" s="100"/>
      <c r="D69" s="196"/>
      <c r="E69" s="7"/>
      <c r="F69" s="7"/>
      <c r="G69" s="192"/>
    </row>
    <row r="70" spans="1:7">
      <c r="A70" s="60"/>
      <c r="B70" s="60" t="s">
        <v>70</v>
      </c>
      <c r="C70" s="68" t="s">
        <v>69</v>
      </c>
      <c r="D70" s="196"/>
      <c r="E70" s="7"/>
      <c r="F70" s="7"/>
      <c r="G70" s="192"/>
    </row>
    <row r="71" spans="1:7">
      <c r="A71" s="60"/>
      <c r="B71" s="60"/>
      <c r="C71" s="68"/>
      <c r="D71" s="196"/>
      <c r="E71" s="7"/>
      <c r="F71" s="7"/>
      <c r="G71" s="192"/>
    </row>
    <row r="72" spans="1:7">
      <c r="A72" s="60">
        <v>11</v>
      </c>
      <c r="B72" s="60"/>
      <c r="C72" s="68" t="s">
        <v>112</v>
      </c>
      <c r="D72" s="196" t="s">
        <v>27</v>
      </c>
      <c r="E72" s="7">
        <v>26</v>
      </c>
      <c r="F72" s="7">
        <v>519</v>
      </c>
      <c r="G72" s="192">
        <f>E72*F72</f>
        <v>13494</v>
      </c>
    </row>
    <row r="73" spans="1:7">
      <c r="A73" s="60"/>
      <c r="B73" s="60"/>
      <c r="C73" s="68"/>
      <c r="D73" s="196"/>
      <c r="E73" s="7"/>
      <c r="F73" s="7"/>
      <c r="G73" s="192"/>
    </row>
    <row r="74" spans="1:7">
      <c r="A74" s="4">
        <v>12</v>
      </c>
      <c r="B74" s="4"/>
      <c r="C74" s="3" t="s">
        <v>228</v>
      </c>
      <c r="D74" s="196" t="s">
        <v>27</v>
      </c>
      <c r="E74" s="7">
        <v>66</v>
      </c>
      <c r="F74" s="7">
        <v>519</v>
      </c>
      <c r="G74" s="192">
        <f>E74*F74</f>
        <v>34254</v>
      </c>
    </row>
    <row r="75" spans="1:7">
      <c r="A75" s="4"/>
      <c r="B75" s="4"/>
      <c r="C75" s="3"/>
      <c r="D75" s="185"/>
      <c r="E75" s="64"/>
      <c r="F75" s="61"/>
      <c r="G75" s="192"/>
    </row>
    <row r="76" spans="1:7" ht="22.5" customHeight="1">
      <c r="A76" s="4">
        <v>13</v>
      </c>
      <c r="B76" s="4"/>
      <c r="C76" s="24" t="s">
        <v>251</v>
      </c>
      <c r="D76" s="1" t="s">
        <v>27</v>
      </c>
      <c r="E76" s="7">
        <v>5</v>
      </c>
      <c r="F76" s="157">
        <v>950</v>
      </c>
      <c r="G76" s="192">
        <f>E76*F76</f>
        <v>4750</v>
      </c>
    </row>
    <row r="77" spans="1:7">
      <c r="A77" s="60"/>
      <c r="B77" s="60"/>
      <c r="C77" s="68"/>
      <c r="D77" s="70"/>
      <c r="E77" s="64"/>
      <c r="F77" s="61"/>
      <c r="G77" s="192"/>
    </row>
    <row r="78" spans="1:7">
      <c r="A78" s="60"/>
      <c r="B78" s="60"/>
      <c r="C78" s="66" t="s">
        <v>148</v>
      </c>
      <c r="D78" s="70"/>
      <c r="E78" s="64"/>
      <c r="F78" s="61"/>
      <c r="G78" s="192"/>
    </row>
    <row r="79" spans="1:7">
      <c r="A79" s="60"/>
      <c r="B79" s="60"/>
      <c r="C79" s="68"/>
      <c r="D79" s="70"/>
      <c r="E79" s="64"/>
      <c r="F79" s="61"/>
      <c r="G79" s="192"/>
    </row>
    <row r="80" spans="1:7">
      <c r="A80" s="60"/>
      <c r="B80" s="60" t="s">
        <v>89</v>
      </c>
      <c r="C80" s="69" t="s">
        <v>243</v>
      </c>
      <c r="D80" s="196"/>
      <c r="E80" s="7"/>
      <c r="F80" s="7"/>
      <c r="G80" s="192"/>
    </row>
    <row r="81" spans="1:7">
      <c r="A81" s="60"/>
      <c r="B81" s="60"/>
      <c r="C81" s="63"/>
      <c r="D81" s="196"/>
      <c r="E81" s="7"/>
      <c r="F81" s="7"/>
      <c r="G81" s="192"/>
    </row>
    <row r="82" spans="1:7" s="56" customFormat="1" ht="22.2" customHeight="1">
      <c r="A82" s="60">
        <v>14</v>
      </c>
      <c r="B82" s="60"/>
      <c r="C82" s="25" t="s">
        <v>244</v>
      </c>
      <c r="D82" s="196" t="s">
        <v>7</v>
      </c>
      <c r="E82" s="7">
        <v>2</v>
      </c>
      <c r="F82" s="7">
        <v>350</v>
      </c>
      <c r="G82" s="192">
        <f t="shared" ref="G82" si="0">E82*F82</f>
        <v>700</v>
      </c>
    </row>
    <row r="83" spans="1:7" ht="11.25" customHeight="1">
      <c r="A83" s="60">
        <v>15</v>
      </c>
      <c r="B83" s="60" t="s">
        <v>90</v>
      </c>
      <c r="C83" s="63" t="s">
        <v>253</v>
      </c>
      <c r="D83" s="196" t="s">
        <v>7</v>
      </c>
      <c r="E83" s="7">
        <v>1</v>
      </c>
      <c r="F83" s="7">
        <v>5000</v>
      </c>
      <c r="G83" s="192">
        <f t="shared" ref="G83" si="1">E83*F83</f>
        <v>5000</v>
      </c>
    </row>
    <row r="84" spans="1:7">
      <c r="A84" s="60"/>
      <c r="B84" s="60"/>
      <c r="C84" s="63"/>
      <c r="D84" s="196"/>
      <c r="E84" s="7"/>
      <c r="F84" s="7"/>
      <c r="G84" s="206"/>
    </row>
    <row r="85" spans="1:7">
      <c r="A85" s="60"/>
      <c r="B85" s="60"/>
      <c r="C85" s="63"/>
      <c r="D85" s="196"/>
      <c r="E85" s="7"/>
      <c r="F85" s="7"/>
      <c r="G85" s="206"/>
    </row>
    <row r="86" spans="1:7">
      <c r="A86" s="60"/>
      <c r="B86" s="60"/>
      <c r="C86" s="63"/>
      <c r="D86" s="196"/>
      <c r="E86" s="7"/>
      <c r="F86" s="7"/>
      <c r="G86" s="206"/>
    </row>
    <row r="87" spans="1:7">
      <c r="A87" s="60"/>
      <c r="B87" s="60"/>
      <c r="C87" s="63"/>
      <c r="D87" s="196"/>
      <c r="E87" s="7"/>
      <c r="F87" s="7"/>
      <c r="G87" s="206"/>
    </row>
    <row r="88" spans="1:7">
      <c r="A88" s="60"/>
      <c r="B88" s="60"/>
      <c r="C88" s="63"/>
      <c r="D88" s="196"/>
      <c r="E88" s="7"/>
      <c r="F88" s="7"/>
      <c r="G88" s="206"/>
    </row>
    <row r="89" spans="1:7">
      <c r="A89" s="60"/>
      <c r="B89" s="60"/>
      <c r="C89" s="63"/>
      <c r="D89" s="196"/>
      <c r="E89" s="7"/>
      <c r="F89" s="7"/>
      <c r="G89" s="206"/>
    </row>
    <row r="90" spans="1:7">
      <c r="A90" s="60"/>
      <c r="B90" s="60"/>
      <c r="C90" s="63"/>
      <c r="D90" s="196"/>
      <c r="E90" s="7"/>
      <c r="F90" s="7"/>
      <c r="G90" s="206"/>
    </row>
    <row r="91" spans="1:7">
      <c r="A91" s="60"/>
      <c r="B91" s="60"/>
      <c r="C91" s="63"/>
      <c r="D91" s="196"/>
      <c r="E91" s="7"/>
      <c r="F91" s="7"/>
      <c r="G91" s="206"/>
    </row>
    <row r="92" spans="1:7">
      <c r="A92" s="60"/>
      <c r="B92" s="60"/>
      <c r="C92" s="63"/>
      <c r="D92" s="196"/>
      <c r="E92" s="7"/>
      <c r="F92" s="7"/>
      <c r="G92" s="206"/>
    </row>
    <row r="93" spans="1:7">
      <c r="A93" s="60"/>
      <c r="B93" s="60"/>
      <c r="C93" s="63"/>
      <c r="D93" s="196"/>
      <c r="E93" s="7"/>
      <c r="F93" s="7"/>
      <c r="G93" s="206"/>
    </row>
    <row r="94" spans="1:7">
      <c r="A94" s="60"/>
      <c r="B94" s="60"/>
      <c r="C94" s="63"/>
      <c r="D94" s="196"/>
      <c r="E94" s="7"/>
      <c r="F94" s="7"/>
      <c r="G94" s="206"/>
    </row>
    <row r="95" spans="1:7">
      <c r="A95" s="60"/>
      <c r="B95" s="60"/>
      <c r="C95" s="63"/>
      <c r="D95" s="196"/>
      <c r="E95" s="7"/>
      <c r="F95" s="7"/>
      <c r="G95" s="206"/>
    </row>
    <row r="96" spans="1:7">
      <c r="A96" s="60"/>
      <c r="B96" s="60"/>
      <c r="C96" s="63"/>
      <c r="D96" s="196"/>
      <c r="E96" s="7"/>
      <c r="F96" s="7"/>
      <c r="G96" s="206"/>
    </row>
    <row r="97" spans="1:7">
      <c r="A97" s="60"/>
      <c r="B97" s="60"/>
      <c r="C97" s="63"/>
      <c r="D97" s="196"/>
      <c r="E97" s="7"/>
      <c r="F97" s="7"/>
      <c r="G97" s="206"/>
    </row>
    <row r="98" spans="1:7">
      <c r="A98" s="60"/>
      <c r="B98" s="60"/>
      <c r="C98" s="63"/>
      <c r="D98" s="196"/>
      <c r="E98" s="7"/>
      <c r="F98" s="7"/>
      <c r="G98" s="206"/>
    </row>
    <row r="99" spans="1:7">
      <c r="A99" s="60"/>
      <c r="B99" s="60"/>
      <c r="C99" s="63"/>
      <c r="D99" s="196"/>
      <c r="E99" s="7"/>
      <c r="F99" s="7"/>
      <c r="G99" s="206"/>
    </row>
    <row r="100" spans="1:7">
      <c r="A100" s="60"/>
      <c r="B100" s="60"/>
      <c r="C100" s="63"/>
      <c r="D100" s="196"/>
      <c r="E100" s="7"/>
      <c r="F100" s="7"/>
      <c r="G100" s="206"/>
    </row>
    <row r="101" spans="1:7">
      <c r="A101" s="60"/>
      <c r="B101" s="60"/>
      <c r="C101" s="63"/>
      <c r="D101" s="196"/>
      <c r="E101" s="7"/>
      <c r="F101" s="7"/>
      <c r="G101" s="206"/>
    </row>
    <row r="102" spans="1:7">
      <c r="A102" s="60"/>
      <c r="B102" s="60"/>
      <c r="C102" s="63"/>
      <c r="D102" s="196"/>
      <c r="E102" s="7"/>
      <c r="F102" s="7"/>
      <c r="G102" s="206"/>
    </row>
    <row r="103" spans="1:7">
      <c r="A103" s="60"/>
      <c r="B103" s="60"/>
      <c r="C103" s="63"/>
      <c r="D103" s="196"/>
      <c r="E103" s="7"/>
      <c r="F103" s="7"/>
      <c r="G103" s="206"/>
    </row>
    <row r="104" spans="1:7">
      <c r="A104" s="60"/>
      <c r="B104" s="60"/>
      <c r="C104" s="63"/>
      <c r="D104" s="196"/>
      <c r="E104" s="7"/>
      <c r="F104" s="7"/>
      <c r="G104" s="206"/>
    </row>
    <row r="105" spans="1:7">
      <c r="A105" s="60"/>
      <c r="B105" s="60"/>
      <c r="C105" s="63"/>
      <c r="D105" s="196"/>
      <c r="E105" s="7"/>
      <c r="F105" s="7"/>
      <c r="G105" s="206"/>
    </row>
    <row r="106" spans="1:7">
      <c r="A106" s="60"/>
      <c r="B106" s="60"/>
      <c r="C106" s="63"/>
      <c r="D106" s="196"/>
      <c r="E106" s="7"/>
      <c r="F106" s="7"/>
      <c r="G106" s="206"/>
    </row>
    <row r="107" spans="1:7">
      <c r="A107" s="60"/>
      <c r="B107" s="60"/>
      <c r="C107" s="63"/>
      <c r="D107" s="196"/>
      <c r="E107" s="7"/>
      <c r="F107" s="7"/>
      <c r="G107" s="206"/>
    </row>
    <row r="108" spans="1:7">
      <c r="A108" s="60"/>
      <c r="B108" s="60"/>
      <c r="C108" s="63"/>
      <c r="D108" s="196"/>
      <c r="E108" s="7"/>
      <c r="F108" s="7"/>
      <c r="G108" s="206"/>
    </row>
    <row r="109" spans="1:7">
      <c r="A109" s="60"/>
      <c r="B109" s="60"/>
      <c r="C109" s="179"/>
      <c r="D109" s="176"/>
      <c r="E109" s="177"/>
      <c r="F109" s="178"/>
    </row>
    <row r="110" spans="1:7" ht="20.100000000000001" customHeight="1">
      <c r="A110" s="228" t="s">
        <v>120</v>
      </c>
      <c r="B110" s="229"/>
      <c r="C110" s="229"/>
      <c r="D110" s="229"/>
      <c r="E110" s="229"/>
      <c r="F110" s="230"/>
      <c r="G110" s="194">
        <f>SUM(G65:G109)</f>
        <v>419573</v>
      </c>
    </row>
    <row r="161" ht="15.6" customHeight="1"/>
  </sheetData>
  <mergeCells count="3">
    <mergeCell ref="A110:F110"/>
    <mergeCell ref="A61:F61"/>
    <mergeCell ref="A65:F65"/>
  </mergeCells>
  <pageMargins left="0.78740157480314965" right="0.39370078740157483" top="0.59055118110236227" bottom="0.59055118110236227" header="0.39370078740157483" footer="0.39370078740157483"/>
  <pageSetup paperSize="9" orientation="portrait" r:id="rId1"/>
  <headerFooter>
    <oddFooter xml:space="preserve">&amp;R&amp;"Arial,Regular"&amp;8Page 6.&amp;P+5 </oddFooter>
  </headerFooter>
  <rowBreaks count="1" manualBreakCount="1">
    <brk id="62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A0BD-B4AF-4800-ABDC-BC02E5115D1D}">
  <dimension ref="A1:C49"/>
  <sheetViews>
    <sheetView showGridLines="0" tabSelected="1" view="pageBreakPreview" zoomScaleNormal="100" zoomScaleSheetLayoutView="100" workbookViewId="0">
      <selection activeCell="D5" sqref="D5"/>
    </sheetView>
  </sheetViews>
  <sheetFormatPr defaultRowHeight="14.4"/>
  <cols>
    <col min="1" max="1" width="9.5546875" customWidth="1"/>
    <col min="2" max="2" width="61.88671875" customWidth="1"/>
    <col min="3" max="3" width="16" bestFit="1" customWidth="1"/>
  </cols>
  <sheetData>
    <row r="1" spans="1:3">
      <c r="A1" s="146" t="str">
        <f>'S1-P&amp;G''S'!A2</f>
        <v>NAFASI WATER - ARNOT WATER AND SEWER</v>
      </c>
      <c r="B1" s="147"/>
      <c r="C1" s="46" t="str">
        <f>'S1-P&amp;G''S'!G2</f>
        <v>Revision T1</v>
      </c>
    </row>
    <row r="2" spans="1:3">
      <c r="A2" s="146" t="str">
        <f>'S1-P&amp;G''S'!A3</f>
        <v>EARTHWORKS AND CIVIL WORK</v>
      </c>
      <c r="B2" s="147"/>
      <c r="C2" s="23"/>
    </row>
    <row r="3" spans="1:3">
      <c r="A3" s="146" t="s">
        <v>215</v>
      </c>
      <c r="B3" s="147"/>
      <c r="C3" s="148">
        <f>'S1-P&amp;G''S'!G4</f>
        <v>45184</v>
      </c>
    </row>
    <row r="4" spans="1:3">
      <c r="A4" s="20"/>
      <c r="B4" s="21"/>
      <c r="C4" s="149"/>
    </row>
    <row r="5" spans="1:3" ht="20.399999999999999">
      <c r="A5" s="150" t="s">
        <v>42</v>
      </c>
      <c r="B5" s="150" t="s">
        <v>10</v>
      </c>
      <c r="C5" s="150" t="s">
        <v>249</v>
      </c>
    </row>
    <row r="6" spans="1:3">
      <c r="A6" s="22"/>
      <c r="B6" s="22"/>
      <c r="C6" s="151"/>
    </row>
    <row r="7" spans="1:3">
      <c r="A7" s="1">
        <v>1</v>
      </c>
      <c r="B7" s="9" t="str">
        <f>'S1-P&amp;G''S'!C8</f>
        <v>SECTION 1 - PRELIMINARY AND GENERAL</v>
      </c>
      <c r="C7" s="195">
        <f>'S1-P&amp;G''S'!G120</f>
        <v>7653637.75</v>
      </c>
    </row>
    <row r="8" spans="1:3">
      <c r="A8" s="1"/>
      <c r="B8" s="9"/>
      <c r="C8" s="152"/>
    </row>
    <row r="9" spans="1:3">
      <c r="A9" s="1">
        <v>2</v>
      </c>
      <c r="B9" s="6" t="str">
        <f>'S2-ENGINEERED PLATFORM &amp; PAVING'!C7</f>
        <v xml:space="preserve">SECTION 2 - EARTHWORKS &amp; INTERLOCKING PAVING </v>
      </c>
      <c r="C9" s="195">
        <f>+'S2-ENGINEERED PLATFORM &amp; PAVING'!G126</f>
        <v>28122182</v>
      </c>
    </row>
    <row r="10" spans="1:3">
      <c r="A10" s="1"/>
      <c r="B10" s="6"/>
      <c r="C10" s="152"/>
    </row>
    <row r="11" spans="1:3">
      <c r="A11" s="1">
        <v>3</v>
      </c>
      <c r="B11" s="6" t="str">
        <f>'S3-STORMWATER'!C7</f>
        <v>SECTION 3 - STORM WATER DRAINAGE</v>
      </c>
      <c r="C11" s="195">
        <f>+'S3-STORMWATER'!G118</f>
        <v>1503464</v>
      </c>
    </row>
    <row r="12" spans="1:3">
      <c r="A12" s="1"/>
      <c r="B12" s="6"/>
      <c r="C12" s="195"/>
    </row>
    <row r="13" spans="1:3">
      <c r="A13" s="1">
        <v>4</v>
      </c>
      <c r="B13" s="6" t="str">
        <f>'S4-SEWER'!C7</f>
        <v>SECTION 4 - SEWER</v>
      </c>
      <c r="C13" s="195">
        <f>+'S4-SEWER'!G60</f>
        <v>349332</v>
      </c>
    </row>
    <row r="14" spans="1:3">
      <c r="A14" s="1"/>
      <c r="B14" s="39"/>
      <c r="C14" s="195"/>
    </row>
    <row r="15" spans="1:3">
      <c r="A15" s="1">
        <v>5</v>
      </c>
      <c r="B15" s="6" t="str">
        <f>'S5-WATER'!C7</f>
        <v>SECTION 5 - WATER RETICULATION</v>
      </c>
      <c r="C15" s="195">
        <f>+'S5-WATER'!G110</f>
        <v>419573</v>
      </c>
    </row>
    <row r="16" spans="1:3">
      <c r="A16" s="1"/>
      <c r="B16" s="6"/>
      <c r="C16" s="152"/>
    </row>
    <row r="17" spans="1:3">
      <c r="A17" s="1"/>
      <c r="B17" s="6"/>
      <c r="C17" s="115"/>
    </row>
    <row r="18" spans="1:3">
      <c r="A18" s="1"/>
      <c r="B18" s="6"/>
      <c r="C18" s="152"/>
    </row>
    <row r="19" spans="1:3">
      <c r="A19" s="1"/>
      <c r="B19" s="6"/>
      <c r="C19" s="115"/>
    </row>
    <row r="20" spans="1:3">
      <c r="A20" s="1"/>
      <c r="B20" s="6"/>
      <c r="C20" s="152"/>
    </row>
    <row r="21" spans="1:3">
      <c r="A21" s="1"/>
      <c r="B21" s="6"/>
      <c r="C21" s="152"/>
    </row>
    <row r="22" spans="1:3">
      <c r="A22" s="1"/>
      <c r="B22" s="6"/>
      <c r="C22" s="152"/>
    </row>
    <row r="23" spans="1:3">
      <c r="A23" s="1"/>
      <c r="B23" s="6"/>
      <c r="C23" s="152"/>
    </row>
    <row r="24" spans="1:3">
      <c r="A24" s="1"/>
      <c r="B24" s="6"/>
      <c r="C24" s="152"/>
    </row>
    <row r="25" spans="1:3">
      <c r="A25" s="1"/>
      <c r="B25" s="6"/>
      <c r="C25" s="152"/>
    </row>
    <row r="26" spans="1:3">
      <c r="A26" s="1"/>
      <c r="B26" s="6"/>
      <c r="C26" s="152"/>
    </row>
    <row r="27" spans="1:3">
      <c r="A27" s="1"/>
      <c r="B27" s="6"/>
      <c r="C27" s="152"/>
    </row>
    <row r="28" spans="1:3">
      <c r="A28" s="1"/>
      <c r="B28" s="6"/>
      <c r="C28" s="152"/>
    </row>
    <row r="29" spans="1:3">
      <c r="A29" s="1"/>
      <c r="B29" s="6"/>
      <c r="C29" s="152"/>
    </row>
    <row r="30" spans="1:3">
      <c r="A30" s="1"/>
      <c r="B30" s="6"/>
      <c r="C30" s="152"/>
    </row>
    <row r="31" spans="1:3">
      <c r="A31" s="1"/>
      <c r="B31" s="6"/>
      <c r="C31" s="152"/>
    </row>
    <row r="32" spans="1:3">
      <c r="A32" s="1"/>
      <c r="B32" s="6"/>
      <c r="C32" s="152"/>
    </row>
    <row r="33" spans="1:3">
      <c r="A33" s="1"/>
      <c r="B33" s="6"/>
      <c r="C33" s="152"/>
    </row>
    <row r="34" spans="1:3">
      <c r="A34" s="1"/>
      <c r="B34" s="6"/>
      <c r="C34" s="152"/>
    </row>
    <row r="35" spans="1:3">
      <c r="A35" s="1"/>
      <c r="B35" s="6"/>
      <c r="C35" s="152"/>
    </row>
    <row r="36" spans="1:3">
      <c r="A36" s="1"/>
      <c r="B36" s="6"/>
      <c r="C36" s="152"/>
    </row>
    <row r="37" spans="1:3">
      <c r="A37" s="1"/>
      <c r="B37" s="6"/>
      <c r="C37" s="152"/>
    </row>
    <row r="38" spans="1:3">
      <c r="A38" s="1"/>
      <c r="B38" s="6"/>
      <c r="C38" s="152"/>
    </row>
    <row r="39" spans="1:3">
      <c r="A39" s="1"/>
      <c r="B39" s="6"/>
      <c r="C39" s="152"/>
    </row>
    <row r="40" spans="1:3">
      <c r="A40" s="1"/>
      <c r="B40" s="6"/>
      <c r="C40" s="152"/>
    </row>
    <row r="41" spans="1:3">
      <c r="A41" s="1"/>
      <c r="B41" s="6"/>
      <c r="C41" s="152"/>
    </row>
    <row r="42" spans="1:3">
      <c r="A42" s="1"/>
      <c r="B42" s="6"/>
      <c r="C42" s="152"/>
    </row>
    <row r="43" spans="1:3">
      <c r="A43" s="1"/>
      <c r="B43" s="6"/>
      <c r="C43" s="152"/>
    </row>
    <row r="44" spans="1:3">
      <c r="A44" s="1"/>
      <c r="B44" s="6"/>
      <c r="C44" s="152"/>
    </row>
    <row r="45" spans="1:3">
      <c r="A45" s="1"/>
      <c r="B45" s="6"/>
      <c r="C45" s="152"/>
    </row>
    <row r="46" spans="1:3">
      <c r="A46" s="1"/>
      <c r="B46" s="6"/>
      <c r="C46" s="152"/>
    </row>
    <row r="47" spans="1:3">
      <c r="A47" s="1"/>
      <c r="B47" s="6"/>
      <c r="C47" s="152"/>
    </row>
    <row r="48" spans="1:3">
      <c r="A48" s="1"/>
      <c r="B48" s="6"/>
      <c r="C48" s="152"/>
    </row>
    <row r="49" spans="1:3" ht="22.95" customHeight="1">
      <c r="A49" s="237" t="s">
        <v>216</v>
      </c>
      <c r="B49" s="237"/>
      <c r="C49" s="194">
        <f>SUM(C7:C48)</f>
        <v>38048188.75</v>
      </c>
    </row>
  </sheetData>
  <mergeCells count="1">
    <mergeCell ref="A49:B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S1-P&amp;G'S</vt:lpstr>
      <vt:lpstr>S2-ENGINEERED PLATFORM &amp; PAVING</vt:lpstr>
      <vt:lpstr>S3-STORMWATER</vt:lpstr>
      <vt:lpstr>S4-SEWER</vt:lpstr>
      <vt:lpstr>S5-WATER</vt:lpstr>
      <vt:lpstr>S6-SUMMARY</vt:lpstr>
      <vt:lpstr>'S1-P&amp;G''S'!Print_Area</vt:lpstr>
      <vt:lpstr>'S2-ENGINEERED PLATFORM &amp; PAVING'!Print_Area</vt:lpstr>
      <vt:lpstr>'S3-STORMWATER'!Print_Area</vt:lpstr>
      <vt:lpstr>'S4-SEWER'!Print_Area</vt:lpstr>
      <vt:lpstr>'S5-WATER'!Print_Area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Floris Jordaan</cp:lastModifiedBy>
  <cp:lastPrinted>2022-05-27T05:45:40Z</cp:lastPrinted>
  <dcterms:created xsi:type="dcterms:W3CDTF">2014-07-20T16:20:16Z</dcterms:created>
  <dcterms:modified xsi:type="dcterms:W3CDTF">2023-09-15T03:28:54Z</dcterms:modified>
</cp:coreProperties>
</file>