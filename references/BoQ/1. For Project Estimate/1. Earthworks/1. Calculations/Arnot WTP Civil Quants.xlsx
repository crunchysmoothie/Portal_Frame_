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Earthworks\"/>
    </mc:Choice>
  </mc:AlternateContent>
  <xr:revisionPtr revIDLastSave="0" documentId="8_{34C56E23-C36C-4743-B951-1C6459FD6361}" xr6:coauthVersionLast="47" xr6:coauthVersionMax="47" xr10:uidLastSave="{00000000-0000-0000-0000-000000000000}"/>
  <bookViews>
    <workbookView xWindow="28680" yWindow="-120" windowWidth="29040" windowHeight="15720" xr2:uid="{89D70A1C-D5AF-4736-A7D4-823EA6481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7" i="1"/>
  <c r="G8" i="1"/>
  <c r="G9" i="1"/>
  <c r="G15" i="1"/>
  <c r="G14" i="1"/>
  <c r="G13" i="1"/>
  <c r="G12" i="1"/>
  <c r="G11" i="1"/>
  <c r="G10" i="1"/>
  <c r="F16" i="1"/>
  <c r="F14" i="1"/>
  <c r="F12" i="1"/>
  <c r="F11" i="1"/>
  <c r="E16" i="1"/>
  <c r="E14" i="1"/>
  <c r="E12" i="1"/>
  <c r="E11" i="1"/>
  <c r="D16" i="1"/>
  <c r="D15" i="1"/>
  <c r="D13" i="1"/>
  <c r="D12" i="1"/>
  <c r="D11" i="1"/>
  <c r="C16" i="1"/>
  <c r="C14" i="1"/>
  <c r="C11" i="1"/>
  <c r="C10" i="1"/>
  <c r="F9" i="1"/>
  <c r="C9" i="1"/>
  <c r="B16" i="1"/>
  <c r="B14" i="1"/>
  <c r="B12" i="1"/>
  <c r="B11" i="1"/>
  <c r="B10" i="1"/>
  <c r="B9" i="1"/>
</calcChain>
</file>

<file path=xl/sharedStrings.xml><?xml version="1.0" encoding="utf-8"?>
<sst xmlns="http://schemas.openxmlformats.org/spreadsheetml/2006/main" count="33" uniqueCount="21">
  <si>
    <t>Heavy Vehicle roads</t>
  </si>
  <si>
    <t>Light Vehicle roads</t>
  </si>
  <si>
    <t>Under buildings (not piled)</t>
  </si>
  <si>
    <t xml:space="preserve">In between buildings </t>
  </si>
  <si>
    <t>m2</t>
  </si>
  <si>
    <t>Under buildings (piled)</t>
  </si>
  <si>
    <t>m3</t>
  </si>
  <si>
    <t>80mm Block pavers (m2)</t>
  </si>
  <si>
    <t>60mm Block pavers (m2)</t>
  </si>
  <si>
    <t>20mm Sand (m3)</t>
  </si>
  <si>
    <t>200mm C4 (m3)</t>
  </si>
  <si>
    <t>150mm G5 (m3)</t>
  </si>
  <si>
    <t>600mm G6 (m3)</t>
  </si>
  <si>
    <t>1000mm G6 (m3)</t>
  </si>
  <si>
    <t>R/R (m2)</t>
  </si>
  <si>
    <t>Kerbs</t>
  </si>
  <si>
    <t>Site total</t>
  </si>
  <si>
    <t>Bulk cut to spoil (m3)</t>
  </si>
  <si>
    <t>Bulk cut to fill (m3)</t>
  </si>
  <si>
    <t>(for embankments)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</si>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</sst>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001A-541A-4785-B25E-2895E63BC3D9}">
  <dimension ref="A1:I26"/>
  <sheetViews>
    <sheetView tabSelected="1" workbookViewId="0">
      <selection activeCell="L25" sqref="L25"/>
    </sheetView>
  </sheetViews>
  <sheetFormatPr defaultRowHeight="15" x14ac:dyDescent="0.25"/>
  <cols>
    <col min="1" max="1" width="29" customWidth="1"/>
    <col min="2" max="6" width="15.7109375" customWidth="1"/>
  </cols>
  <sheetData>
    <row r="1" spans="1:9" ht="29.25" customHeight="1" x14ac:dyDescent="0.25">
      <c r="B1" s="3" t="s">
        <v>0</v>
      </c>
      <c r="C1" s="3" t="s">
        <v>1</v>
      </c>
      <c r="D1" s="3" t="s">
        <v>2</v>
      </c>
      <c r="E1" s="3" t="s">
        <v>5</v>
      </c>
      <c r="F1" s="3" t="s">
        <v>3</v>
      </c>
      <c r="G1" s="3" t="s">
        <v>16</v>
      </c>
    </row>
    <row r="2" spans="1:9" ht="15" customHeight="1" x14ac:dyDescent="0.25">
      <c r="A2" t="s">
        <v>17</v>
      </c>
      <c r="B2" s="3"/>
      <c r="C2" s="3"/>
      <c r="D2" s="3"/>
      <c r="E2" s="3"/>
      <c r="F2" s="3"/>
      <c r="G2">
        <v>12616.36</v>
      </c>
      <c r="H2" t="s">
        <v>6</v>
      </c>
    </row>
    <row r="3" spans="1:9" ht="15" customHeight="1" x14ac:dyDescent="0.25">
      <c r="A3" t="s">
        <v>18</v>
      </c>
      <c r="B3" s="3"/>
      <c r="C3" s="3"/>
      <c r="D3" s="3"/>
      <c r="E3" s="3"/>
      <c r="F3" s="3"/>
      <c r="G3">
        <v>749.45</v>
      </c>
      <c r="H3" t="s">
        <v>6</v>
      </c>
      <c r="I3" t="s">
        <v>19</v>
      </c>
    </row>
    <row r="4" spans="1:9" ht="15" customHeight="1" x14ac:dyDescent="0.25">
      <c r="B4" s="3"/>
      <c r="C4" s="3"/>
      <c r="D4" s="3"/>
      <c r="E4" s="3"/>
      <c r="F4" s="3"/>
    </row>
    <row r="5" spans="1:9" ht="29.25" customHeight="1" x14ac:dyDescent="0.25">
      <c r="B5" s="3"/>
      <c r="C5" s="3"/>
      <c r="D5" s="3"/>
      <c r="E5" s="3"/>
      <c r="F5" s="3"/>
    </row>
    <row r="6" spans="1:9" x14ac:dyDescent="0.25">
      <c r="A6" s="1"/>
      <c r="B6" s="2">
        <v>7573.75</v>
      </c>
      <c r="C6" s="2">
        <v>1343.559</v>
      </c>
      <c r="D6" s="2">
        <v>7021.3230000000003</v>
      </c>
      <c r="E6" s="2">
        <v>1267.241</v>
      </c>
      <c r="F6" s="2">
        <v>7433.3419999999996</v>
      </c>
    </row>
    <row r="7" spans="1:9" x14ac:dyDescent="0.25">
      <c r="A7" t="s">
        <v>7</v>
      </c>
      <c r="B7">
        <v>7573.75</v>
      </c>
      <c r="G7">
        <f>SUM(B7:F7)</f>
        <v>7573.75</v>
      </c>
      <c r="H7" t="s">
        <v>4</v>
      </c>
    </row>
    <row r="8" spans="1:9" x14ac:dyDescent="0.25">
      <c r="A8" t="s">
        <v>8</v>
      </c>
      <c r="C8">
        <v>1343.559</v>
      </c>
      <c r="F8">
        <v>8235.241</v>
      </c>
      <c r="G8">
        <f>SUM(B8:F8)</f>
        <v>9578.7999999999993</v>
      </c>
      <c r="H8" t="s">
        <v>4</v>
      </c>
    </row>
    <row r="9" spans="1:9" x14ac:dyDescent="0.25">
      <c r="A9" t="s">
        <v>9</v>
      </c>
      <c r="B9">
        <f>B7*0.02</f>
        <v>151.47499999999999</v>
      </c>
      <c r="C9">
        <f>0.02*C8</f>
        <v>26.871179999999999</v>
      </c>
      <c r="F9">
        <f>0.02*F8</f>
        <v>164.70482000000001</v>
      </c>
      <c r="G9">
        <f>SUM(B9:F9)</f>
        <v>343.05100000000004</v>
      </c>
      <c r="H9" t="s">
        <v>6</v>
      </c>
    </row>
    <row r="10" spans="1:9" x14ac:dyDescent="0.25">
      <c r="A10" t="s">
        <v>10</v>
      </c>
      <c r="B10">
        <f>B7*0.2</f>
        <v>1514.75</v>
      </c>
      <c r="C10">
        <f>0.2*C6</f>
        <v>268.71179999999998</v>
      </c>
      <c r="G10">
        <f>SUM(B10:F10)</f>
        <v>1783.4618</v>
      </c>
      <c r="H10" t="s">
        <v>6</v>
      </c>
    </row>
    <row r="11" spans="1:9" x14ac:dyDescent="0.25">
      <c r="A11" t="s">
        <v>11</v>
      </c>
      <c r="B11">
        <f>B7*0.15</f>
        <v>1136.0625</v>
      </c>
      <c r="C11">
        <f>0.15*C6</f>
        <v>201.53385</v>
      </c>
      <c r="D11">
        <f>0.15*D6</f>
        <v>1053.1984500000001</v>
      </c>
      <c r="E11">
        <f>0.15*E6</f>
        <v>190.08615</v>
      </c>
      <c r="F11">
        <f>0.15*F6</f>
        <v>1115.0012999999999</v>
      </c>
      <c r="G11">
        <f>SUM(B11:F11)</f>
        <v>3695.8822500000001</v>
      </c>
      <c r="H11" t="s">
        <v>6</v>
      </c>
    </row>
    <row r="12" spans="1:9" x14ac:dyDescent="0.25">
      <c r="A12" t="s">
        <v>11</v>
      </c>
      <c r="B12">
        <f>B7*0.15</f>
        <v>1136.0625</v>
      </c>
      <c r="D12">
        <f>0.15*D6</f>
        <v>1053.1984500000001</v>
      </c>
      <c r="E12">
        <f>0.15*E6</f>
        <v>190.08615</v>
      </c>
      <c r="F12">
        <f>0.15*F6</f>
        <v>1115.0012999999999</v>
      </c>
      <c r="G12">
        <f>SUM(B12:F12)</f>
        <v>3494.3483999999999</v>
      </c>
      <c r="H12" t="s">
        <v>6</v>
      </c>
    </row>
    <row r="13" spans="1:9" x14ac:dyDescent="0.25">
      <c r="A13" t="s">
        <v>11</v>
      </c>
      <c r="D13">
        <f>0.15*D6</f>
        <v>1053.1984500000001</v>
      </c>
      <c r="G13">
        <f>SUM(B13:F13)</f>
        <v>1053.1984500000001</v>
      </c>
      <c r="H13" t="s">
        <v>6</v>
      </c>
    </row>
    <row r="14" spans="1:9" x14ac:dyDescent="0.25">
      <c r="A14" t="s">
        <v>12</v>
      </c>
      <c r="B14">
        <f>B7*0.6</f>
        <v>4544.25</v>
      </c>
      <c r="C14">
        <f>0.6*C6</f>
        <v>806.1354</v>
      </c>
      <c r="E14">
        <f>0.6*E6</f>
        <v>760.34460000000001</v>
      </c>
      <c r="F14">
        <f>0.6*F6</f>
        <v>4460.0051999999996</v>
      </c>
      <c r="G14">
        <f>SUM(B14:F14)</f>
        <v>10570.735199999999</v>
      </c>
      <c r="H14" t="s">
        <v>6</v>
      </c>
    </row>
    <row r="15" spans="1:9" x14ac:dyDescent="0.25">
      <c r="A15" t="s">
        <v>13</v>
      </c>
      <c r="D15">
        <f>1*D6</f>
        <v>7021.3230000000003</v>
      </c>
      <c r="G15">
        <f>SUM(B15:F15)</f>
        <v>7021.3230000000003</v>
      </c>
      <c r="H15" t="s">
        <v>6</v>
      </c>
    </row>
    <row r="16" spans="1:9" x14ac:dyDescent="0.25">
      <c r="A16" t="s">
        <v>14</v>
      </c>
      <c r="B16">
        <f>B7</f>
        <v>7573.75</v>
      </c>
      <c r="C16">
        <f>C6</f>
        <v>1343.559</v>
      </c>
      <c r="D16">
        <f>D6</f>
        <v>7021.3230000000003</v>
      </c>
      <c r="E16">
        <f>E6</f>
        <v>1267.241</v>
      </c>
      <c r="F16">
        <f>F6</f>
        <v>7433.3419999999996</v>
      </c>
      <c r="G16">
        <f>SUM(B16:F16)</f>
        <v>24639.215</v>
      </c>
      <c r="H16" t="s">
        <v>4</v>
      </c>
    </row>
    <row r="18" spans="1:8" x14ac:dyDescent="0.25">
      <c r="A18" t="s">
        <v>15</v>
      </c>
      <c r="G18">
        <v>1474.9110000000001</v>
      </c>
      <c r="H18" t="s">
        <v>20</v>
      </c>
    </row>
    <row r="20" spans="1:8" x14ac:dyDescent="0.25">
      <c r="A20" s="1"/>
      <c r="B20" s="2"/>
    </row>
    <row r="26" spans="1:8" x14ac:dyDescent="0.25">
      <c r="A26" s="1"/>
      <c r="B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van Wyk</dc:creator>
  <cp:lastModifiedBy>Amanda van Wyk</cp:lastModifiedBy>
  <dcterms:created xsi:type="dcterms:W3CDTF">2023-09-12T09:00:19Z</dcterms:created>
  <dcterms:modified xsi:type="dcterms:W3CDTF">2023-09-12T12:33:18Z</dcterms:modified>
</cp:coreProperties>
</file>