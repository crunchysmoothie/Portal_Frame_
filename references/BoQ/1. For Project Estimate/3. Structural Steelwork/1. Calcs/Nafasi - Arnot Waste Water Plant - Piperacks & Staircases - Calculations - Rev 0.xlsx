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7_BOQ\Piperacks &amp; Staircases\"/>
    </mc:Choice>
  </mc:AlternateContent>
  <xr:revisionPtr revIDLastSave="0" documentId="13_ncr:1_{A5CAED6F-5D0A-46EF-8D09-74E936E59F88}" xr6:coauthVersionLast="47" xr6:coauthVersionMax="47" xr10:uidLastSave="{00000000-0000-0000-0000-000000000000}"/>
  <bookViews>
    <workbookView xWindow="-108" yWindow="-108" windowWidth="23256" windowHeight="12576" tabRatio="735" xr2:uid="{DDD35344-DDBC-4E46-A3BB-72A23222963F}"/>
  </bookViews>
  <sheets>
    <sheet name="Piperacks" sheetId="2" r:id="rId1"/>
    <sheet name="Staircases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2" l="1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00" i="18"/>
  <c r="D72" i="18"/>
  <c r="D73" i="18"/>
  <c r="D75" i="18"/>
  <c r="D76" i="18"/>
  <c r="D77" i="18"/>
  <c r="D79" i="18"/>
  <c r="D80" i="18"/>
  <c r="D66" i="18"/>
  <c r="D67" i="18"/>
  <c r="D68" i="18"/>
  <c r="D69" i="18"/>
  <c r="D70" i="18"/>
  <c r="D71" i="18"/>
  <c r="D62" i="18"/>
  <c r="D61" i="18"/>
  <c r="F56" i="18"/>
  <c r="D101" i="18"/>
  <c r="D105" i="18"/>
  <c r="D112" i="18"/>
  <c r="D114" i="18"/>
  <c r="D116" i="18"/>
  <c r="D118" i="18"/>
  <c r="D100" i="18"/>
  <c r="B119" i="18"/>
  <c r="D119" i="18" s="1"/>
  <c r="B118" i="18"/>
  <c r="B116" i="18"/>
  <c r="B115" i="18"/>
  <c r="D115" i="18" s="1"/>
  <c r="B114" i="18"/>
  <c r="B112" i="18"/>
  <c r="B109" i="18"/>
  <c r="D109" i="18" s="1"/>
  <c r="B107" i="18"/>
  <c r="B108" i="18" s="1"/>
  <c r="D108" i="18" s="1"/>
  <c r="B106" i="18"/>
  <c r="D106" i="18" s="1"/>
  <c r="B105" i="18"/>
  <c r="B100" i="18"/>
  <c r="B101" i="18" s="1"/>
  <c r="B80" i="18"/>
  <c r="B79" i="18"/>
  <c r="B77" i="18"/>
  <c r="B76" i="18"/>
  <c r="B75" i="18"/>
  <c r="B71" i="18" s="1"/>
  <c r="B73" i="18"/>
  <c r="B70" i="18"/>
  <c r="B68" i="18"/>
  <c r="B69" i="18" s="1"/>
  <c r="B67" i="18"/>
  <c r="B66" i="18"/>
  <c r="B61" i="18"/>
  <c r="B62" i="18" s="1"/>
  <c r="H32" i="18"/>
  <c r="B110" i="18" l="1"/>
  <c r="D110" i="18" s="1"/>
  <c r="D107" i="18"/>
  <c r="E27" i="18"/>
  <c r="H27" i="18" s="1"/>
  <c r="E30" i="18"/>
  <c r="H30" i="18" s="1"/>
  <c r="E34" i="18"/>
  <c r="H34" i="18" s="1"/>
  <c r="B37" i="18"/>
  <c r="B39" i="18" s="1"/>
  <c r="B41" i="18" s="1"/>
  <c r="B28" i="18"/>
  <c r="B30" i="18" s="1"/>
  <c r="B32" i="18" s="1"/>
  <c r="C10" i="18"/>
  <c r="D24" i="18" l="1"/>
  <c r="H24" i="18" s="1"/>
  <c r="E5" i="18"/>
  <c r="B18" i="18" l="1"/>
  <c r="B20" i="18" s="1"/>
  <c r="B22" i="18" s="1"/>
  <c r="D16" i="18" s="1"/>
  <c r="H16" i="18" s="1"/>
  <c r="E36" i="18"/>
  <c r="H36" i="18" s="1"/>
  <c r="E31" i="18"/>
  <c r="H31" i="18" s="1"/>
  <c r="L55" i="2"/>
  <c r="L40" i="2"/>
  <c r="C2" i="2"/>
  <c r="L75" i="2" s="1"/>
  <c r="L77" i="2" s="1"/>
  <c r="L48" i="2" l="1"/>
  <c r="L51" i="2" s="1"/>
  <c r="L79" i="2"/>
  <c r="Q19" i="2"/>
  <c r="L58" i="2" l="1"/>
  <c r="L59" i="2" s="1"/>
  <c r="L65" i="2"/>
  <c r="L43" i="2"/>
  <c r="L44" i="2" s="1"/>
  <c r="O34" i="2"/>
  <c r="L66" i="2" s="1"/>
  <c r="K28" i="2"/>
  <c r="C55" i="2"/>
  <c r="E55" i="2" s="1"/>
  <c r="C54" i="2"/>
  <c r="E54" i="2" s="1"/>
  <c r="C52" i="2"/>
  <c r="E52" i="2" s="1"/>
  <c r="C51" i="2"/>
  <c r="C50" i="2"/>
  <c r="E50" i="2" s="1"/>
  <c r="C48" i="2"/>
  <c r="E48" i="2" s="1"/>
  <c r="C45" i="2"/>
  <c r="E45" i="2" s="1"/>
  <c r="C43" i="2"/>
  <c r="E43" i="2" s="1"/>
  <c r="C42" i="2"/>
  <c r="E42" i="2" s="1"/>
  <c r="C41" i="2"/>
  <c r="E41" i="2" s="1"/>
  <c r="C36" i="2"/>
  <c r="E36" i="2" s="1"/>
  <c r="L52" i="2" l="1"/>
  <c r="L62" i="2"/>
  <c r="L68" i="2" s="1"/>
  <c r="L69" i="2" s="1"/>
  <c r="C46" i="2"/>
  <c r="E46" i="2" s="1"/>
  <c r="C37" i="2"/>
  <c r="E37" i="2" s="1"/>
  <c r="C44" i="2"/>
  <c r="E44" i="2" s="1"/>
  <c r="L71" i="2" l="1"/>
  <c r="L72" i="2" s="1"/>
</calcChain>
</file>

<file path=xl/sharedStrings.xml><?xml version="1.0" encoding="utf-8"?>
<sst xmlns="http://schemas.openxmlformats.org/spreadsheetml/2006/main" count="398" uniqueCount="104">
  <si>
    <t>m</t>
  </si>
  <si>
    <t>Length =</t>
  </si>
  <si>
    <t>m3</t>
  </si>
  <si>
    <t>Concrete</t>
  </si>
  <si>
    <t>Reinforcement</t>
  </si>
  <si>
    <t>t</t>
  </si>
  <si>
    <t>m2</t>
  </si>
  <si>
    <t>Columns</t>
  </si>
  <si>
    <t>No</t>
  </si>
  <si>
    <t>Piperacks</t>
  </si>
  <si>
    <t>Spacing =</t>
  </si>
  <si>
    <t>m (c/c)</t>
  </si>
  <si>
    <t>Foundations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</si>
  <si>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</si>
  <si>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</si>
  <si>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</si>
  <si>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</si>
  <si>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</si>
  <si>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</si>
  <si>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</si>
  <si>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</si>
  <si>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</si>
  <si>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</si>
  <si>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</si>
  <si>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</si>
  <si>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Total Quantities</t>
  </si>
  <si>
    <t>Earthworks</t>
  </si>
  <si>
    <t>Excavations =</t>
  </si>
  <si>
    <t>Concrete Work</t>
  </si>
  <si>
    <t>Formwork</t>
  </si>
  <si>
    <t>- Bases (Vertical ) Rough) =</t>
  </si>
  <si>
    <t>- Stub-Columns (Vertical ) Smooth) =</t>
  </si>
  <si>
    <t>Pockets</t>
  </si>
  <si>
    <t>HD Bolts (M30) =</t>
  </si>
  <si>
    <t>Chamfers</t>
  </si>
  <si>
    <t>Blinding =</t>
  </si>
  <si>
    <t>- Bases =</t>
  </si>
  <si>
    <t>- Stub-Columns =</t>
  </si>
  <si>
    <t>Finishing (Steel Float) =</t>
  </si>
  <si>
    <t>Epoxy</t>
  </si>
  <si>
    <t>- HD Bolts</t>
  </si>
  <si>
    <t>- B/Plates</t>
  </si>
  <si>
    <t>B/Fill (Soilcrete) =</t>
  </si>
  <si>
    <t xml:space="preserve">Concrete 30 Mpa </t>
  </si>
  <si>
    <t>Structural Steelwork</t>
  </si>
  <si>
    <t>Beams</t>
  </si>
  <si>
    <t>Total Length</t>
  </si>
  <si>
    <t>Type</t>
  </si>
  <si>
    <t>kg/m</t>
  </si>
  <si>
    <t xml:space="preserve">T/Weight </t>
  </si>
  <si>
    <t>kg</t>
  </si>
  <si>
    <t>Total Weight</t>
  </si>
  <si>
    <t>Piperack</t>
  </si>
  <si>
    <t>t/m</t>
  </si>
  <si>
    <t>H-Section</t>
  </si>
  <si>
    <t>Bracing</t>
  </si>
  <si>
    <t>Bays</t>
  </si>
  <si>
    <t>Bracing (Length)</t>
  </si>
  <si>
    <t>No of bracing /bay</t>
  </si>
  <si>
    <t>Main Beams</t>
  </si>
  <si>
    <t>Intermediate Beams</t>
  </si>
  <si>
    <t>Universal Beams</t>
  </si>
  <si>
    <t>203 x 203 x 46</t>
  </si>
  <si>
    <t>254 x 146 x 31</t>
  </si>
  <si>
    <t>Angles</t>
  </si>
  <si>
    <t>80 x 80 x 8</t>
  </si>
  <si>
    <t>tons</t>
  </si>
  <si>
    <t>Profile</t>
  </si>
  <si>
    <t>Handrails</t>
  </si>
  <si>
    <t>Kicker Plates</t>
  </si>
  <si>
    <t>Mentis Grating</t>
  </si>
  <si>
    <t xml:space="preserve">PIPE RACK 1 </t>
  </si>
  <si>
    <t>PIPE RACK 2</t>
  </si>
  <si>
    <t>PIPE RACK 3</t>
  </si>
  <si>
    <t>PIPE RACK 4</t>
  </si>
  <si>
    <t>PIPE RACK 5</t>
  </si>
  <si>
    <t>PIPE RACK 6</t>
  </si>
  <si>
    <t>PIPE RACK 7</t>
  </si>
  <si>
    <t>PIPE RACK 8</t>
  </si>
  <si>
    <t>PIPE RACK 9</t>
  </si>
  <si>
    <t>PIPE RACK 10</t>
  </si>
  <si>
    <t>PIPE RACK 11</t>
  </si>
  <si>
    <t>PIPE RACK 12</t>
  </si>
  <si>
    <t>Staircases</t>
  </si>
  <si>
    <t xml:space="preserve">Width = </t>
  </si>
  <si>
    <t>Maximum height of staircase threads</t>
  </si>
  <si>
    <t>Height of staircase</t>
  </si>
  <si>
    <t>Number of staircase threads</t>
  </si>
  <si>
    <t>PFC 200 x 75</t>
  </si>
  <si>
    <t>Total length</t>
  </si>
  <si>
    <t>Weight per m</t>
  </si>
  <si>
    <t>Height of beam</t>
  </si>
  <si>
    <t>% Factor - Base plates / Connections</t>
  </si>
  <si>
    <t xml:space="preserve">Total Weight </t>
  </si>
  <si>
    <t>H Section : 203 x 203 x 46</t>
  </si>
  <si>
    <t>Staircase Threads</t>
  </si>
  <si>
    <t xml:space="preserve">Handrails </t>
  </si>
  <si>
    <t>Horisontal</t>
  </si>
  <si>
    <t xml:space="preserve">Sloping </t>
  </si>
  <si>
    <t>Stop Ends</t>
  </si>
  <si>
    <t>Kick Flats</t>
  </si>
  <si>
    <t>Number of Staircases</t>
  </si>
  <si>
    <t>Foundations - Columns</t>
  </si>
  <si>
    <t>Foundations - Front of Staircase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</si>
</sst>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4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right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8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2" borderId="0" xfId="0" applyFont="1" applyFill="1"/>
    <xf numFmtId="0" fontId="5" fillId="2" borderId="0" xfId="0" applyFont="1" applyFill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2" fontId="4" fillId="4" borderId="0" xfId="0" applyNumberFormat="1" applyFont="1" applyFill="1"/>
    <xf numFmtId="0" fontId="4" fillId="4" borderId="0" xfId="0" applyFont="1" applyFill="1"/>
    <xf numFmtId="0" fontId="4" fillId="0" borderId="0" xfId="0" applyFont="1" applyAlignment="1">
      <alignment vertical="center"/>
    </xf>
    <xf numFmtId="0" fontId="5" fillId="4" borderId="0" xfId="0" applyFont="1" applyFill="1"/>
    <xf numFmtId="0" fontId="4" fillId="0" borderId="0" xfId="0" applyFont="1"/>
    <xf numFmtId="0" fontId="3" fillId="0" borderId="0" xfId="0" applyFont="1"/>
    <xf numFmtId="0" fontId="7" fillId="0" borderId="0" xfId="0" applyFont="1"/>
    <xf numFmtId="2" fontId="4" fillId="0" borderId="0" xfId="0" applyNumberFormat="1" applyFont="1"/>
    <xf numFmtId="2" fontId="3" fillId="2" borderId="0" xfId="0" applyNumberFormat="1" applyFont="1" applyFill="1"/>
    <xf numFmtId="0" fontId="8" fillId="2" borderId="0" xfId="0" applyFont="1" applyFill="1"/>
    <xf numFmtId="1" fontId="3" fillId="2" borderId="0" xfId="0" applyNumberFormat="1" applyFont="1" applyFill="1" applyAlignment="1">
      <alignment horizontal="right" indent="2"/>
    </xf>
    <xf numFmtId="0" fontId="9" fillId="0" borderId="0" xfId="0" applyFont="1"/>
    <xf numFmtId="0" fontId="4" fillId="0" borderId="0" xfId="0" quotePrefix="1" applyFont="1"/>
    <xf numFmtId="0" fontId="5" fillId="0" borderId="0" xfId="0" applyFont="1" applyAlignment="1">
      <alignment horizontal="right"/>
    </xf>
    <xf numFmtId="0" fontId="5" fillId="0" borderId="0" xfId="0" applyFont="1"/>
    <xf numFmtId="3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2" fontId="2" fillId="0" borderId="0" xfId="0" applyNumberFormat="1" applyFont="1"/>
    <xf numFmtId="0" fontId="3" fillId="2" borderId="0" xfId="0" applyFont="1" applyFill="1"/>
    <xf numFmtId="0" fontId="2" fillId="0" borderId="0" xfId="0" quotePrefix="1" applyFont="1"/>
    <xf numFmtId="1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3" fillId="6" borderId="0" xfId="0" applyFont="1" applyFill="1"/>
    <xf numFmtId="3" fontId="3" fillId="6" borderId="0" xfId="0" applyNumberFormat="1" applyFont="1" applyFill="1" applyAlignment="1">
      <alignment horizontal="right"/>
    </xf>
    <xf numFmtId="2" fontId="3" fillId="6" borderId="0" xfId="0" applyNumberFormat="1" applyFont="1" applyFill="1" applyAlignment="1">
      <alignment horizontal="right"/>
    </xf>
    <xf numFmtId="0" fontId="3" fillId="0" borderId="7" xfId="0" applyFont="1" applyBorder="1"/>
    <xf numFmtId="1" fontId="2" fillId="0" borderId="7" xfId="0" applyNumberFormat="1" applyFont="1" applyBorder="1" applyAlignment="1">
      <alignment horizontal="right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2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" fontId="11" fillId="0" borderId="0" xfId="0" applyNumberFormat="1" applyFont="1"/>
    <xf numFmtId="9" fontId="11" fillId="0" borderId="0" xfId="1" applyFont="1"/>
    <xf numFmtId="2" fontId="10" fillId="0" borderId="0" xfId="0" applyNumberFormat="1" applyFont="1"/>
    <xf numFmtId="2" fontId="11" fillId="6" borderId="0" xfId="0" applyNumberFormat="1" applyFont="1" applyFill="1"/>
    <xf numFmtId="0" fontId="11" fillId="6" borderId="0" xfId="0" applyFont="1" applyFill="1"/>
    <xf numFmtId="2" fontId="10" fillId="6" borderId="0" xfId="0" applyNumberFormat="1" applyFont="1" applyFill="1"/>
    <xf numFmtId="0" fontId="10" fillId="6" borderId="0" xfId="0" applyFont="1" applyFill="1"/>
    <xf numFmtId="1" fontId="11" fillId="6" borderId="0" xfId="0" applyNumberFormat="1" applyFont="1" applyFill="1"/>
    <xf numFmtId="164" fontId="3" fillId="2" borderId="0" xfId="0" applyNumberFormat="1" applyFont="1" applyFill="1" applyAlignment="1">
      <alignment horizontal="right" indent="2"/>
    </xf>
    <xf numFmtId="1" fontId="3" fillId="4" borderId="0" xfId="0" applyNumberFormat="1" applyFont="1" applyFill="1" applyAlignment="1">
      <alignment horizontal="right" indent="2"/>
    </xf>
    <xf numFmtId="0" fontId="8" fillId="4" borderId="0" xfId="0" applyFont="1" applyFill="1"/>
    <xf numFmtId="0" fontId="3" fillId="4" borderId="0" xfId="0" applyFont="1" applyFill="1"/>
    <xf numFmtId="0" fontId="11" fillId="4" borderId="0" xfId="0" applyFont="1" applyFill="1"/>
    <xf numFmtId="164" fontId="3" fillId="4" borderId="0" xfId="0" applyNumberFormat="1" applyFont="1" applyFill="1" applyAlignment="1">
      <alignment horizontal="right" indent="2"/>
    </xf>
    <xf numFmtId="2" fontId="3" fillId="4" borderId="0" xfId="0" applyNumberFormat="1" applyFont="1" applyFill="1"/>
    <xf numFmtId="2" fontId="3" fillId="4" borderId="0" xfId="0" applyNumberFormat="1" applyFont="1" applyFill="1" applyAlignment="1">
      <alignment horizontal="right" indent="2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19</xdr:row>
      <xdr:rowOff>175260</xdr:rowOff>
    </xdr:from>
    <xdr:to>
      <xdr:col>12</xdr:col>
      <xdr:colOff>358140</xdr:colOff>
      <xdr:row>24</xdr:row>
      <xdr:rowOff>137160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96F934D-879A-A77B-7A98-0DE671A39AD4}"/>
            </a:ext>
          </a:extLst>
        </xdr:cNvPr>
        <xdr:cNvCxnSpPr/>
      </xdr:nvCxnSpPr>
      <xdr:spPr>
        <a:xfrm>
          <a:off x="6743700" y="1409700"/>
          <a:ext cx="960120" cy="9906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17</xdr:row>
      <xdr:rowOff>22860</xdr:rowOff>
    </xdr:from>
    <xdr:to>
      <xdr:col>16</xdr:col>
      <xdr:colOff>312420</xdr:colOff>
      <xdr:row>21</xdr:row>
      <xdr:rowOff>114300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EFD0642-13C3-99AA-B386-C045615317CD}"/>
            </a:ext>
          </a:extLst>
        </xdr:cNvPr>
        <xdr:cNvCxnSpPr/>
      </xdr:nvCxnSpPr>
      <xdr:spPr>
        <a:xfrm>
          <a:off x="9182100" y="845820"/>
          <a:ext cx="914400" cy="914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</xdr:colOff>
      <xdr:row>17</xdr:row>
      <xdr:rowOff>30480</xdr:rowOff>
    </xdr:from>
    <xdr:to>
      <xdr:col>15</xdr:col>
      <xdr:colOff>15240</xdr:colOff>
      <xdr:row>19</xdr:row>
      <xdr:rowOff>190500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3D9323E-BC72-B0F1-3C69-FC335E1B250A}"/>
            </a:ext>
          </a:extLst>
        </xdr:cNvPr>
        <xdr:cNvCxnSpPr/>
      </xdr:nvCxnSpPr>
      <xdr:spPr>
        <a:xfrm flipV="1">
          <a:off x="6751320" y="853440"/>
          <a:ext cx="2438400" cy="5715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342900</xdr:colOff>
      <xdr:row>21</xdr:row>
      <xdr:rowOff>121920</xdr:rowOff>
    </xdr:from>
    <xdr:to>
      <xdr:col>16</xdr:col>
      <xdr:colOff>327660</xdr:colOff>
      <xdr:row>24</xdr:row>
      <xdr:rowOff>114300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69E7583-18EA-59C1-C3FC-6DFC61EF749C}"/>
            </a:ext>
          </a:extLst>
        </xdr:cNvPr>
        <xdr:cNvCxnSpPr/>
      </xdr:nvCxnSpPr>
      <xdr:spPr>
        <a:xfrm flipV="1">
          <a:off x="7642860" y="1767840"/>
          <a:ext cx="2423160" cy="6096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19</xdr:row>
      <xdr:rowOff>190500</xdr:rowOff>
    </xdr:from>
    <xdr:to>
      <xdr:col>11</xdr:col>
      <xdr:colOff>15240</xdr:colOff>
      <xdr:row>30</xdr:row>
      <xdr:rowOff>121920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93FB84B-E4D6-7DD9-961A-8BE1FA7E5BA3}"/>
            </a:ext>
          </a:extLst>
        </xdr:cNvPr>
        <xdr:cNvCxnSpPr/>
      </xdr:nvCxnSpPr>
      <xdr:spPr>
        <a:xfrm>
          <a:off x="6743700" y="1424940"/>
          <a:ext cx="7620" cy="219456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24</xdr:row>
      <xdr:rowOff>68580</xdr:rowOff>
    </xdr:from>
    <xdr:to>
      <xdr:col>12</xdr:col>
      <xdr:colOff>342900</xdr:colOff>
      <xdr:row>28</xdr:row>
      <xdr:rowOff>198120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FB69895-84A0-98D4-1F4C-2DA1A283AE52}"/>
            </a:ext>
          </a:extLst>
        </xdr:cNvPr>
        <xdr:cNvCxnSpPr/>
      </xdr:nvCxnSpPr>
      <xdr:spPr>
        <a:xfrm>
          <a:off x="6736080" y="2331720"/>
          <a:ext cx="952500" cy="9525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342900</xdr:colOff>
      <xdr:row>26</xdr:row>
      <xdr:rowOff>22860</xdr:rowOff>
    </xdr:from>
    <xdr:to>
      <xdr:col>16</xdr:col>
      <xdr:colOff>335280</xdr:colOff>
      <xdr:row>28</xdr:row>
      <xdr:rowOff>182880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889A1D5-6B9B-8D6C-4010-FFF49F4B3BE7}"/>
            </a:ext>
          </a:extLst>
        </xdr:cNvPr>
        <xdr:cNvCxnSpPr/>
      </xdr:nvCxnSpPr>
      <xdr:spPr>
        <a:xfrm flipV="1">
          <a:off x="7688580" y="2697480"/>
          <a:ext cx="2430780" cy="5715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342900</xdr:colOff>
      <xdr:row>24</xdr:row>
      <xdr:rowOff>129540</xdr:rowOff>
    </xdr:from>
    <xdr:to>
      <xdr:col>12</xdr:col>
      <xdr:colOff>350520</xdr:colOff>
      <xdr:row>35</xdr:row>
      <xdr:rowOff>60960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FC307344-FCED-E022-27CE-8A846888640F}"/>
            </a:ext>
          </a:extLst>
        </xdr:cNvPr>
        <xdr:cNvCxnSpPr/>
      </xdr:nvCxnSpPr>
      <xdr:spPr>
        <a:xfrm>
          <a:off x="7688580" y="2392680"/>
          <a:ext cx="7620" cy="219456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17</xdr:row>
      <xdr:rowOff>38100</xdr:rowOff>
    </xdr:from>
    <xdr:to>
      <xdr:col>15</xdr:col>
      <xdr:colOff>15240</xdr:colOff>
      <xdr:row>27</xdr:row>
      <xdr:rowOff>175260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6937D6B-93A4-ADC3-B438-7174662A2DCB}"/>
            </a:ext>
          </a:extLst>
        </xdr:cNvPr>
        <xdr:cNvCxnSpPr/>
      </xdr:nvCxnSpPr>
      <xdr:spPr>
        <a:xfrm>
          <a:off x="9182100" y="861060"/>
          <a:ext cx="7620" cy="219456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320040</xdr:colOff>
      <xdr:row>21</xdr:row>
      <xdr:rowOff>106680</xdr:rowOff>
    </xdr:from>
    <xdr:to>
      <xdr:col>16</xdr:col>
      <xdr:colOff>327660</xdr:colOff>
      <xdr:row>32</xdr:row>
      <xdr:rowOff>38100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29C32D66-9E26-19FF-2FE2-61918B8F761E}"/>
            </a:ext>
          </a:extLst>
        </xdr:cNvPr>
        <xdr:cNvCxnSpPr/>
      </xdr:nvCxnSpPr>
      <xdr:spPr>
        <a:xfrm>
          <a:off x="10104120" y="1752600"/>
          <a:ext cx="7620" cy="219456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22860</xdr:colOff>
      <xdr:row>21</xdr:row>
      <xdr:rowOff>129540</xdr:rowOff>
    </xdr:from>
    <xdr:to>
      <xdr:col>15</xdr:col>
      <xdr:colOff>30480</xdr:colOff>
      <xdr:row>24</xdr:row>
      <xdr:rowOff>60960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CA0CA9B7-0540-0383-DFB2-BECC722A0A53}"/>
            </a:ext>
          </a:extLst>
        </xdr:cNvPr>
        <xdr:cNvCxnSpPr/>
      </xdr:nvCxnSpPr>
      <xdr:spPr>
        <a:xfrm flipV="1">
          <a:off x="6873240" y="1775460"/>
          <a:ext cx="2621280" cy="54864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21</xdr:row>
      <xdr:rowOff>106680</xdr:rowOff>
    </xdr:from>
    <xdr:to>
      <xdr:col>16</xdr:col>
      <xdr:colOff>342900</xdr:colOff>
      <xdr:row>26</xdr:row>
      <xdr:rowOff>30480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8FF4DAB-D645-AC2C-D599-4DB17B925E35}"/>
            </a:ext>
          </a:extLst>
        </xdr:cNvPr>
        <xdr:cNvCxnSpPr/>
      </xdr:nvCxnSpPr>
      <xdr:spPr>
        <a:xfrm>
          <a:off x="9174480" y="1752600"/>
          <a:ext cx="952500" cy="9525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20</xdr:row>
      <xdr:rowOff>0</xdr:rowOff>
    </xdr:from>
    <xdr:to>
      <xdr:col>9</xdr:col>
      <xdr:colOff>7620</xdr:colOff>
      <xdr:row>30</xdr:row>
      <xdr:rowOff>99060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B4FEDE8B-33AC-5B85-69B8-992852C64739}"/>
            </a:ext>
          </a:extLst>
        </xdr:cNvPr>
        <xdr:cNvCxnSpPr/>
      </xdr:nvCxnSpPr>
      <xdr:spPr>
        <a:xfrm>
          <a:off x="5516880" y="1440180"/>
          <a:ext cx="7620" cy="21564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7620</xdr:rowOff>
    </xdr:from>
    <xdr:to>
      <xdr:col>10</xdr:col>
      <xdr:colOff>7620</xdr:colOff>
      <xdr:row>24</xdr:row>
      <xdr:rowOff>99060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D03851D7-51CA-D18C-8E06-7F224EC63DF3}"/>
            </a:ext>
          </a:extLst>
        </xdr:cNvPr>
        <xdr:cNvCxnSpPr/>
      </xdr:nvCxnSpPr>
      <xdr:spPr>
        <a:xfrm flipH="1">
          <a:off x="5753100" y="1447800"/>
          <a:ext cx="7620" cy="9144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228600</xdr:colOff>
      <xdr:row>24</xdr:row>
      <xdr:rowOff>83820</xdr:rowOff>
    </xdr:from>
    <xdr:to>
      <xdr:col>10</xdr:col>
      <xdr:colOff>0</xdr:colOff>
      <xdr:row>30</xdr:row>
      <xdr:rowOff>99060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3165850F-0BA6-1E03-6C5C-7056B9224781}"/>
            </a:ext>
          </a:extLst>
        </xdr:cNvPr>
        <xdr:cNvCxnSpPr/>
      </xdr:nvCxnSpPr>
      <xdr:spPr>
        <a:xfrm>
          <a:off x="5745480" y="2346960"/>
          <a:ext cx="7620" cy="12496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31</xdr:row>
      <xdr:rowOff>175260</xdr:rowOff>
    </xdr:from>
    <xdr:to>
      <xdr:col>16</xdr:col>
      <xdr:colOff>335280</xdr:colOff>
      <xdr:row>35</xdr:row>
      <xdr:rowOff>60960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6B1F9B73-DA48-43E0-6506-16F529463A05}"/>
            </a:ext>
          </a:extLst>
        </xdr:cNvPr>
        <xdr:cNvCxnSpPr/>
      </xdr:nvCxnSpPr>
      <xdr:spPr>
        <a:xfrm flipV="1">
          <a:off x="7680960" y="3878580"/>
          <a:ext cx="2392680" cy="7086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297180</xdr:colOff>
      <xdr:row>16</xdr:row>
      <xdr:rowOff>121920</xdr:rowOff>
    </xdr:from>
    <xdr:to>
      <xdr:col>16</xdr:col>
      <xdr:colOff>601980</xdr:colOff>
      <xdr:row>21</xdr:row>
      <xdr:rowOff>7620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A3C746B1-8C70-04FF-AF86-F618921B6E23}"/>
            </a:ext>
          </a:extLst>
        </xdr:cNvPr>
        <xdr:cNvCxnSpPr/>
      </xdr:nvCxnSpPr>
      <xdr:spPr>
        <a:xfrm>
          <a:off x="9311640" y="739140"/>
          <a:ext cx="914400" cy="9144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449580</xdr:colOff>
      <xdr:row>37</xdr:row>
      <xdr:rowOff>15241</xdr:rowOff>
    </xdr:from>
    <xdr:to>
      <xdr:col>17</xdr:col>
      <xdr:colOff>464819</xdr:colOff>
      <xdr:row>49</xdr:row>
      <xdr:rowOff>39525</xdr:rowOff>
    </xdr:to>
    <xdr:pic>
      <xdr:nvPicPr>
        <xdr:cNvPr id="55" name="Picture 54" descr="Pipe Rack Design and Calculations - Make Piping Easy">
          <a:extLst>
            <a:ext uri="{FF2B5EF4-FFF2-40B4-BE49-F238E27FC236}">
              <a16:creationId xmlns:a16="http://schemas.microsoft.com/office/drawing/2014/main" id="{57FCE370-8A17-ED9B-B81F-77D74D535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4800601"/>
          <a:ext cx="2514600" cy="1632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579120</xdr:colOff>
      <xdr:row>18</xdr:row>
      <xdr:rowOff>99060</xdr:rowOff>
    </xdr:from>
    <xdr:to>
      <xdr:col>14</xdr:col>
      <xdr:colOff>350520</xdr:colOff>
      <xdr:row>23</xdr:row>
      <xdr:rowOff>30480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786E475D-A4FA-C580-C7D8-2CBB9B454A6E}"/>
            </a:ext>
          </a:extLst>
        </xdr:cNvPr>
        <xdr:cNvCxnSpPr/>
      </xdr:nvCxnSpPr>
      <xdr:spPr>
        <a:xfrm>
          <a:off x="7879080" y="1127760"/>
          <a:ext cx="990600" cy="96012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594360</xdr:colOff>
      <xdr:row>22</xdr:row>
      <xdr:rowOff>175260</xdr:rowOff>
    </xdr:from>
    <xdr:to>
      <xdr:col>14</xdr:col>
      <xdr:colOff>365760</xdr:colOff>
      <xdr:row>27</xdr:row>
      <xdr:rowOff>106680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69D457C4-285B-39B5-5EED-CA45D5F3C219}"/>
            </a:ext>
          </a:extLst>
        </xdr:cNvPr>
        <xdr:cNvCxnSpPr/>
      </xdr:nvCxnSpPr>
      <xdr:spPr>
        <a:xfrm>
          <a:off x="7894320" y="2026920"/>
          <a:ext cx="990600" cy="96012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20</xdr:row>
      <xdr:rowOff>0</xdr:rowOff>
    </xdr:from>
    <xdr:to>
      <xdr:col>16</xdr:col>
      <xdr:colOff>274320</xdr:colOff>
      <xdr:row>21</xdr:row>
      <xdr:rowOff>106680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56EEBAE-3D19-D711-5650-987251097B91}"/>
            </a:ext>
          </a:extLst>
        </xdr:cNvPr>
        <xdr:cNvCxnSpPr/>
      </xdr:nvCxnSpPr>
      <xdr:spPr>
        <a:xfrm>
          <a:off x="6614160" y="1440180"/>
          <a:ext cx="3398520" cy="312420"/>
        </a:xfrm>
        <a:prstGeom prst="line">
          <a:avLst/>
        </a:prstGeom>
        <a:ln w="63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30480</xdr:rowOff>
    </xdr:from>
    <xdr:to>
      <xdr:col>14</xdr:col>
      <xdr:colOff>594360</xdr:colOff>
      <xdr:row>24</xdr:row>
      <xdr:rowOff>114300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DBBCAC85-3457-7EAA-490D-0682630B6019}"/>
            </a:ext>
          </a:extLst>
        </xdr:cNvPr>
        <xdr:cNvCxnSpPr/>
      </xdr:nvCxnSpPr>
      <xdr:spPr>
        <a:xfrm flipV="1">
          <a:off x="7566660" y="853440"/>
          <a:ext cx="1546860" cy="1524000"/>
        </a:xfrm>
        <a:prstGeom prst="line">
          <a:avLst/>
        </a:prstGeom>
        <a:ln w="952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312420</xdr:colOff>
      <xdr:row>21</xdr:row>
      <xdr:rowOff>91440</xdr:rowOff>
    </xdr:from>
    <xdr:to>
      <xdr:col>15</xdr:col>
      <xdr:colOff>30480</xdr:colOff>
      <xdr:row>28</xdr:row>
      <xdr:rowOff>175260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EFBE1DE2-BD5A-DFEF-11B6-C3D3F51C9312}"/>
            </a:ext>
          </a:extLst>
        </xdr:cNvPr>
        <xdr:cNvCxnSpPr/>
      </xdr:nvCxnSpPr>
      <xdr:spPr>
        <a:xfrm flipV="1">
          <a:off x="7612380" y="1737360"/>
          <a:ext cx="1546860" cy="1524000"/>
        </a:xfrm>
        <a:prstGeom prst="line">
          <a:avLst/>
        </a:prstGeom>
        <a:ln w="952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22860</xdr:colOff>
      <xdr:row>24</xdr:row>
      <xdr:rowOff>68580</xdr:rowOff>
    </xdr:from>
    <xdr:to>
      <xdr:col>16</xdr:col>
      <xdr:colOff>259080</xdr:colOff>
      <xdr:row>25</xdr:row>
      <xdr:rowOff>175260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14FEC074-F885-4D98-22FB-7AD0B6626403}"/>
            </a:ext>
          </a:extLst>
        </xdr:cNvPr>
        <xdr:cNvCxnSpPr/>
      </xdr:nvCxnSpPr>
      <xdr:spPr>
        <a:xfrm>
          <a:off x="6598920" y="2331720"/>
          <a:ext cx="3398520" cy="312420"/>
        </a:xfrm>
        <a:prstGeom prst="line">
          <a:avLst/>
        </a:prstGeom>
        <a:ln w="952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434340</xdr:colOff>
      <xdr:row>18</xdr:row>
      <xdr:rowOff>160020</xdr:rowOff>
    </xdr:from>
    <xdr:to>
      <xdr:col>15</xdr:col>
      <xdr:colOff>342900</xdr:colOff>
      <xdr:row>21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90CB362-AD66-0604-1809-38C17B0EF40A}"/>
            </a:ext>
          </a:extLst>
        </xdr:cNvPr>
        <xdr:cNvCxnSpPr/>
      </xdr:nvCxnSpPr>
      <xdr:spPr>
        <a:xfrm flipV="1">
          <a:off x="7284720" y="1188720"/>
          <a:ext cx="2522220" cy="60960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701040</xdr:colOff>
      <xdr:row>20</xdr:row>
      <xdr:rowOff>15240</xdr:rowOff>
    </xdr:from>
    <xdr:to>
      <xdr:col>11</xdr:col>
      <xdr:colOff>312420</xdr:colOff>
      <xdr:row>22</xdr:row>
      <xdr:rowOff>22860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68456DD-EB80-EC16-B616-9B42701C6A9E}"/>
            </a:ext>
          </a:extLst>
        </xdr:cNvPr>
        <xdr:cNvCxnSpPr/>
      </xdr:nvCxnSpPr>
      <xdr:spPr>
        <a:xfrm>
          <a:off x="6667500" y="1455420"/>
          <a:ext cx="495300" cy="419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8</xdr:row>
      <xdr:rowOff>15240</xdr:rowOff>
    </xdr:from>
    <xdr:to>
      <xdr:col>2</xdr:col>
      <xdr:colOff>1569720</xdr:colOff>
      <xdr:row>12</xdr:row>
      <xdr:rowOff>167640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522DD67-0173-4418-2414-42D69F52B665}"/>
            </a:ext>
          </a:extLst>
        </xdr:cNvPr>
        <xdr:cNvCxnSpPr/>
      </xdr:nvCxnSpPr>
      <xdr:spPr>
        <a:xfrm flipV="1">
          <a:off x="1211580" y="746760"/>
          <a:ext cx="1577340" cy="8839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</xdr:colOff>
      <xdr:row>8</xdr:row>
      <xdr:rowOff>0</xdr:rowOff>
    </xdr:from>
    <xdr:to>
      <xdr:col>4</xdr:col>
      <xdr:colOff>7620</xdr:colOff>
      <xdr:row>8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9381172-60F8-CEF4-200E-14A4A07B3102}"/>
            </a:ext>
          </a:extLst>
        </xdr:cNvPr>
        <xdr:cNvCxnSpPr/>
      </xdr:nvCxnSpPr>
      <xdr:spPr>
        <a:xfrm>
          <a:off x="2811780" y="731520"/>
          <a:ext cx="609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</xdr:row>
      <xdr:rowOff>175260</xdr:rowOff>
    </xdr:from>
    <xdr:to>
      <xdr:col>5</xdr:col>
      <xdr:colOff>0</xdr:colOff>
      <xdr:row>8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2F795B6-36F3-1960-8026-76423F010CDE}"/>
            </a:ext>
          </a:extLst>
        </xdr:cNvPr>
        <xdr:cNvCxnSpPr/>
      </xdr:nvCxnSpPr>
      <xdr:spPr>
        <a:xfrm flipV="1">
          <a:off x="3413760" y="175260"/>
          <a:ext cx="1691640" cy="922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2</xdr:row>
      <xdr:rowOff>160020</xdr:rowOff>
    </xdr:from>
    <xdr:to>
      <xdr:col>6</xdr:col>
      <xdr:colOff>22860</xdr:colOff>
      <xdr:row>2</xdr:row>
      <xdr:rowOff>167640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1746F80-0007-AE0E-2A32-E896D17803FA}"/>
            </a:ext>
          </a:extLst>
        </xdr:cNvPr>
        <xdr:cNvCxnSpPr/>
      </xdr:nvCxnSpPr>
      <xdr:spPr>
        <a:xfrm>
          <a:off x="5120640" y="160020"/>
          <a:ext cx="61722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</xdr:colOff>
      <xdr:row>8</xdr:row>
      <xdr:rowOff>15240</xdr:rowOff>
    </xdr:from>
    <xdr:to>
      <xdr:col>3</xdr:col>
      <xdr:colOff>7620</xdr:colOff>
      <xdr:row>13</xdr:row>
      <xdr:rowOff>15240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BB077BC-CA16-D6BC-5F3B-099D52F3CD12}"/>
            </a:ext>
          </a:extLst>
        </xdr:cNvPr>
        <xdr:cNvCxnSpPr/>
      </xdr:nvCxnSpPr>
      <xdr:spPr>
        <a:xfrm>
          <a:off x="4122420" y="1234440"/>
          <a:ext cx="0" cy="76200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</xdr:row>
      <xdr:rowOff>30480</xdr:rowOff>
    </xdr:from>
    <xdr:to>
      <xdr:col>4</xdr:col>
      <xdr:colOff>7620</xdr:colOff>
      <xdr:row>13</xdr:row>
      <xdr:rowOff>38100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99F52BA-72FD-0CA4-5312-B8D3EF2EB57C}"/>
            </a:ext>
          </a:extLst>
        </xdr:cNvPr>
        <xdr:cNvCxnSpPr/>
      </xdr:nvCxnSpPr>
      <xdr:spPr>
        <a:xfrm>
          <a:off x="4724400" y="1249680"/>
          <a:ext cx="7620" cy="76962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3</xdr:row>
      <xdr:rowOff>15240</xdr:rowOff>
    </xdr:from>
    <xdr:to>
      <xdr:col>5</xdr:col>
      <xdr:colOff>15240</xdr:colOff>
      <xdr:row>13</xdr:row>
      <xdr:rowOff>30480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389FD7E-0C06-1B0B-6AF4-73463E35CEB7}"/>
            </a:ext>
          </a:extLst>
        </xdr:cNvPr>
        <xdr:cNvCxnSpPr/>
      </xdr:nvCxnSpPr>
      <xdr:spPr>
        <a:xfrm>
          <a:off x="6431280" y="472440"/>
          <a:ext cx="0" cy="153924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3</xdr:row>
      <xdr:rowOff>15240</xdr:rowOff>
    </xdr:from>
    <xdr:to>
      <xdr:col>6</xdr:col>
      <xdr:colOff>7620</xdr:colOff>
      <xdr:row>13</xdr:row>
      <xdr:rowOff>30480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64EA756-3C89-4D29-B099-53035FE1F924}"/>
            </a:ext>
          </a:extLst>
        </xdr:cNvPr>
        <xdr:cNvCxnSpPr/>
      </xdr:nvCxnSpPr>
      <xdr:spPr>
        <a:xfrm>
          <a:off x="7033260" y="472440"/>
          <a:ext cx="0" cy="153924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1322-A0B4-4D79-80B8-3E8C78F280F1}">
  <dimension ref="A1:R79"/>
  <sheetViews>
    <sheetView tabSelected="1" topLeftCell="A26" zoomScale="90" zoomScaleNormal="90" workbookViewId="0">
      <selection activeCell="F59" sqref="F59"/>
    </sheetView>
  </sheetViews>
  <sheetFormatPr defaultRowHeight="10.199999999999999" x14ac:dyDescent="0.2"/>
  <cols>
    <col min="1" max="1" width="8.88671875" style="1"/>
    <col min="2" max="2" width="28.5546875" style="1" customWidth="1"/>
    <col min="3" max="3" width="8.88671875" style="1"/>
    <col min="4" max="4" width="6" style="1" customWidth="1"/>
    <col min="5" max="5" width="8.109375" style="1" customWidth="1"/>
    <col min="6" max="6" width="8.88671875" style="1"/>
    <col min="7" max="7" width="6.44140625" style="1" customWidth="1"/>
    <col min="8" max="8" width="3.109375" style="1" customWidth="1"/>
    <col min="9" max="9" width="8.88671875" style="1"/>
    <col min="10" max="10" width="3.44140625" style="1" customWidth="1"/>
    <col min="11" max="11" width="12.88671875" style="1" customWidth="1"/>
    <col min="12" max="12" width="10.5546875" style="5" customWidth="1"/>
    <col min="13" max="14" width="8.88671875" style="1"/>
    <col min="15" max="15" width="9.77734375" style="1" customWidth="1"/>
    <col min="16" max="16384" width="8.88671875" style="1"/>
  </cols>
  <sheetData>
    <row r="1" spans="1:18" s="2" customFormat="1" ht="16.2" customHeight="1" x14ac:dyDescent="0.3">
      <c r="A1" s="10" t="s">
        <v>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1"/>
      <c r="N1" s="11"/>
      <c r="O1" s="11"/>
      <c r="P1" s="11"/>
      <c r="Q1" s="11"/>
      <c r="R1" s="13"/>
    </row>
    <row r="2" spans="1:18" s="2" customFormat="1" ht="16.2" customHeight="1" x14ac:dyDescent="0.3">
      <c r="A2" s="3"/>
      <c r="B2" s="2" t="s">
        <v>1</v>
      </c>
      <c r="C2" s="14">
        <f>SUM(C4:C15)</f>
        <v>379</v>
      </c>
      <c r="D2" s="15" t="s">
        <v>0</v>
      </c>
      <c r="L2" s="16"/>
      <c r="R2" s="17"/>
    </row>
    <row r="3" spans="1:18" s="2" customFormat="1" ht="7.2" customHeight="1" x14ac:dyDescent="0.3">
      <c r="A3" s="3"/>
      <c r="L3" s="16"/>
      <c r="R3" s="17"/>
    </row>
    <row r="4" spans="1:18" s="2" customFormat="1" ht="16.2" hidden="1" customHeight="1" x14ac:dyDescent="0.3">
      <c r="A4" s="3"/>
      <c r="B4" s="2" t="s">
        <v>71</v>
      </c>
      <c r="C4" s="18">
        <v>22</v>
      </c>
      <c r="D4" s="2" t="s">
        <v>0</v>
      </c>
      <c r="L4" s="16"/>
      <c r="R4" s="17"/>
    </row>
    <row r="5" spans="1:18" s="2" customFormat="1" ht="16.2" hidden="1" customHeight="1" x14ac:dyDescent="0.3">
      <c r="A5" s="3"/>
      <c r="B5" s="2" t="s">
        <v>72</v>
      </c>
      <c r="C5" s="18">
        <v>50</v>
      </c>
      <c r="D5" s="2" t="s">
        <v>0</v>
      </c>
      <c r="L5" s="16"/>
      <c r="R5" s="17"/>
    </row>
    <row r="6" spans="1:18" s="2" customFormat="1" ht="16.2" hidden="1" customHeight="1" x14ac:dyDescent="0.3">
      <c r="A6" s="3"/>
      <c r="B6" s="2" t="s">
        <v>73</v>
      </c>
      <c r="C6" s="18">
        <v>52</v>
      </c>
      <c r="D6" s="2" t="s">
        <v>0</v>
      </c>
      <c r="L6" s="16"/>
      <c r="R6" s="17"/>
    </row>
    <row r="7" spans="1:18" s="2" customFormat="1" ht="16.2" hidden="1" customHeight="1" x14ac:dyDescent="0.3">
      <c r="A7" s="3"/>
      <c r="B7" s="2" t="s">
        <v>74</v>
      </c>
      <c r="C7" s="18">
        <v>34</v>
      </c>
      <c r="D7" s="2" t="s">
        <v>0</v>
      </c>
      <c r="L7" s="16"/>
      <c r="R7" s="17"/>
    </row>
    <row r="8" spans="1:18" s="2" customFormat="1" ht="16.2" hidden="1" customHeight="1" x14ac:dyDescent="0.3">
      <c r="A8" s="3"/>
      <c r="B8" s="2" t="s">
        <v>75</v>
      </c>
      <c r="C8" s="18">
        <v>44</v>
      </c>
      <c r="D8" s="2" t="s">
        <v>0</v>
      </c>
      <c r="L8" s="16"/>
      <c r="R8" s="17"/>
    </row>
    <row r="9" spans="1:18" s="2" customFormat="1" ht="16.2" hidden="1" customHeight="1" x14ac:dyDescent="0.3">
      <c r="A9" s="3"/>
      <c r="B9" s="2" t="s">
        <v>76</v>
      </c>
      <c r="C9" s="18">
        <v>28.5</v>
      </c>
      <c r="D9" s="2" t="s">
        <v>0</v>
      </c>
      <c r="L9" s="16"/>
      <c r="R9" s="17"/>
    </row>
    <row r="10" spans="1:18" s="2" customFormat="1" ht="16.2" hidden="1" customHeight="1" x14ac:dyDescent="0.3">
      <c r="A10" s="3"/>
      <c r="B10" s="2" t="s">
        <v>77</v>
      </c>
      <c r="C10" s="18">
        <v>67</v>
      </c>
      <c r="D10" s="2" t="s">
        <v>0</v>
      </c>
      <c r="L10" s="16"/>
      <c r="R10" s="17"/>
    </row>
    <row r="11" spans="1:18" s="2" customFormat="1" ht="16.2" hidden="1" customHeight="1" x14ac:dyDescent="0.3">
      <c r="A11" s="3"/>
      <c r="B11" s="2" t="s">
        <v>78</v>
      </c>
      <c r="C11" s="18">
        <v>28</v>
      </c>
      <c r="D11" s="2" t="s">
        <v>0</v>
      </c>
      <c r="L11" s="16"/>
      <c r="R11" s="17"/>
    </row>
    <row r="12" spans="1:18" s="2" customFormat="1" ht="16.2" hidden="1" customHeight="1" x14ac:dyDescent="0.3">
      <c r="A12" s="3"/>
      <c r="B12" s="2" t="s">
        <v>79</v>
      </c>
      <c r="C12" s="18">
        <v>2.5</v>
      </c>
      <c r="D12" s="2" t="s">
        <v>0</v>
      </c>
      <c r="L12" s="16"/>
      <c r="R12" s="17"/>
    </row>
    <row r="13" spans="1:18" s="2" customFormat="1" ht="16.2" hidden="1" customHeight="1" x14ac:dyDescent="0.3">
      <c r="A13" s="3"/>
      <c r="B13" s="2" t="s">
        <v>80</v>
      </c>
      <c r="C13" s="18">
        <v>17</v>
      </c>
      <c r="D13" s="2" t="s">
        <v>0</v>
      </c>
      <c r="L13" s="16"/>
      <c r="R13" s="17"/>
    </row>
    <row r="14" spans="1:18" s="2" customFormat="1" ht="16.2" hidden="1" customHeight="1" x14ac:dyDescent="0.3">
      <c r="A14" s="3"/>
      <c r="B14" s="2" t="s">
        <v>81</v>
      </c>
      <c r="C14" s="18">
        <v>17</v>
      </c>
      <c r="D14" s="2" t="s">
        <v>0</v>
      </c>
      <c r="L14" s="16"/>
      <c r="R14" s="17"/>
    </row>
    <row r="15" spans="1:18" s="2" customFormat="1" ht="16.2" hidden="1" customHeight="1" x14ac:dyDescent="0.3">
      <c r="A15" s="3"/>
      <c r="B15" s="2" t="s">
        <v>82</v>
      </c>
      <c r="C15" s="18">
        <v>17</v>
      </c>
      <c r="D15" s="2" t="s">
        <v>0</v>
      </c>
      <c r="L15" s="16"/>
      <c r="R15" s="17"/>
    </row>
    <row r="16" spans="1:18" s="2" customFormat="1" ht="16.2" customHeight="1" x14ac:dyDescent="0.3">
      <c r="A16" s="3"/>
      <c r="B16" s="2" t="s">
        <v>10</v>
      </c>
      <c r="C16" s="19">
        <v>6</v>
      </c>
      <c r="D16" s="2" t="s">
        <v>11</v>
      </c>
      <c r="L16" s="16"/>
      <c r="R16" s="17"/>
    </row>
    <row r="17" spans="1:18" s="2" customFormat="1" ht="16.2" customHeight="1" x14ac:dyDescent="0.3">
      <c r="A17" s="3"/>
      <c r="L17" s="16"/>
      <c r="R17" s="17"/>
    </row>
    <row r="18" spans="1:18" s="2" customFormat="1" ht="16.2" customHeight="1" x14ac:dyDescent="0.3">
      <c r="A18" s="20" t="s">
        <v>12</v>
      </c>
      <c r="I18" s="3"/>
      <c r="J18" s="21" t="s">
        <v>44</v>
      </c>
      <c r="L18" s="16"/>
      <c r="R18" s="17"/>
    </row>
    <row r="19" spans="1:18" s="2" customFormat="1" ht="16.2" customHeight="1" x14ac:dyDescent="0.2">
      <c r="A19" s="3"/>
      <c r="C19" s="1"/>
      <c r="D19" s="1"/>
      <c r="E19" s="1"/>
      <c r="F19" s="1"/>
      <c r="G19" s="1"/>
      <c r="H19" s="1"/>
      <c r="I19" s="3"/>
      <c r="L19" s="16"/>
      <c r="Q19" s="2">
        <f>C20-1.2</f>
        <v>3</v>
      </c>
      <c r="R19" s="17"/>
    </row>
    <row r="20" spans="1:18" s="2" customFormat="1" ht="16.2" customHeight="1" x14ac:dyDescent="0.2">
      <c r="A20" s="3"/>
      <c r="B20" s="22" t="s">
        <v>14</v>
      </c>
      <c r="C20" s="23">
        <v>4.2</v>
      </c>
      <c r="D20" s="22" t="s">
        <v>0</v>
      </c>
      <c r="E20" s="1"/>
      <c r="F20" s="1"/>
      <c r="G20" s="1"/>
      <c r="H20" s="1"/>
      <c r="I20" s="3"/>
      <c r="L20" s="16"/>
      <c r="R20" s="17"/>
    </row>
    <row r="21" spans="1:18" s="2" customFormat="1" ht="16.2" customHeight="1" x14ac:dyDescent="0.2">
      <c r="A21" s="3"/>
      <c r="B21" s="22" t="s">
        <v>13</v>
      </c>
      <c r="C21" s="23">
        <v>1.75</v>
      </c>
      <c r="D21" s="22" t="s">
        <v>0</v>
      </c>
      <c r="E21" s="1"/>
      <c r="F21" s="1"/>
      <c r="G21" s="1"/>
      <c r="H21" s="1"/>
      <c r="I21" s="3"/>
      <c r="L21" s="16"/>
      <c r="R21" s="17"/>
    </row>
    <row r="22" spans="1:18" s="2" customFormat="1" ht="16.2" customHeight="1" x14ac:dyDescent="0.2">
      <c r="A22" s="3"/>
      <c r="B22" s="22" t="s">
        <v>15</v>
      </c>
      <c r="C22" s="23">
        <v>0.4</v>
      </c>
      <c r="D22" s="22" t="s">
        <v>0</v>
      </c>
      <c r="E22" s="1"/>
      <c r="F22" s="1"/>
      <c r="G22" s="1"/>
      <c r="H22" s="1"/>
      <c r="I22" s="3"/>
      <c r="K22" s="2">
        <v>1.2</v>
      </c>
      <c r="L22" s="16"/>
      <c r="R22" s="17"/>
    </row>
    <row r="23" spans="1:18" s="2" customFormat="1" ht="16.2" customHeight="1" x14ac:dyDescent="0.2">
      <c r="A23" s="3"/>
      <c r="B23" s="22" t="s">
        <v>16</v>
      </c>
      <c r="C23" s="23">
        <v>0.6</v>
      </c>
      <c r="D23" s="22" t="s">
        <v>0</v>
      </c>
      <c r="E23" s="1"/>
      <c r="F23" s="1"/>
      <c r="G23" s="1"/>
      <c r="H23" s="1"/>
      <c r="I23" s="3"/>
      <c r="J23" s="24"/>
      <c r="K23" s="25">
        <v>2</v>
      </c>
      <c r="L23" s="16"/>
      <c r="R23" s="17"/>
    </row>
    <row r="24" spans="1:18" s="2" customFormat="1" ht="16.2" customHeight="1" x14ac:dyDescent="0.2">
      <c r="A24" s="3"/>
      <c r="B24" s="22" t="s">
        <v>17</v>
      </c>
      <c r="C24" s="23">
        <v>0.6</v>
      </c>
      <c r="D24" s="22" t="s">
        <v>0</v>
      </c>
      <c r="E24" s="1"/>
      <c r="F24" s="1"/>
      <c r="G24" s="1"/>
      <c r="H24" s="1"/>
      <c r="I24" s="3"/>
      <c r="L24" s="26"/>
      <c r="R24" s="17"/>
    </row>
    <row r="25" spans="1:18" s="2" customFormat="1" ht="16.2" customHeight="1" x14ac:dyDescent="0.2">
      <c r="A25" s="3"/>
      <c r="B25" s="22"/>
      <c r="C25" s="23"/>
      <c r="D25" s="22"/>
      <c r="E25" s="1"/>
      <c r="F25" s="1"/>
      <c r="G25" s="1"/>
      <c r="H25" s="1"/>
      <c r="I25" s="3">
        <v>6</v>
      </c>
      <c r="L25" s="16"/>
      <c r="R25" s="17"/>
    </row>
    <row r="26" spans="1:18" s="2" customFormat="1" ht="16.2" customHeight="1" x14ac:dyDescent="0.2">
      <c r="A26" s="3"/>
      <c r="B26" s="22" t="s">
        <v>18</v>
      </c>
      <c r="C26" s="23">
        <v>2</v>
      </c>
      <c r="D26" s="22" t="s">
        <v>8</v>
      </c>
      <c r="E26" s="1"/>
      <c r="F26" s="1"/>
      <c r="G26" s="1"/>
      <c r="H26" s="1"/>
      <c r="I26" s="3"/>
      <c r="L26" s="16"/>
      <c r="R26" s="17"/>
    </row>
    <row r="27" spans="1:18" s="2" customFormat="1" ht="16.2" customHeight="1" x14ac:dyDescent="0.2">
      <c r="A27" s="3"/>
      <c r="B27" s="22" t="s">
        <v>19</v>
      </c>
      <c r="C27" s="23">
        <v>0.4</v>
      </c>
      <c r="D27" s="22" t="s">
        <v>0</v>
      </c>
      <c r="E27" s="1"/>
      <c r="F27" s="1"/>
      <c r="G27" s="1"/>
      <c r="H27" s="1"/>
      <c r="I27" s="3"/>
      <c r="L27" s="16"/>
      <c r="R27" s="17"/>
    </row>
    <row r="28" spans="1:18" s="2" customFormat="1" ht="16.2" customHeight="1" x14ac:dyDescent="0.2">
      <c r="A28" s="3"/>
      <c r="B28" s="22" t="s">
        <v>20</v>
      </c>
      <c r="C28" s="23">
        <v>0.4</v>
      </c>
      <c r="D28" s="22" t="s">
        <v>0</v>
      </c>
      <c r="E28" s="1"/>
      <c r="F28" s="1"/>
      <c r="G28" s="1"/>
      <c r="H28" s="1"/>
      <c r="I28" s="3"/>
      <c r="K28" s="25">
        <f>I25-K23</f>
        <v>4</v>
      </c>
      <c r="L28" s="16"/>
      <c r="R28" s="17"/>
    </row>
    <row r="29" spans="1:18" s="2" customFormat="1" ht="16.2" customHeight="1" x14ac:dyDescent="0.2">
      <c r="A29" s="3"/>
      <c r="B29" s="22" t="s">
        <v>21</v>
      </c>
      <c r="C29" s="23">
        <v>0.6</v>
      </c>
      <c r="D29" s="22" t="s">
        <v>0</v>
      </c>
      <c r="E29" s="1"/>
      <c r="F29" s="1"/>
      <c r="G29" s="1"/>
      <c r="H29" s="1"/>
      <c r="I29" s="3"/>
      <c r="L29" s="16"/>
      <c r="R29" s="17"/>
    </row>
    <row r="30" spans="1:18" s="2" customFormat="1" ht="16.2" customHeight="1" x14ac:dyDescent="0.2">
      <c r="A30" s="3"/>
      <c r="B30" s="22" t="s">
        <v>22</v>
      </c>
      <c r="C30" s="23">
        <v>4</v>
      </c>
      <c r="D30" s="22" t="s">
        <v>8</v>
      </c>
      <c r="E30" s="1"/>
      <c r="F30" s="1"/>
      <c r="G30" s="27"/>
      <c r="H30" s="1"/>
      <c r="I30" s="3"/>
      <c r="L30" s="16"/>
      <c r="R30" s="17"/>
    </row>
    <row r="31" spans="1:18" s="2" customFormat="1" ht="16.2" customHeight="1" x14ac:dyDescent="0.2">
      <c r="A31" s="3"/>
      <c r="B31" s="22" t="s">
        <v>23</v>
      </c>
      <c r="C31" s="23">
        <v>110</v>
      </c>
      <c r="D31" s="22"/>
      <c r="E31" s="28" t="s">
        <v>24</v>
      </c>
      <c r="F31" s="28"/>
      <c r="G31" s="2">
        <v>65</v>
      </c>
      <c r="H31" s="29" t="s">
        <v>8</v>
      </c>
      <c r="I31" s="3"/>
      <c r="L31" s="16"/>
      <c r="R31" s="17"/>
    </row>
    <row r="32" spans="1:18" s="2" customFormat="1" ht="16.2" customHeight="1" x14ac:dyDescent="0.2">
      <c r="A32" s="3"/>
      <c r="B32" s="22"/>
      <c r="C32" s="23"/>
      <c r="D32" s="22"/>
      <c r="E32" s="28"/>
      <c r="F32" s="28"/>
      <c r="G32" s="30"/>
      <c r="H32" s="31"/>
      <c r="I32" s="3"/>
      <c r="L32" s="16"/>
      <c r="R32" s="17"/>
    </row>
    <row r="33" spans="1:18" s="2" customFormat="1" ht="16.2" customHeight="1" x14ac:dyDescent="0.2">
      <c r="A33" s="3"/>
      <c r="B33" s="31"/>
      <c r="C33" s="31"/>
      <c r="D33" s="31"/>
      <c r="E33" s="32" t="s">
        <v>25</v>
      </c>
      <c r="F33" s="1"/>
      <c r="G33" s="1"/>
      <c r="H33" s="1"/>
      <c r="I33" s="3"/>
      <c r="L33" s="16"/>
      <c r="R33" s="17"/>
    </row>
    <row r="34" spans="1:18" s="2" customFormat="1" ht="16.2" customHeight="1" x14ac:dyDescent="0.2">
      <c r="A34" s="3"/>
      <c r="B34" s="31"/>
      <c r="C34" s="31"/>
      <c r="D34" s="31"/>
      <c r="E34" s="32"/>
      <c r="F34" s="1"/>
      <c r="G34" s="1"/>
      <c r="H34" s="1"/>
      <c r="I34" s="3"/>
      <c r="L34" s="16"/>
      <c r="O34" s="2">
        <f>C16</f>
        <v>6</v>
      </c>
      <c r="R34" s="17"/>
    </row>
    <row r="35" spans="1:18" s="2" customFormat="1" ht="16.2" customHeight="1" x14ac:dyDescent="0.2">
      <c r="A35" s="3"/>
      <c r="B35" s="33" t="s">
        <v>26</v>
      </c>
      <c r="C35" s="34"/>
      <c r="D35" s="31"/>
      <c r="E35" s="35"/>
      <c r="F35" s="36"/>
      <c r="G35" s="1"/>
      <c r="H35" s="1"/>
      <c r="I35" s="3"/>
      <c r="L35" s="16"/>
      <c r="R35" s="17"/>
    </row>
    <row r="36" spans="1:18" x14ac:dyDescent="0.2">
      <c r="A36" s="4"/>
      <c r="B36" s="31" t="s">
        <v>27</v>
      </c>
      <c r="C36" s="34">
        <f>(C20+C23)*(C21+C23)*(C22+C24)</f>
        <v>11.28</v>
      </c>
      <c r="D36" s="31" t="s">
        <v>2</v>
      </c>
      <c r="E36" s="37">
        <f>C36*G$31</f>
        <v>733.19999999999993</v>
      </c>
      <c r="F36" s="36" t="s">
        <v>2</v>
      </c>
      <c r="I36" s="4"/>
      <c r="R36" s="6"/>
    </row>
    <row r="37" spans="1:18" x14ac:dyDescent="0.2">
      <c r="A37" s="4"/>
      <c r="B37" s="31" t="s">
        <v>42</v>
      </c>
      <c r="C37" s="34">
        <f>C36-(C20*C21*C22)</f>
        <v>8.34</v>
      </c>
      <c r="D37" s="31" t="s">
        <v>2</v>
      </c>
      <c r="E37" s="37">
        <f t="shared" ref="E37:E55" si="0">C37*G$31</f>
        <v>542.1</v>
      </c>
      <c r="F37" s="36" t="s">
        <v>2</v>
      </c>
      <c r="I37" s="4"/>
      <c r="R37" s="6"/>
    </row>
    <row r="38" spans="1:18" x14ac:dyDescent="0.2">
      <c r="A38" s="4"/>
      <c r="B38" s="31"/>
      <c r="C38" s="34"/>
      <c r="D38" s="31"/>
      <c r="E38" s="37"/>
      <c r="F38" s="36"/>
      <c r="I38" s="4"/>
      <c r="R38" s="6"/>
    </row>
    <row r="39" spans="1:18" x14ac:dyDescent="0.2">
      <c r="A39" s="4"/>
      <c r="B39" s="33" t="s">
        <v>28</v>
      </c>
      <c r="C39" s="34"/>
      <c r="D39" s="31"/>
      <c r="E39" s="37"/>
      <c r="F39" s="36"/>
      <c r="I39" s="4"/>
      <c r="K39" s="38" t="s">
        <v>7</v>
      </c>
      <c r="R39" s="6"/>
    </row>
    <row r="40" spans="1:18" x14ac:dyDescent="0.2">
      <c r="A40" s="4"/>
      <c r="B40" s="31" t="s">
        <v>29</v>
      </c>
      <c r="C40" s="34"/>
      <c r="D40" s="31"/>
      <c r="E40" s="37"/>
      <c r="F40" s="36"/>
      <c r="I40" s="4"/>
      <c r="K40" s="1" t="s">
        <v>46</v>
      </c>
      <c r="L40" s="5">
        <f>G31*2*I25</f>
        <v>780</v>
      </c>
      <c r="M40" s="1" t="s">
        <v>0</v>
      </c>
      <c r="R40" s="6"/>
    </row>
    <row r="41" spans="1:18" x14ac:dyDescent="0.2">
      <c r="A41" s="4"/>
      <c r="B41" s="39" t="s">
        <v>30</v>
      </c>
      <c r="C41" s="34">
        <f>(2*(C20*C22))+(2*(C21*C22))</f>
        <v>4.7600000000000007</v>
      </c>
      <c r="D41" s="31" t="s">
        <v>6</v>
      </c>
      <c r="E41" s="37">
        <f t="shared" si="0"/>
        <v>309.40000000000003</v>
      </c>
      <c r="F41" s="36" t="s">
        <v>6</v>
      </c>
      <c r="I41" s="4"/>
      <c r="K41" s="1" t="s">
        <v>47</v>
      </c>
      <c r="L41" s="40" t="s">
        <v>62</v>
      </c>
      <c r="M41" s="41" t="s">
        <v>54</v>
      </c>
      <c r="R41" s="6"/>
    </row>
    <row r="42" spans="1:18" x14ac:dyDescent="0.2">
      <c r="A42" s="4"/>
      <c r="B42" s="39" t="s">
        <v>31</v>
      </c>
      <c r="C42" s="34">
        <f>((2*(C27*C29))+((C28*C29)*2))*C26</f>
        <v>1.92</v>
      </c>
      <c r="D42" s="31" t="s">
        <v>6</v>
      </c>
      <c r="E42" s="37">
        <f t="shared" si="0"/>
        <v>124.8</v>
      </c>
      <c r="F42" s="36" t="s">
        <v>6</v>
      </c>
      <c r="I42" s="4"/>
      <c r="L42" s="40">
        <v>46.1</v>
      </c>
      <c r="M42" s="41" t="s">
        <v>48</v>
      </c>
      <c r="R42" s="6"/>
    </row>
    <row r="43" spans="1:18" ht="14.4" x14ac:dyDescent="0.3">
      <c r="A43" s="4"/>
      <c r="B43" s="33" t="s">
        <v>32</v>
      </c>
      <c r="C43" s="34">
        <f>C30*C26</f>
        <v>8</v>
      </c>
      <c r="D43" s="31" t="s">
        <v>8</v>
      </c>
      <c r="E43" s="37">
        <f t="shared" si="0"/>
        <v>520</v>
      </c>
      <c r="F43" s="36" t="s">
        <v>8</v>
      </c>
      <c r="I43" s="4"/>
      <c r="K43" s="1" t="s">
        <v>49</v>
      </c>
      <c r="L43" s="42">
        <f>L42*L40*(1+(2.5/100))</f>
        <v>36856.949999999997</v>
      </c>
      <c r="M43" s="1" t="s">
        <v>50</v>
      </c>
      <c r="O43"/>
      <c r="R43" s="6"/>
    </row>
    <row r="44" spans="1:18" x14ac:dyDescent="0.2">
      <c r="A44" s="4"/>
      <c r="B44" s="31" t="s">
        <v>33</v>
      </c>
      <c r="C44" s="34">
        <f>C43</f>
        <v>8</v>
      </c>
      <c r="D44" s="31" t="s">
        <v>8</v>
      </c>
      <c r="E44" s="37">
        <f t="shared" si="0"/>
        <v>520</v>
      </c>
      <c r="F44" s="36" t="s">
        <v>8</v>
      </c>
      <c r="I44" s="4"/>
      <c r="K44" s="1" t="s">
        <v>49</v>
      </c>
      <c r="L44" s="42">
        <f>L43/1000</f>
        <v>36.856949999999998</v>
      </c>
      <c r="M44" s="1" t="s">
        <v>5</v>
      </c>
      <c r="R44" s="6"/>
    </row>
    <row r="45" spans="1:18" x14ac:dyDescent="0.2">
      <c r="A45" s="4"/>
      <c r="B45" s="33" t="s">
        <v>34</v>
      </c>
      <c r="C45" s="34">
        <f>(2*C27)+(2*C28)+(2*C20)+(C21*2)</f>
        <v>13.5</v>
      </c>
      <c r="D45" s="31" t="s">
        <v>0</v>
      </c>
      <c r="E45" s="37">
        <f t="shared" si="0"/>
        <v>877.5</v>
      </c>
      <c r="F45" s="36" t="s">
        <v>0</v>
      </c>
      <c r="I45" s="4"/>
      <c r="R45" s="6"/>
    </row>
    <row r="46" spans="1:18" x14ac:dyDescent="0.2">
      <c r="A46" s="4"/>
      <c r="B46" s="33" t="s">
        <v>4</v>
      </c>
      <c r="C46" s="34">
        <f>(C50+C51)*C31/1000</f>
        <v>0.34452000000000005</v>
      </c>
      <c r="D46" s="31" t="s">
        <v>5</v>
      </c>
      <c r="E46" s="37">
        <f t="shared" si="0"/>
        <v>22.393800000000002</v>
      </c>
      <c r="F46" s="36" t="s">
        <v>5</v>
      </c>
      <c r="I46" s="4"/>
      <c r="K46" s="38" t="s">
        <v>45</v>
      </c>
      <c r="R46" s="6"/>
    </row>
    <row r="47" spans="1:18" x14ac:dyDescent="0.2">
      <c r="A47" s="4"/>
      <c r="B47" s="33" t="s">
        <v>3</v>
      </c>
      <c r="C47" s="34"/>
      <c r="D47" s="31"/>
      <c r="E47" s="37"/>
      <c r="F47" s="36"/>
      <c r="I47" s="4"/>
      <c r="K47" s="38" t="s">
        <v>59</v>
      </c>
      <c r="R47" s="6"/>
    </row>
    <row r="48" spans="1:18" x14ac:dyDescent="0.2">
      <c r="A48" s="4"/>
      <c r="B48" s="31" t="s">
        <v>35</v>
      </c>
      <c r="C48" s="34">
        <f>(C20+C23)*(C21+C23)</f>
        <v>11.28</v>
      </c>
      <c r="D48" s="31" t="s">
        <v>6</v>
      </c>
      <c r="E48" s="37">
        <f t="shared" si="0"/>
        <v>733.19999999999993</v>
      </c>
      <c r="F48" s="36" t="s">
        <v>6</v>
      </c>
      <c r="I48" s="4"/>
      <c r="K48" s="1" t="s">
        <v>46</v>
      </c>
      <c r="L48" s="43">
        <f>C2*5+(G31*4*Q19)</f>
        <v>2675</v>
      </c>
      <c r="M48" s="1" t="s">
        <v>0</v>
      </c>
      <c r="R48" s="6"/>
    </row>
    <row r="49" spans="1:18" x14ac:dyDescent="0.2">
      <c r="A49" s="4"/>
      <c r="B49" s="31" t="s">
        <v>43</v>
      </c>
      <c r="C49" s="34"/>
      <c r="D49" s="31"/>
      <c r="E49" s="37"/>
      <c r="F49" s="36"/>
      <c r="I49" s="4"/>
      <c r="K49" s="1" t="s">
        <v>47</v>
      </c>
      <c r="L49" s="40" t="s">
        <v>63</v>
      </c>
      <c r="M49" s="41" t="s">
        <v>61</v>
      </c>
      <c r="R49" s="6"/>
    </row>
    <row r="50" spans="1:18" x14ac:dyDescent="0.2">
      <c r="A50" s="4"/>
      <c r="B50" s="39" t="s">
        <v>36</v>
      </c>
      <c r="C50" s="34">
        <f>C20*C21*C22</f>
        <v>2.9400000000000004</v>
      </c>
      <c r="D50" s="1" t="s">
        <v>2</v>
      </c>
      <c r="E50" s="37">
        <f t="shared" si="0"/>
        <v>191.10000000000002</v>
      </c>
      <c r="F50" s="36" t="s">
        <v>2</v>
      </c>
      <c r="I50" s="4"/>
      <c r="L50" s="44">
        <v>31</v>
      </c>
      <c r="M50" s="41" t="s">
        <v>48</v>
      </c>
      <c r="R50" s="6"/>
    </row>
    <row r="51" spans="1:18" x14ac:dyDescent="0.2">
      <c r="A51" s="4"/>
      <c r="B51" s="39" t="s">
        <v>37</v>
      </c>
      <c r="C51" s="34">
        <f>C26*C27*C28*C29</f>
        <v>0.19200000000000003</v>
      </c>
      <c r="D51" s="31" t="s">
        <v>2</v>
      </c>
      <c r="E51" s="37">
        <f t="shared" si="0"/>
        <v>12.480000000000002</v>
      </c>
      <c r="F51" s="36" t="s">
        <v>2</v>
      </c>
      <c r="I51" s="4"/>
      <c r="K51" s="1" t="s">
        <v>49</v>
      </c>
      <c r="L51" s="42">
        <f>L50*L48*(1+(2.5/100))</f>
        <v>84998.124999999985</v>
      </c>
      <c r="M51" s="1" t="s">
        <v>50</v>
      </c>
      <c r="R51" s="6"/>
    </row>
    <row r="52" spans="1:18" x14ac:dyDescent="0.2">
      <c r="A52" s="4"/>
      <c r="B52" s="38" t="s">
        <v>38</v>
      </c>
      <c r="C52" s="45">
        <f>C20*C21</f>
        <v>7.3500000000000005</v>
      </c>
      <c r="D52" s="1" t="s">
        <v>6</v>
      </c>
      <c r="E52" s="37">
        <f t="shared" si="0"/>
        <v>477.75000000000006</v>
      </c>
      <c r="F52" s="46" t="s">
        <v>6</v>
      </c>
      <c r="I52" s="4"/>
      <c r="K52" s="1" t="s">
        <v>49</v>
      </c>
      <c r="L52" s="43">
        <f>L51/1000</f>
        <v>84.998124999999987</v>
      </c>
      <c r="M52" s="1" t="s">
        <v>5</v>
      </c>
      <c r="R52" s="6"/>
    </row>
    <row r="53" spans="1:18" x14ac:dyDescent="0.2">
      <c r="A53" s="4"/>
      <c r="B53" s="1" t="s">
        <v>39</v>
      </c>
      <c r="C53" s="45"/>
      <c r="E53" s="37"/>
      <c r="F53" s="46"/>
      <c r="I53" s="4"/>
      <c r="L53" s="43"/>
      <c r="R53" s="6"/>
    </row>
    <row r="54" spans="1:18" x14ac:dyDescent="0.2">
      <c r="A54" s="4"/>
      <c r="B54" s="47" t="s">
        <v>40</v>
      </c>
      <c r="C54" s="45">
        <f>C30*C26*(0.15*0.15*0.2)</f>
        <v>3.5999999999999997E-2</v>
      </c>
      <c r="D54" s="1" t="s">
        <v>2</v>
      </c>
      <c r="E54" s="37">
        <f t="shared" si="0"/>
        <v>2.34</v>
      </c>
      <c r="F54" s="46" t="s">
        <v>2</v>
      </c>
      <c r="I54" s="4"/>
      <c r="K54" s="38" t="s">
        <v>60</v>
      </c>
      <c r="R54" s="6"/>
    </row>
    <row r="55" spans="1:18" x14ac:dyDescent="0.2">
      <c r="A55" s="4"/>
      <c r="B55" s="47" t="s">
        <v>41</v>
      </c>
      <c r="C55" s="45">
        <f>C26*C27*C28*0.075</f>
        <v>2.4000000000000004E-2</v>
      </c>
      <c r="D55" s="1" t="s">
        <v>2</v>
      </c>
      <c r="E55" s="37">
        <f t="shared" si="0"/>
        <v>1.5600000000000003</v>
      </c>
      <c r="F55" s="46" t="s">
        <v>2</v>
      </c>
      <c r="I55" s="4"/>
      <c r="K55" s="1" t="s">
        <v>46</v>
      </c>
      <c r="L55" s="43">
        <f>G31*2*Q19</f>
        <v>390</v>
      </c>
      <c r="M55" s="1" t="s">
        <v>0</v>
      </c>
      <c r="R55" s="6"/>
    </row>
    <row r="56" spans="1:18" x14ac:dyDescent="0.2">
      <c r="A56" s="4"/>
      <c r="I56" s="4"/>
      <c r="K56" s="1" t="s">
        <v>47</v>
      </c>
      <c r="L56" s="40" t="s">
        <v>63</v>
      </c>
      <c r="M56" s="41" t="s">
        <v>61</v>
      </c>
      <c r="O56" s="40" t="s">
        <v>63</v>
      </c>
      <c r="P56" s="41" t="s">
        <v>61</v>
      </c>
      <c r="R56" s="6"/>
    </row>
    <row r="57" spans="1:18" x14ac:dyDescent="0.2">
      <c r="A57" s="4"/>
      <c r="I57" s="4"/>
      <c r="L57" s="44">
        <v>31</v>
      </c>
      <c r="M57" s="41" t="s">
        <v>48</v>
      </c>
      <c r="R57" s="6"/>
    </row>
    <row r="58" spans="1:18" x14ac:dyDescent="0.2">
      <c r="A58" s="4"/>
      <c r="I58" s="4"/>
      <c r="K58" s="1" t="s">
        <v>49</v>
      </c>
      <c r="L58" s="42">
        <f>L57*L55*(1+(2.5/100))</f>
        <v>12392.249999999998</v>
      </c>
      <c r="M58" s="1" t="s">
        <v>50</v>
      </c>
      <c r="R58" s="6"/>
    </row>
    <row r="59" spans="1:18" x14ac:dyDescent="0.2">
      <c r="A59" s="4"/>
      <c r="I59" s="4"/>
      <c r="K59" s="1" t="s">
        <v>49</v>
      </c>
      <c r="L59" s="43">
        <f>L58/1000</f>
        <v>12.392249999999999</v>
      </c>
      <c r="M59" s="1" t="s">
        <v>5</v>
      </c>
      <c r="R59" s="6"/>
    </row>
    <row r="60" spans="1:18" x14ac:dyDescent="0.2">
      <c r="A60" s="4"/>
      <c r="I60" s="4"/>
      <c r="L60" s="43"/>
      <c r="R60" s="6"/>
    </row>
    <row r="61" spans="1:18" x14ac:dyDescent="0.2">
      <c r="A61" s="4"/>
      <c r="I61" s="4"/>
      <c r="K61" s="38" t="s">
        <v>55</v>
      </c>
      <c r="R61" s="6"/>
    </row>
    <row r="62" spans="1:18" x14ac:dyDescent="0.2">
      <c r="A62" s="4"/>
      <c r="I62" s="4"/>
      <c r="K62" s="1" t="s">
        <v>46</v>
      </c>
      <c r="L62" s="43">
        <f>L65*L66*L67</f>
        <v>1717.3002067198386</v>
      </c>
      <c r="M62" s="1" t="s">
        <v>0</v>
      </c>
      <c r="R62" s="6"/>
    </row>
    <row r="63" spans="1:18" ht="12" customHeight="1" x14ac:dyDescent="0.2">
      <c r="A63" s="4"/>
      <c r="I63" s="4"/>
      <c r="K63" s="1" t="s">
        <v>47</v>
      </c>
      <c r="L63" s="40" t="s">
        <v>65</v>
      </c>
      <c r="M63" s="41" t="s">
        <v>64</v>
      </c>
      <c r="R63" s="6"/>
    </row>
    <row r="64" spans="1:18" ht="12" customHeight="1" x14ac:dyDescent="0.2">
      <c r="A64" s="4"/>
      <c r="I64" s="4"/>
      <c r="L64" s="44">
        <v>9.6300000000000008</v>
      </c>
      <c r="M64" s="41" t="s">
        <v>48</v>
      </c>
      <c r="R64" s="6"/>
    </row>
    <row r="65" spans="1:18" x14ac:dyDescent="0.2">
      <c r="A65" s="4"/>
      <c r="H65" s="6"/>
      <c r="K65" s="31" t="s">
        <v>56</v>
      </c>
      <c r="L65" s="48">
        <f>G31-1</f>
        <v>64</v>
      </c>
      <c r="M65" s="31" t="s">
        <v>8</v>
      </c>
      <c r="R65" s="6"/>
    </row>
    <row r="66" spans="1:18" x14ac:dyDescent="0.2">
      <c r="A66" s="4"/>
      <c r="H66" s="6"/>
      <c r="K66" s="1" t="s">
        <v>57</v>
      </c>
      <c r="L66" s="49">
        <f>SQRT((O34^2)+(Q19^2))</f>
        <v>6.7082039324993694</v>
      </c>
      <c r="M66" s="31" t="s">
        <v>0</v>
      </c>
      <c r="R66" s="6"/>
    </row>
    <row r="67" spans="1:18" x14ac:dyDescent="0.2">
      <c r="A67" s="4"/>
      <c r="H67" s="6"/>
      <c r="K67" s="1" t="s">
        <v>58</v>
      </c>
      <c r="L67" s="48">
        <v>4</v>
      </c>
      <c r="M67" s="31" t="s">
        <v>8</v>
      </c>
      <c r="R67" s="6"/>
    </row>
    <row r="68" spans="1:18" x14ac:dyDescent="0.2">
      <c r="A68" s="4"/>
      <c r="H68" s="6"/>
      <c r="K68" s="1" t="s">
        <v>49</v>
      </c>
      <c r="L68" s="42">
        <f>L62*L64*(1+(2.5/100))</f>
        <v>16951.041015479845</v>
      </c>
      <c r="M68" s="1" t="s">
        <v>50</v>
      </c>
      <c r="R68" s="6"/>
    </row>
    <row r="69" spans="1:18" x14ac:dyDescent="0.2">
      <c r="A69" s="4"/>
      <c r="H69" s="6"/>
      <c r="K69" s="1" t="s">
        <v>49</v>
      </c>
      <c r="L69" s="43">
        <f>L68/1000</f>
        <v>16.951041015479845</v>
      </c>
      <c r="M69" s="1" t="s">
        <v>5</v>
      </c>
      <c r="R69" s="6"/>
    </row>
    <row r="70" spans="1:18" x14ac:dyDescent="0.2">
      <c r="A70" s="4"/>
      <c r="H70" s="6"/>
      <c r="R70" s="6"/>
    </row>
    <row r="71" spans="1:18" x14ac:dyDescent="0.2">
      <c r="A71" s="4"/>
      <c r="H71" s="6"/>
      <c r="K71" s="50" t="s">
        <v>51</v>
      </c>
      <c r="L71" s="51">
        <f>L52+L44+L69+L59</f>
        <v>151.19836601547982</v>
      </c>
      <c r="M71" s="50" t="s">
        <v>5</v>
      </c>
      <c r="R71" s="6"/>
    </row>
    <row r="72" spans="1:18" x14ac:dyDescent="0.2">
      <c r="A72" s="4"/>
      <c r="H72" s="6"/>
      <c r="K72" s="50" t="s">
        <v>52</v>
      </c>
      <c r="L72" s="52">
        <f>L71/C2</f>
        <v>0.39894027972422114</v>
      </c>
      <c r="M72" s="50" t="s">
        <v>53</v>
      </c>
      <c r="R72" s="6"/>
    </row>
    <row r="73" spans="1:18" x14ac:dyDescent="0.2">
      <c r="A73" s="4"/>
      <c r="H73" s="6"/>
      <c r="R73" s="6"/>
    </row>
    <row r="74" spans="1:18" x14ac:dyDescent="0.2">
      <c r="A74" s="4"/>
      <c r="H74" s="6"/>
      <c r="R74" s="6"/>
    </row>
    <row r="75" spans="1:18" x14ac:dyDescent="0.2">
      <c r="A75" s="4"/>
      <c r="H75" s="6"/>
      <c r="K75" s="32" t="s">
        <v>69</v>
      </c>
      <c r="L75" s="5">
        <f>2*C2</f>
        <v>758</v>
      </c>
      <c r="M75" s="1" t="s">
        <v>0</v>
      </c>
      <c r="R75" s="6"/>
    </row>
    <row r="76" spans="1:18" x14ac:dyDescent="0.2">
      <c r="A76" s="4"/>
      <c r="H76" s="6"/>
      <c r="K76" s="32"/>
      <c r="R76" s="6"/>
    </row>
    <row r="77" spans="1:18" x14ac:dyDescent="0.2">
      <c r="A77" s="4"/>
      <c r="H77" s="6"/>
      <c r="K77" s="32" t="s">
        <v>68</v>
      </c>
      <c r="L77" s="5">
        <f>L75</f>
        <v>758</v>
      </c>
      <c r="M77" s="1" t="s">
        <v>0</v>
      </c>
      <c r="R77" s="6"/>
    </row>
    <row r="78" spans="1:18" x14ac:dyDescent="0.2">
      <c r="A78" s="4"/>
      <c r="H78" s="6"/>
      <c r="K78" s="32"/>
      <c r="R78" s="6"/>
    </row>
    <row r="79" spans="1:18" ht="10.8" thickBot="1" x14ac:dyDescent="0.25">
      <c r="A79" s="7"/>
      <c r="B79" s="8"/>
      <c r="C79" s="8"/>
      <c r="D79" s="8"/>
      <c r="E79" s="8"/>
      <c r="F79" s="8"/>
      <c r="G79" s="8"/>
      <c r="H79" s="9"/>
      <c r="I79" s="8"/>
      <c r="J79" s="8"/>
      <c r="K79" s="53" t="s">
        <v>70</v>
      </c>
      <c r="L79" s="54">
        <f>K22*C2</f>
        <v>454.8</v>
      </c>
      <c r="M79" s="8" t="s">
        <v>6</v>
      </c>
      <c r="N79" s="8"/>
      <c r="O79" s="8"/>
      <c r="P79" s="8"/>
      <c r="Q79" s="8"/>
      <c r="R79" s="9"/>
    </row>
  </sheetData>
  <phoneticPr fontId="4" type="noConversion"/>
  <pageMargins left="0" right="0" top="0" bottom="0" header="0.31496062992125984" footer="0.31496062992125984"/>
  <pageSetup paperSize="8" scale="90" orientation="landscape" horizontalDpi="4294967295" verticalDpi="4294967295" r:id="rId1"/>
  <ignoredErrors>
    <ignoredError sqref="C2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B682-1628-4A05-9048-C649289EDA51}">
  <dimension ref="A1:I119"/>
  <sheetViews>
    <sheetView topLeftCell="A96" workbookViewId="0">
      <selection activeCell="G103" sqref="G103"/>
    </sheetView>
  </sheetViews>
  <sheetFormatPr defaultRowHeight="12" x14ac:dyDescent="0.25"/>
  <cols>
    <col min="1" max="1" width="28" style="56" customWidth="1"/>
    <col min="2" max="2" width="7.88671875" style="56" customWidth="1"/>
    <col min="3" max="3" width="23.109375" style="56" customWidth="1"/>
    <col min="4" max="4" width="12.5546875" style="56" customWidth="1"/>
    <col min="5" max="5" width="24.6640625" style="56" customWidth="1"/>
    <col min="6" max="6" width="13.44140625" style="56" customWidth="1"/>
    <col min="7" max="16384" width="8.88671875" style="56"/>
  </cols>
  <sheetData>
    <row r="1" spans="1:9" x14ac:dyDescent="0.25">
      <c r="A1" s="55" t="s">
        <v>83</v>
      </c>
    </row>
    <row r="3" spans="1:9" x14ac:dyDescent="0.25">
      <c r="A3" s="56" t="s">
        <v>84</v>
      </c>
      <c r="B3" s="56">
        <v>1.2</v>
      </c>
      <c r="C3" s="56" t="s">
        <v>0</v>
      </c>
    </row>
    <row r="4" spans="1:9" x14ac:dyDescent="0.25">
      <c r="F4" s="60">
        <v>1.2</v>
      </c>
    </row>
    <row r="5" spans="1:9" x14ac:dyDescent="0.25">
      <c r="A5" s="56" t="s">
        <v>85</v>
      </c>
      <c r="B5" s="56">
        <v>0.22</v>
      </c>
      <c r="C5" s="56" t="s">
        <v>0</v>
      </c>
      <c r="E5" s="59">
        <f>C10</f>
        <v>4.6861498055439927</v>
      </c>
    </row>
    <row r="6" spans="1:9" x14ac:dyDescent="0.25">
      <c r="A6" s="56" t="s">
        <v>86</v>
      </c>
      <c r="B6" s="56">
        <v>3</v>
      </c>
      <c r="C6" s="56" t="s">
        <v>0</v>
      </c>
    </row>
    <row r="7" spans="1:9" x14ac:dyDescent="0.25">
      <c r="A7" s="56" t="s">
        <v>87</v>
      </c>
      <c r="B7" s="56">
        <v>14</v>
      </c>
      <c r="C7" s="56" t="s">
        <v>8</v>
      </c>
      <c r="E7" s="57">
        <v>3.6</v>
      </c>
      <c r="F7" s="57">
        <v>3</v>
      </c>
    </row>
    <row r="9" spans="1:9" x14ac:dyDescent="0.25">
      <c r="D9" s="60">
        <v>1.2</v>
      </c>
    </row>
    <row r="10" spans="1:9" x14ac:dyDescent="0.25">
      <c r="C10" s="59">
        <f>SQRT((C14^2)+(C11^2))</f>
        <v>4.6861498055439927</v>
      </c>
    </row>
    <row r="11" spans="1:9" x14ac:dyDescent="0.25">
      <c r="C11" s="58">
        <v>3</v>
      </c>
    </row>
    <row r="14" spans="1:9" x14ac:dyDescent="0.25">
      <c r="C14" s="57">
        <v>3.6</v>
      </c>
      <c r="F14" s="56" t="s">
        <v>101</v>
      </c>
      <c r="H14" s="65">
        <v>12</v>
      </c>
      <c r="I14" s="65" t="s">
        <v>8</v>
      </c>
    </row>
    <row r="15" spans="1:9" x14ac:dyDescent="0.25">
      <c r="H15" s="65"/>
      <c r="I15" s="65"/>
    </row>
    <row r="16" spans="1:9" x14ac:dyDescent="0.25">
      <c r="A16" s="55" t="s">
        <v>45</v>
      </c>
      <c r="D16" s="66">
        <f>B22</f>
        <v>0.81506644915381976</v>
      </c>
      <c r="E16" s="67" t="s">
        <v>66</v>
      </c>
      <c r="H16" s="64">
        <f>D16*$H$14</f>
        <v>9.7807973898458371</v>
      </c>
      <c r="I16" s="65" t="s">
        <v>5</v>
      </c>
    </row>
    <row r="17" spans="1:9" x14ac:dyDescent="0.25">
      <c r="A17" s="56" t="s">
        <v>88</v>
      </c>
      <c r="H17" s="64"/>
      <c r="I17" s="65"/>
    </row>
    <row r="18" spans="1:9" x14ac:dyDescent="0.25">
      <c r="A18" s="56" t="s">
        <v>89</v>
      </c>
      <c r="B18" s="61">
        <f>((C10+D9+E5+F4)*2)+(B3*7)</f>
        <v>31.944599222175967</v>
      </c>
      <c r="C18" s="56" t="s">
        <v>0</v>
      </c>
      <c r="H18" s="64"/>
      <c r="I18" s="65"/>
    </row>
    <row r="19" spans="1:9" x14ac:dyDescent="0.25">
      <c r="A19" s="56" t="s">
        <v>90</v>
      </c>
      <c r="B19" s="56">
        <v>24.3</v>
      </c>
      <c r="C19" s="56" t="s">
        <v>48</v>
      </c>
      <c r="H19" s="64"/>
      <c r="I19" s="65"/>
    </row>
    <row r="20" spans="1:9" x14ac:dyDescent="0.25">
      <c r="A20" s="56" t="s">
        <v>51</v>
      </c>
      <c r="B20" s="61">
        <f>B19*B18</f>
        <v>776.253761098876</v>
      </c>
      <c r="C20" s="56" t="s">
        <v>50</v>
      </c>
      <c r="H20" s="64"/>
      <c r="I20" s="65"/>
    </row>
    <row r="21" spans="1:9" x14ac:dyDescent="0.25">
      <c r="A21" s="56" t="s">
        <v>92</v>
      </c>
      <c r="B21" s="62">
        <v>0.05</v>
      </c>
      <c r="H21" s="64"/>
      <c r="I21" s="65"/>
    </row>
    <row r="22" spans="1:9" x14ac:dyDescent="0.25">
      <c r="A22" s="55" t="s">
        <v>93</v>
      </c>
      <c r="B22" s="63">
        <f>(B20*(1+B21))/1000</f>
        <v>0.81506644915381976</v>
      </c>
      <c r="C22" s="55" t="s">
        <v>5</v>
      </c>
      <c r="H22" s="64"/>
      <c r="I22" s="65"/>
    </row>
    <row r="23" spans="1:9" x14ac:dyDescent="0.25">
      <c r="H23" s="64"/>
      <c r="I23" s="65"/>
    </row>
    <row r="24" spans="1:9" x14ac:dyDescent="0.25">
      <c r="A24" s="55" t="s">
        <v>7</v>
      </c>
      <c r="D24" s="64">
        <f>B41+B32</f>
        <v>1.7425800000000005</v>
      </c>
      <c r="E24" s="65" t="s">
        <v>66</v>
      </c>
      <c r="H24" s="64">
        <f>D24*$H$14</f>
        <v>20.910960000000006</v>
      </c>
      <c r="I24" s="65" t="s">
        <v>5</v>
      </c>
    </row>
    <row r="25" spans="1:9" x14ac:dyDescent="0.25">
      <c r="A25" s="40" t="s">
        <v>94</v>
      </c>
      <c r="H25" s="65"/>
      <c r="I25" s="65"/>
    </row>
    <row r="26" spans="1:9" x14ac:dyDescent="0.25">
      <c r="A26" s="56" t="s">
        <v>67</v>
      </c>
      <c r="B26" s="56">
        <v>4</v>
      </c>
      <c r="C26" s="56" t="s">
        <v>8</v>
      </c>
      <c r="H26" s="65"/>
      <c r="I26" s="65"/>
    </row>
    <row r="27" spans="1:9" x14ac:dyDescent="0.25">
      <c r="A27" s="56" t="s">
        <v>91</v>
      </c>
      <c r="B27" s="56">
        <v>3</v>
      </c>
      <c r="C27" s="56" t="s">
        <v>0</v>
      </c>
      <c r="D27" s="55" t="s">
        <v>95</v>
      </c>
      <c r="E27" s="56">
        <f>B7*2</f>
        <v>28</v>
      </c>
      <c r="F27" s="56" t="s">
        <v>8</v>
      </c>
      <c r="H27" s="68">
        <f>E27*$H$14</f>
        <v>336</v>
      </c>
      <c r="I27" s="65" t="s">
        <v>8</v>
      </c>
    </row>
    <row r="28" spans="1:9" x14ac:dyDescent="0.25">
      <c r="A28" s="56" t="s">
        <v>46</v>
      </c>
      <c r="B28" s="56">
        <f>B27*B26</f>
        <v>12</v>
      </c>
      <c r="H28" s="68"/>
      <c r="I28" s="65"/>
    </row>
    <row r="29" spans="1:9" x14ac:dyDescent="0.25">
      <c r="A29" s="56" t="s">
        <v>90</v>
      </c>
      <c r="B29" s="40">
        <v>46.1</v>
      </c>
      <c r="C29" s="56" t="s">
        <v>48</v>
      </c>
      <c r="D29" s="55" t="s">
        <v>96</v>
      </c>
      <c r="H29" s="68"/>
      <c r="I29" s="65"/>
    </row>
    <row r="30" spans="1:9" x14ac:dyDescent="0.25">
      <c r="A30" s="56" t="s">
        <v>51</v>
      </c>
      <c r="B30" s="56">
        <f>B29*B28</f>
        <v>553.20000000000005</v>
      </c>
      <c r="C30" s="56" t="s">
        <v>50</v>
      </c>
      <c r="D30" s="56" t="s">
        <v>97</v>
      </c>
      <c r="E30" s="56">
        <f>((D9+F4)*2)+B3</f>
        <v>6</v>
      </c>
      <c r="F30" s="56" t="s">
        <v>0</v>
      </c>
      <c r="H30" s="68">
        <f t="shared" ref="H30:H36" si="0">E30*$H$14</f>
        <v>72</v>
      </c>
      <c r="I30" s="65" t="s">
        <v>0</v>
      </c>
    </row>
    <row r="31" spans="1:9" x14ac:dyDescent="0.25">
      <c r="A31" s="56" t="s">
        <v>92</v>
      </c>
      <c r="B31" s="62">
        <v>0.05</v>
      </c>
      <c r="D31" s="56" t="s">
        <v>98</v>
      </c>
      <c r="E31" s="61">
        <f>(C10+E5)*2</f>
        <v>18.744599222175971</v>
      </c>
      <c r="F31" s="56" t="s">
        <v>0</v>
      </c>
      <c r="H31" s="68">
        <f t="shared" si="0"/>
        <v>224.93519066611165</v>
      </c>
      <c r="I31" s="65" t="s">
        <v>0</v>
      </c>
    </row>
    <row r="32" spans="1:9" x14ac:dyDescent="0.25">
      <c r="A32" s="55" t="s">
        <v>93</v>
      </c>
      <c r="B32" s="63">
        <f>(B30*(1+B31))/1000</f>
        <v>0.58086000000000015</v>
      </c>
      <c r="C32" s="55" t="s">
        <v>5</v>
      </c>
      <c r="D32" s="56" t="s">
        <v>99</v>
      </c>
      <c r="E32" s="56">
        <v>2</v>
      </c>
      <c r="F32" s="56" t="s">
        <v>8</v>
      </c>
      <c r="H32" s="68">
        <f t="shared" si="0"/>
        <v>24</v>
      </c>
      <c r="I32" s="65" t="s">
        <v>8</v>
      </c>
    </row>
    <row r="33" spans="1:9" x14ac:dyDescent="0.25">
      <c r="H33" s="68"/>
      <c r="I33" s="65"/>
    </row>
    <row r="34" spans="1:9" x14ac:dyDescent="0.25">
      <c r="A34" s="40" t="s">
        <v>94</v>
      </c>
      <c r="D34" s="55" t="s">
        <v>70</v>
      </c>
      <c r="E34" s="56">
        <f>(D9*D9)+(F4*F4)</f>
        <v>2.88</v>
      </c>
      <c r="F34" s="56" t="s">
        <v>6</v>
      </c>
      <c r="H34" s="68">
        <f t="shared" si="0"/>
        <v>34.56</v>
      </c>
      <c r="I34" s="65" t="s">
        <v>6</v>
      </c>
    </row>
    <row r="35" spans="1:9" x14ac:dyDescent="0.25">
      <c r="A35" s="56" t="s">
        <v>67</v>
      </c>
      <c r="B35" s="56">
        <v>4</v>
      </c>
      <c r="C35" s="56" t="s">
        <v>8</v>
      </c>
      <c r="H35" s="68"/>
      <c r="I35" s="65"/>
    </row>
    <row r="36" spans="1:9" x14ac:dyDescent="0.25">
      <c r="A36" s="56" t="s">
        <v>91</v>
      </c>
      <c r="B36" s="56">
        <v>6</v>
      </c>
      <c r="C36" s="56" t="s">
        <v>0</v>
      </c>
      <c r="D36" s="55" t="s">
        <v>100</v>
      </c>
      <c r="E36" s="61">
        <f>((C10+D9+E5+F4)*2)+(B3)</f>
        <v>24.744599222175967</v>
      </c>
      <c r="F36" s="56" t="s">
        <v>0</v>
      </c>
      <c r="H36" s="68">
        <f t="shared" si="0"/>
        <v>296.93519066611162</v>
      </c>
      <c r="I36" s="65" t="s">
        <v>0</v>
      </c>
    </row>
    <row r="37" spans="1:9" x14ac:dyDescent="0.25">
      <c r="A37" s="56" t="s">
        <v>46</v>
      </c>
      <c r="B37" s="56">
        <f>B36*B35</f>
        <v>24</v>
      </c>
    </row>
    <row r="38" spans="1:9" x14ac:dyDescent="0.25">
      <c r="A38" s="56" t="s">
        <v>90</v>
      </c>
      <c r="B38" s="40">
        <v>46.1</v>
      </c>
      <c r="C38" s="56" t="s">
        <v>48</v>
      </c>
    </row>
    <row r="39" spans="1:9" x14ac:dyDescent="0.25">
      <c r="A39" s="56" t="s">
        <v>51</v>
      </c>
      <c r="B39" s="56">
        <f>B38*B37</f>
        <v>1106.4000000000001</v>
      </c>
      <c r="C39" s="56" t="s">
        <v>50</v>
      </c>
    </row>
    <row r="40" spans="1:9" x14ac:dyDescent="0.25">
      <c r="A40" s="56" t="s">
        <v>92</v>
      </c>
      <c r="B40" s="62">
        <v>0.05</v>
      </c>
    </row>
    <row r="41" spans="1:9" x14ac:dyDescent="0.25">
      <c r="A41" s="55" t="s">
        <v>93</v>
      </c>
      <c r="B41" s="63">
        <f>(B39*(1+B40))/1000</f>
        <v>1.1617200000000003</v>
      </c>
      <c r="C41" s="55" t="s">
        <v>5</v>
      </c>
    </row>
    <row r="43" spans="1:9" x14ac:dyDescent="0.25">
      <c r="A43" s="20" t="s">
        <v>102</v>
      </c>
      <c r="B43" s="2"/>
      <c r="C43" s="2"/>
      <c r="D43" s="2"/>
      <c r="E43" s="2"/>
      <c r="F43" s="2"/>
      <c r="G43" s="2"/>
      <c r="H43" s="2"/>
    </row>
    <row r="44" spans="1:9" x14ac:dyDescent="0.25">
      <c r="A44" s="2"/>
      <c r="B44" s="1"/>
      <c r="C44" s="1"/>
      <c r="D44" s="1"/>
      <c r="E44" s="1"/>
      <c r="F44" s="1"/>
      <c r="G44" s="1"/>
    </row>
    <row r="45" spans="1:9" x14ac:dyDescent="0.25">
      <c r="A45" s="22" t="s">
        <v>14</v>
      </c>
      <c r="B45" s="23">
        <v>1</v>
      </c>
      <c r="C45" s="22" t="s">
        <v>0</v>
      </c>
      <c r="D45" s="1"/>
      <c r="E45" s="1"/>
      <c r="F45" s="1"/>
      <c r="G45" s="1"/>
    </row>
    <row r="46" spans="1:9" x14ac:dyDescent="0.25">
      <c r="A46" s="22" t="s">
        <v>13</v>
      </c>
      <c r="B46" s="23">
        <v>1</v>
      </c>
      <c r="C46" s="22" t="s">
        <v>0</v>
      </c>
      <c r="D46" s="1"/>
      <c r="E46" s="1"/>
      <c r="F46" s="1"/>
      <c r="G46" s="1"/>
    </row>
    <row r="47" spans="1:9" x14ac:dyDescent="0.25">
      <c r="A47" s="22" t="s">
        <v>15</v>
      </c>
      <c r="B47" s="23">
        <v>0.5</v>
      </c>
      <c r="C47" s="22" t="s">
        <v>0</v>
      </c>
      <c r="D47" s="1"/>
      <c r="E47" s="1"/>
      <c r="F47" s="1"/>
      <c r="G47" s="1"/>
    </row>
    <row r="48" spans="1:9" x14ac:dyDescent="0.25">
      <c r="A48" s="22" t="s">
        <v>16</v>
      </c>
      <c r="B48" s="23">
        <v>0.6</v>
      </c>
      <c r="C48" s="22" t="s">
        <v>0</v>
      </c>
      <c r="D48" s="1"/>
      <c r="E48" s="1"/>
      <c r="F48" s="1"/>
      <c r="G48" s="1"/>
    </row>
    <row r="49" spans="1:7" x14ac:dyDescent="0.25">
      <c r="A49" s="22" t="s">
        <v>17</v>
      </c>
      <c r="B49" s="23">
        <v>0.1</v>
      </c>
      <c r="C49" s="22" t="s">
        <v>0</v>
      </c>
      <c r="D49" s="1"/>
      <c r="E49" s="1"/>
      <c r="F49" s="1"/>
      <c r="G49" s="1"/>
    </row>
    <row r="50" spans="1:7" x14ac:dyDescent="0.25">
      <c r="A50" s="22"/>
      <c r="B50" s="23"/>
      <c r="C50" s="22"/>
      <c r="D50" s="1"/>
      <c r="E50" s="1"/>
      <c r="F50" s="1"/>
      <c r="G50" s="1"/>
    </row>
    <row r="51" spans="1:7" x14ac:dyDescent="0.25">
      <c r="A51" s="22" t="s">
        <v>18</v>
      </c>
      <c r="B51" s="23">
        <v>1</v>
      </c>
      <c r="C51" s="22" t="s">
        <v>8</v>
      </c>
      <c r="D51" s="1"/>
      <c r="E51" s="1"/>
      <c r="F51" s="1"/>
      <c r="G51" s="1"/>
    </row>
    <row r="52" spans="1:7" x14ac:dyDescent="0.25">
      <c r="A52" s="22" t="s">
        <v>19</v>
      </c>
      <c r="B52" s="23">
        <v>0.4</v>
      </c>
      <c r="C52" s="22" t="s">
        <v>0</v>
      </c>
      <c r="D52" s="1"/>
      <c r="E52" s="1"/>
      <c r="F52" s="1"/>
      <c r="G52" s="1"/>
    </row>
    <row r="53" spans="1:7" x14ac:dyDescent="0.25">
      <c r="A53" s="22" t="s">
        <v>20</v>
      </c>
      <c r="B53" s="23">
        <v>0.4</v>
      </c>
      <c r="C53" s="22" t="s">
        <v>0</v>
      </c>
      <c r="D53" s="1"/>
      <c r="E53" s="1"/>
      <c r="F53" s="1"/>
      <c r="G53" s="1"/>
    </row>
    <row r="54" spans="1:7" x14ac:dyDescent="0.25">
      <c r="A54" s="22" t="s">
        <v>21</v>
      </c>
      <c r="B54" s="23">
        <v>0.6</v>
      </c>
      <c r="C54" s="22" t="s">
        <v>0</v>
      </c>
      <c r="D54" s="1"/>
      <c r="E54" s="1"/>
      <c r="F54" s="1"/>
      <c r="G54" s="1"/>
    </row>
    <row r="55" spans="1:7" x14ac:dyDescent="0.25">
      <c r="A55" s="22" t="s">
        <v>22</v>
      </c>
      <c r="B55" s="23">
        <v>4</v>
      </c>
      <c r="C55" s="22" t="s">
        <v>8</v>
      </c>
      <c r="D55" s="1"/>
      <c r="E55" s="1"/>
      <c r="F55" s="27"/>
      <c r="G55" s="1"/>
    </row>
    <row r="56" spans="1:7" x14ac:dyDescent="0.25">
      <c r="A56" s="22" t="s">
        <v>23</v>
      </c>
      <c r="B56" s="23">
        <v>110</v>
      </c>
      <c r="C56" s="22"/>
      <c r="D56" s="28" t="s">
        <v>24</v>
      </c>
      <c r="E56" s="28"/>
      <c r="F56" s="2">
        <f>8*12</f>
        <v>96</v>
      </c>
      <c r="G56" s="29" t="s">
        <v>8</v>
      </c>
    </row>
    <row r="57" spans="1:7" x14ac:dyDescent="0.25">
      <c r="A57" s="22"/>
      <c r="B57" s="23"/>
      <c r="C57" s="22"/>
      <c r="D57" s="28"/>
      <c r="E57" s="28"/>
      <c r="F57" s="30"/>
      <c r="G57" s="31"/>
    </row>
    <row r="58" spans="1:7" x14ac:dyDescent="0.25">
      <c r="A58" s="31"/>
      <c r="B58" s="31"/>
      <c r="C58" s="31"/>
      <c r="D58" s="32" t="s">
        <v>25</v>
      </c>
      <c r="E58" s="1"/>
      <c r="F58" s="1"/>
      <c r="G58" s="1"/>
    </row>
    <row r="59" spans="1:7" x14ac:dyDescent="0.25">
      <c r="A59" s="31"/>
      <c r="B59" s="31"/>
      <c r="C59" s="31"/>
      <c r="D59" s="32"/>
      <c r="E59" s="1"/>
      <c r="F59" s="1"/>
      <c r="G59" s="1"/>
    </row>
    <row r="60" spans="1:7" x14ac:dyDescent="0.25">
      <c r="A60" s="33" t="s">
        <v>26</v>
      </c>
      <c r="B60" s="34"/>
      <c r="C60" s="31"/>
      <c r="D60" s="35"/>
      <c r="E60" s="36"/>
      <c r="F60" s="1"/>
      <c r="G60" s="1"/>
    </row>
    <row r="61" spans="1:7" x14ac:dyDescent="0.25">
      <c r="A61" s="31" t="s">
        <v>27</v>
      </c>
      <c r="B61" s="34">
        <f>(B45+B48)*(B46+B48)*(B47+B49)</f>
        <v>1.5360000000000003</v>
      </c>
      <c r="C61" s="31" t="s">
        <v>2</v>
      </c>
      <c r="D61" s="70">
        <f>B61*$F$56</f>
        <v>147.45600000000002</v>
      </c>
      <c r="E61" s="71" t="s">
        <v>2</v>
      </c>
      <c r="F61" s="1"/>
      <c r="G61" s="1"/>
    </row>
    <row r="62" spans="1:7" x14ac:dyDescent="0.25">
      <c r="A62" s="31" t="s">
        <v>42</v>
      </c>
      <c r="B62" s="34">
        <f>B61-(B45*B46*B47)</f>
        <v>1.0360000000000003</v>
      </c>
      <c r="C62" s="31" t="s">
        <v>2</v>
      </c>
      <c r="D62" s="70">
        <f>B62*$F$56</f>
        <v>99.456000000000017</v>
      </c>
      <c r="E62" s="71" t="s">
        <v>2</v>
      </c>
      <c r="F62" s="1"/>
      <c r="G62" s="1"/>
    </row>
    <row r="63" spans="1:7" x14ac:dyDescent="0.25">
      <c r="A63" s="31"/>
      <c r="B63" s="34"/>
      <c r="C63" s="31"/>
      <c r="D63" s="70"/>
      <c r="E63" s="71"/>
      <c r="F63" s="1"/>
      <c r="G63" s="1"/>
    </row>
    <row r="64" spans="1:7" x14ac:dyDescent="0.25">
      <c r="A64" s="33" t="s">
        <v>28</v>
      </c>
      <c r="B64" s="34"/>
      <c r="C64" s="31"/>
      <c r="D64" s="70"/>
      <c r="E64" s="71"/>
      <c r="F64" s="1"/>
      <c r="G64" s="1"/>
    </row>
    <row r="65" spans="1:7" x14ac:dyDescent="0.25">
      <c r="A65" s="31" t="s">
        <v>29</v>
      </c>
      <c r="B65" s="34"/>
      <c r="C65" s="31"/>
      <c r="D65" s="70"/>
      <c r="E65" s="71"/>
      <c r="F65" s="1"/>
      <c r="G65" s="1"/>
    </row>
    <row r="66" spans="1:7" x14ac:dyDescent="0.25">
      <c r="A66" s="39" t="s">
        <v>30</v>
      </c>
      <c r="B66" s="34">
        <f>(2*(B45*B47))+(2*(B46*B47))</f>
        <v>2</v>
      </c>
      <c r="C66" s="31" t="s">
        <v>6</v>
      </c>
      <c r="D66" s="70">
        <f t="shared" ref="D66:D80" si="1">B66*$F$56</f>
        <v>192</v>
      </c>
      <c r="E66" s="71" t="s">
        <v>6</v>
      </c>
      <c r="F66" s="1"/>
      <c r="G66" s="1"/>
    </row>
    <row r="67" spans="1:7" x14ac:dyDescent="0.25">
      <c r="A67" s="39" t="s">
        <v>31</v>
      </c>
      <c r="B67" s="34">
        <f>((2*(B52*B54))+((B53*B54)*2))*B51</f>
        <v>0.96</v>
      </c>
      <c r="C67" s="31" t="s">
        <v>6</v>
      </c>
      <c r="D67" s="70">
        <f t="shared" si="1"/>
        <v>92.16</v>
      </c>
      <c r="E67" s="71" t="s">
        <v>6</v>
      </c>
      <c r="F67" s="1"/>
      <c r="G67" s="1"/>
    </row>
    <row r="68" spans="1:7" x14ac:dyDescent="0.25">
      <c r="A68" s="33" t="s">
        <v>32</v>
      </c>
      <c r="B68" s="34">
        <f>B55*B51</f>
        <v>4</v>
      </c>
      <c r="C68" s="31" t="s">
        <v>8</v>
      </c>
      <c r="D68" s="70">
        <f t="shared" si="1"/>
        <v>384</v>
      </c>
      <c r="E68" s="71" t="s">
        <v>8</v>
      </c>
      <c r="F68" s="1"/>
      <c r="G68" s="1"/>
    </row>
    <row r="69" spans="1:7" x14ac:dyDescent="0.25">
      <c r="A69" s="31" t="s">
        <v>33</v>
      </c>
      <c r="B69" s="34">
        <f>B68</f>
        <v>4</v>
      </c>
      <c r="C69" s="31" t="s">
        <v>8</v>
      </c>
      <c r="D69" s="70">
        <f t="shared" si="1"/>
        <v>384</v>
      </c>
      <c r="E69" s="71" t="s">
        <v>8</v>
      </c>
      <c r="F69" s="1"/>
      <c r="G69" s="1"/>
    </row>
    <row r="70" spans="1:7" x14ac:dyDescent="0.25">
      <c r="A70" s="33" t="s">
        <v>34</v>
      </c>
      <c r="B70" s="34">
        <f>(2*B52)+(2*B53)+(2*B45)+(B46*2)</f>
        <v>5.6</v>
      </c>
      <c r="C70" s="31" t="s">
        <v>0</v>
      </c>
      <c r="D70" s="70">
        <f t="shared" si="1"/>
        <v>537.59999999999991</v>
      </c>
      <c r="E70" s="71" t="s">
        <v>0</v>
      </c>
      <c r="F70" s="1"/>
      <c r="G70" s="1"/>
    </row>
    <row r="71" spans="1:7" x14ac:dyDescent="0.25">
      <c r="A71" s="33" t="s">
        <v>4</v>
      </c>
      <c r="B71" s="34">
        <f>(B75+B76)*B56/1000</f>
        <v>6.5560000000000007E-2</v>
      </c>
      <c r="C71" s="31" t="s">
        <v>5</v>
      </c>
      <c r="D71" s="70">
        <f t="shared" si="1"/>
        <v>6.2937600000000007</v>
      </c>
      <c r="E71" s="71" t="s">
        <v>5</v>
      </c>
      <c r="F71" s="1"/>
      <c r="G71" s="1"/>
    </row>
    <row r="72" spans="1:7" x14ac:dyDescent="0.25">
      <c r="A72" s="33" t="s">
        <v>3</v>
      </c>
      <c r="B72" s="34"/>
      <c r="C72" s="31"/>
      <c r="D72" s="70">
        <f t="shared" si="1"/>
        <v>0</v>
      </c>
      <c r="E72" s="71"/>
      <c r="F72" s="1"/>
      <c r="G72" s="1"/>
    </row>
    <row r="73" spans="1:7" x14ac:dyDescent="0.25">
      <c r="A73" s="31" t="s">
        <v>35</v>
      </c>
      <c r="B73" s="34">
        <f>(B45+B48)*(B46+B48)</f>
        <v>2.5600000000000005</v>
      </c>
      <c r="C73" s="31" t="s">
        <v>6</v>
      </c>
      <c r="D73" s="70">
        <f t="shared" si="1"/>
        <v>245.76000000000005</v>
      </c>
      <c r="E73" s="71" t="s">
        <v>6</v>
      </c>
      <c r="F73" s="1"/>
      <c r="G73" s="1"/>
    </row>
    <row r="74" spans="1:7" x14ac:dyDescent="0.25">
      <c r="A74" s="31" t="s">
        <v>43</v>
      </c>
      <c r="B74" s="34"/>
      <c r="C74" s="31"/>
      <c r="D74" s="70"/>
      <c r="E74" s="71"/>
      <c r="F74" s="1"/>
      <c r="G74" s="1"/>
    </row>
    <row r="75" spans="1:7" x14ac:dyDescent="0.25">
      <c r="A75" s="39" t="s">
        <v>36</v>
      </c>
      <c r="B75" s="34">
        <f>B45*B46*B47</f>
        <v>0.5</v>
      </c>
      <c r="C75" s="1" t="s">
        <v>2</v>
      </c>
      <c r="D75" s="70">
        <f t="shared" si="1"/>
        <v>48</v>
      </c>
      <c r="E75" s="71" t="s">
        <v>2</v>
      </c>
      <c r="F75" s="1"/>
      <c r="G75" s="1"/>
    </row>
    <row r="76" spans="1:7" x14ac:dyDescent="0.25">
      <c r="A76" s="39" t="s">
        <v>37</v>
      </c>
      <c r="B76" s="34">
        <f>B51*B52*B53*B54</f>
        <v>9.6000000000000016E-2</v>
      </c>
      <c r="C76" s="31" t="s">
        <v>2</v>
      </c>
      <c r="D76" s="70">
        <f t="shared" si="1"/>
        <v>9.2160000000000011</v>
      </c>
      <c r="E76" s="71" t="s">
        <v>2</v>
      </c>
      <c r="F76" s="1"/>
      <c r="G76" s="1"/>
    </row>
    <row r="77" spans="1:7" x14ac:dyDescent="0.25">
      <c r="A77" s="38" t="s">
        <v>38</v>
      </c>
      <c r="B77" s="45">
        <f>B45*B46</f>
        <v>1</v>
      </c>
      <c r="C77" s="1" t="s">
        <v>6</v>
      </c>
      <c r="D77" s="70">
        <f t="shared" si="1"/>
        <v>96</v>
      </c>
      <c r="E77" s="72" t="s">
        <v>6</v>
      </c>
      <c r="F77" s="1"/>
      <c r="G77" s="1"/>
    </row>
    <row r="78" spans="1:7" x14ac:dyDescent="0.25">
      <c r="A78" s="1" t="s">
        <v>39</v>
      </c>
      <c r="B78" s="45"/>
      <c r="C78" s="1"/>
      <c r="D78" s="70"/>
      <c r="E78" s="72"/>
      <c r="F78" s="1"/>
      <c r="G78" s="1"/>
    </row>
    <row r="79" spans="1:7" x14ac:dyDescent="0.25">
      <c r="A79" s="47" t="s">
        <v>40</v>
      </c>
      <c r="B79" s="45">
        <f>B55*B51*(0.15*0.15*0.2)</f>
        <v>1.7999999999999999E-2</v>
      </c>
      <c r="C79" s="1" t="s">
        <v>2</v>
      </c>
      <c r="D79" s="74">
        <f t="shared" si="1"/>
        <v>1.7279999999999998</v>
      </c>
      <c r="E79" s="72" t="s">
        <v>2</v>
      </c>
      <c r="F79" s="1"/>
      <c r="G79" s="1"/>
    </row>
    <row r="80" spans="1:7" x14ac:dyDescent="0.25">
      <c r="A80" s="47" t="s">
        <v>41</v>
      </c>
      <c r="B80" s="45">
        <f>B51*B52*B53*0.075</f>
        <v>1.2000000000000002E-2</v>
      </c>
      <c r="C80" s="1" t="s">
        <v>2</v>
      </c>
      <c r="D80" s="74">
        <f t="shared" si="1"/>
        <v>1.1520000000000001</v>
      </c>
      <c r="E80" s="72" t="s">
        <v>2</v>
      </c>
      <c r="F80" s="1"/>
      <c r="G80" s="1"/>
    </row>
    <row r="81" spans="1:7" x14ac:dyDescent="0.25">
      <c r="D81" s="73"/>
      <c r="E81" s="73"/>
    </row>
    <row r="82" spans="1:7" x14ac:dyDescent="0.25">
      <c r="A82" s="20" t="s">
        <v>103</v>
      </c>
      <c r="B82" s="2"/>
      <c r="C82" s="2"/>
      <c r="D82" s="19"/>
      <c r="E82" s="19"/>
      <c r="F82" s="2"/>
      <c r="G82" s="2"/>
    </row>
    <row r="83" spans="1:7" x14ac:dyDescent="0.25">
      <c r="A83" s="2"/>
      <c r="B83" s="1"/>
      <c r="C83" s="1"/>
      <c r="D83" s="1"/>
      <c r="E83" s="1"/>
      <c r="F83" s="1"/>
      <c r="G83" s="1"/>
    </row>
    <row r="84" spans="1:7" x14ac:dyDescent="0.25">
      <c r="A84" s="22" t="s">
        <v>14</v>
      </c>
      <c r="B84" s="23">
        <v>1.75</v>
      </c>
      <c r="C84" s="22" t="s">
        <v>0</v>
      </c>
      <c r="D84" s="1"/>
      <c r="E84" s="1"/>
      <c r="F84" s="1"/>
      <c r="G84" s="1"/>
    </row>
    <row r="85" spans="1:7" x14ac:dyDescent="0.25">
      <c r="A85" s="22" t="s">
        <v>13</v>
      </c>
      <c r="B85" s="23">
        <v>1</v>
      </c>
      <c r="C85" s="22" t="s">
        <v>0</v>
      </c>
      <c r="D85" s="1"/>
      <c r="E85" s="1"/>
      <c r="F85" s="1"/>
      <c r="G85" s="1"/>
    </row>
    <row r="86" spans="1:7" x14ac:dyDescent="0.25">
      <c r="A86" s="22" t="s">
        <v>15</v>
      </c>
      <c r="B86" s="23">
        <v>0.5</v>
      </c>
      <c r="C86" s="22" t="s">
        <v>0</v>
      </c>
      <c r="D86" s="1"/>
      <c r="E86" s="1"/>
      <c r="F86" s="1"/>
      <c r="G86" s="1"/>
    </row>
    <row r="87" spans="1:7" x14ac:dyDescent="0.25">
      <c r="A87" s="22" t="s">
        <v>16</v>
      </c>
      <c r="B87" s="23">
        <v>0.6</v>
      </c>
      <c r="C87" s="22" t="s">
        <v>0</v>
      </c>
      <c r="D87" s="1"/>
      <c r="E87" s="1"/>
      <c r="F87" s="1"/>
      <c r="G87" s="1"/>
    </row>
    <row r="88" spans="1:7" x14ac:dyDescent="0.25">
      <c r="A88" s="22" t="s">
        <v>17</v>
      </c>
      <c r="B88" s="23">
        <v>0.15</v>
      </c>
      <c r="C88" s="22" t="s">
        <v>0</v>
      </c>
      <c r="D88" s="1"/>
      <c r="E88" s="1"/>
      <c r="F88" s="1"/>
      <c r="G88" s="1"/>
    </row>
    <row r="89" spans="1:7" x14ac:dyDescent="0.25">
      <c r="A89" s="22"/>
      <c r="B89" s="23"/>
      <c r="C89" s="22"/>
      <c r="D89" s="1"/>
      <c r="E89" s="1"/>
      <c r="F89" s="1"/>
      <c r="G89" s="1"/>
    </row>
    <row r="90" spans="1:7" x14ac:dyDescent="0.25">
      <c r="A90" s="22" t="s">
        <v>18</v>
      </c>
      <c r="B90" s="23">
        <v>1</v>
      </c>
      <c r="C90" s="22" t="s">
        <v>8</v>
      </c>
      <c r="D90" s="1"/>
      <c r="E90" s="1"/>
      <c r="F90" s="1"/>
      <c r="G90" s="1"/>
    </row>
    <row r="91" spans="1:7" x14ac:dyDescent="0.25">
      <c r="A91" s="22" t="s">
        <v>19</v>
      </c>
      <c r="B91" s="23"/>
      <c r="C91" s="22" t="s">
        <v>0</v>
      </c>
      <c r="D91" s="1"/>
      <c r="E91" s="1"/>
      <c r="F91" s="1"/>
      <c r="G91" s="1"/>
    </row>
    <row r="92" spans="1:7" x14ac:dyDescent="0.25">
      <c r="A92" s="22" t="s">
        <v>20</v>
      </c>
      <c r="B92" s="23"/>
      <c r="C92" s="22" t="s">
        <v>0</v>
      </c>
      <c r="D92" s="1"/>
      <c r="E92" s="1"/>
      <c r="F92" s="1"/>
      <c r="G92" s="1"/>
    </row>
    <row r="93" spans="1:7" x14ac:dyDescent="0.25">
      <c r="A93" s="22" t="s">
        <v>21</v>
      </c>
      <c r="B93" s="23"/>
      <c r="C93" s="22" t="s">
        <v>0</v>
      </c>
      <c r="D93" s="1"/>
      <c r="E93" s="1"/>
      <c r="F93" s="1"/>
      <c r="G93" s="1"/>
    </row>
    <row r="94" spans="1:7" x14ac:dyDescent="0.25">
      <c r="A94" s="22" t="s">
        <v>22</v>
      </c>
      <c r="B94" s="23">
        <v>2</v>
      </c>
      <c r="C94" s="22" t="s">
        <v>8</v>
      </c>
      <c r="D94" s="1"/>
      <c r="E94" s="1"/>
      <c r="F94" s="27"/>
      <c r="G94" s="1"/>
    </row>
    <row r="95" spans="1:7" x14ac:dyDescent="0.25">
      <c r="A95" s="22" t="s">
        <v>23</v>
      </c>
      <c r="B95" s="23">
        <v>110</v>
      </c>
      <c r="C95" s="22"/>
      <c r="D95" s="28" t="s">
        <v>24</v>
      </c>
      <c r="E95" s="28"/>
      <c r="F95" s="2">
        <v>12</v>
      </c>
      <c r="G95" s="29" t="s">
        <v>8</v>
      </c>
    </row>
    <row r="96" spans="1:7" x14ac:dyDescent="0.25">
      <c r="A96" s="22"/>
      <c r="B96" s="23"/>
      <c r="C96" s="22"/>
      <c r="D96" s="28"/>
      <c r="E96" s="28"/>
      <c r="F96" s="30"/>
      <c r="G96" s="31"/>
    </row>
    <row r="97" spans="1:9" x14ac:dyDescent="0.25">
      <c r="A97" s="31"/>
      <c r="B97" s="31"/>
      <c r="C97" s="31"/>
      <c r="D97" s="32" t="s">
        <v>25</v>
      </c>
      <c r="E97" s="1"/>
      <c r="F97" s="1"/>
      <c r="G97" s="1"/>
    </row>
    <row r="98" spans="1:9" x14ac:dyDescent="0.25">
      <c r="A98" s="31"/>
      <c r="B98" s="31"/>
      <c r="C98" s="31"/>
      <c r="D98" s="32"/>
      <c r="E98" s="1"/>
      <c r="F98" s="1"/>
      <c r="G98" s="1"/>
    </row>
    <row r="99" spans="1:9" x14ac:dyDescent="0.25">
      <c r="A99" s="33" t="s">
        <v>26</v>
      </c>
      <c r="B99" s="34"/>
      <c r="C99" s="31"/>
      <c r="D99" s="75"/>
      <c r="E99" s="71"/>
      <c r="F99" s="1"/>
      <c r="G99" s="1"/>
    </row>
    <row r="100" spans="1:9" x14ac:dyDescent="0.25">
      <c r="A100" s="31" t="s">
        <v>27</v>
      </c>
      <c r="B100" s="34">
        <f>(B84+B87)*(B85+B87)*(B86+B88)</f>
        <v>2.4440000000000004</v>
      </c>
      <c r="C100" s="31" t="s">
        <v>2</v>
      </c>
      <c r="D100" s="70">
        <f>B100*$F$95</f>
        <v>29.328000000000003</v>
      </c>
      <c r="E100" s="71" t="s">
        <v>2</v>
      </c>
      <c r="F100" s="1"/>
      <c r="G100" s="1"/>
      <c r="H100" s="37">
        <f t="shared" ref="H100:H119" si="2">D61+D100</f>
        <v>176.78400000000002</v>
      </c>
      <c r="I100" s="36" t="s">
        <v>2</v>
      </c>
    </row>
    <row r="101" spans="1:9" x14ac:dyDescent="0.25">
      <c r="A101" s="31" t="s">
        <v>42</v>
      </c>
      <c r="B101" s="34">
        <f>B100-(B84*B85*B86)</f>
        <v>1.5690000000000004</v>
      </c>
      <c r="C101" s="31" t="s">
        <v>2</v>
      </c>
      <c r="D101" s="70">
        <f t="shared" ref="D101:D119" si="3">B101*$F$95</f>
        <v>18.828000000000003</v>
      </c>
      <c r="E101" s="71" t="s">
        <v>2</v>
      </c>
      <c r="F101" s="1"/>
      <c r="G101" s="1"/>
      <c r="H101" s="37">
        <f t="shared" si="2"/>
        <v>118.28400000000002</v>
      </c>
      <c r="I101" s="36" t="s">
        <v>2</v>
      </c>
    </row>
    <row r="102" spans="1:9" x14ac:dyDescent="0.25">
      <c r="A102" s="31"/>
      <c r="B102" s="34"/>
      <c r="C102" s="31"/>
      <c r="D102" s="70"/>
      <c r="E102" s="71"/>
      <c r="F102" s="1"/>
      <c r="G102" s="1"/>
      <c r="H102" s="37">
        <f t="shared" si="2"/>
        <v>0</v>
      </c>
      <c r="I102" s="36"/>
    </row>
    <row r="103" spans="1:9" x14ac:dyDescent="0.25">
      <c r="A103" s="33" t="s">
        <v>28</v>
      </c>
      <c r="B103" s="34"/>
      <c r="C103" s="31"/>
      <c r="D103" s="70"/>
      <c r="E103" s="71"/>
      <c r="F103" s="1"/>
      <c r="G103" s="1"/>
      <c r="H103" s="37">
        <f t="shared" si="2"/>
        <v>0</v>
      </c>
      <c r="I103" s="36"/>
    </row>
    <row r="104" spans="1:9" x14ac:dyDescent="0.25">
      <c r="A104" s="31" t="s">
        <v>29</v>
      </c>
      <c r="B104" s="34"/>
      <c r="C104" s="31"/>
      <c r="D104" s="70"/>
      <c r="E104" s="71"/>
      <c r="F104" s="1"/>
      <c r="G104" s="1"/>
      <c r="H104" s="37">
        <f t="shared" si="2"/>
        <v>0</v>
      </c>
      <c r="I104" s="36"/>
    </row>
    <row r="105" spans="1:9" x14ac:dyDescent="0.25">
      <c r="A105" s="39" t="s">
        <v>30</v>
      </c>
      <c r="B105" s="34">
        <f>(2*(B84*B86))+(2*(B85*B86))</f>
        <v>2.75</v>
      </c>
      <c r="C105" s="31" t="s">
        <v>6</v>
      </c>
      <c r="D105" s="70">
        <f t="shared" si="3"/>
        <v>33</v>
      </c>
      <c r="E105" s="71" t="s">
        <v>6</v>
      </c>
      <c r="F105" s="1"/>
      <c r="G105" s="1"/>
      <c r="H105" s="37">
        <f t="shared" si="2"/>
        <v>225</v>
      </c>
      <c r="I105" s="36" t="s">
        <v>6</v>
      </c>
    </row>
    <row r="106" spans="1:9" x14ac:dyDescent="0.25">
      <c r="A106" s="39" t="s">
        <v>31</v>
      </c>
      <c r="B106" s="34">
        <f>((2*(B91*B93))+((B92*B93)*2))*B90</f>
        <v>0</v>
      </c>
      <c r="C106" s="31" t="s">
        <v>6</v>
      </c>
      <c r="D106" s="70">
        <f t="shared" si="3"/>
        <v>0</v>
      </c>
      <c r="E106" s="71" t="s">
        <v>6</v>
      </c>
      <c r="F106" s="1"/>
      <c r="G106" s="1"/>
      <c r="H106" s="37">
        <f t="shared" si="2"/>
        <v>92.16</v>
      </c>
      <c r="I106" s="36" t="s">
        <v>6</v>
      </c>
    </row>
    <row r="107" spans="1:9" x14ac:dyDescent="0.25">
      <c r="A107" s="33" t="s">
        <v>32</v>
      </c>
      <c r="B107" s="34">
        <f>B94*B90</f>
        <v>2</v>
      </c>
      <c r="C107" s="31" t="s">
        <v>8</v>
      </c>
      <c r="D107" s="70">
        <f t="shared" si="3"/>
        <v>24</v>
      </c>
      <c r="E107" s="71" t="s">
        <v>8</v>
      </c>
      <c r="F107" s="1"/>
      <c r="G107" s="1"/>
      <c r="H107" s="37">
        <f t="shared" si="2"/>
        <v>408</v>
      </c>
      <c r="I107" s="36" t="s">
        <v>8</v>
      </c>
    </row>
    <row r="108" spans="1:9" x14ac:dyDescent="0.25">
      <c r="A108" s="31" t="s">
        <v>33</v>
      </c>
      <c r="B108" s="34">
        <f>B107</f>
        <v>2</v>
      </c>
      <c r="C108" s="31" t="s">
        <v>8</v>
      </c>
      <c r="D108" s="70">
        <f t="shared" si="3"/>
        <v>24</v>
      </c>
      <c r="E108" s="71" t="s">
        <v>8</v>
      </c>
      <c r="F108" s="1"/>
      <c r="G108" s="1"/>
      <c r="H108" s="37">
        <f t="shared" si="2"/>
        <v>408</v>
      </c>
      <c r="I108" s="36" t="s">
        <v>8</v>
      </c>
    </row>
    <row r="109" spans="1:9" x14ac:dyDescent="0.25">
      <c r="A109" s="33" t="s">
        <v>34</v>
      </c>
      <c r="B109" s="34">
        <f>(2*B91)+(2*B92)+(2*B84)+(B85*2)</f>
        <v>5.5</v>
      </c>
      <c r="C109" s="31" t="s">
        <v>0</v>
      </c>
      <c r="D109" s="70">
        <f t="shared" si="3"/>
        <v>66</v>
      </c>
      <c r="E109" s="71" t="s">
        <v>0</v>
      </c>
      <c r="F109" s="1"/>
      <c r="G109" s="1"/>
      <c r="H109" s="37">
        <f t="shared" si="2"/>
        <v>603.59999999999991</v>
      </c>
      <c r="I109" s="36" t="s">
        <v>0</v>
      </c>
    </row>
    <row r="110" spans="1:9" x14ac:dyDescent="0.25">
      <c r="A110" s="33" t="s">
        <v>4</v>
      </c>
      <c r="B110" s="34">
        <f>(B114+B115)*B95/1000</f>
        <v>9.6250000000000002E-2</v>
      </c>
      <c r="C110" s="31" t="s">
        <v>5</v>
      </c>
      <c r="D110" s="70">
        <f t="shared" si="3"/>
        <v>1.155</v>
      </c>
      <c r="E110" s="71" t="s">
        <v>5</v>
      </c>
      <c r="F110" s="1"/>
      <c r="G110" s="1"/>
      <c r="H110" s="37">
        <f t="shared" si="2"/>
        <v>7.4487600000000009</v>
      </c>
      <c r="I110" s="36" t="s">
        <v>5</v>
      </c>
    </row>
    <row r="111" spans="1:9" x14ac:dyDescent="0.25">
      <c r="A111" s="33" t="s">
        <v>3</v>
      </c>
      <c r="B111" s="34"/>
      <c r="C111" s="31"/>
      <c r="D111" s="70"/>
      <c r="E111" s="71"/>
      <c r="F111" s="1"/>
      <c r="G111" s="1"/>
      <c r="H111" s="37">
        <f t="shared" si="2"/>
        <v>0</v>
      </c>
      <c r="I111" s="36"/>
    </row>
    <row r="112" spans="1:9" x14ac:dyDescent="0.25">
      <c r="A112" s="31" t="s">
        <v>35</v>
      </c>
      <c r="B112" s="34">
        <f>(B84+B87)*(B85+B87)</f>
        <v>3.7600000000000002</v>
      </c>
      <c r="C112" s="31" t="s">
        <v>6</v>
      </c>
      <c r="D112" s="70">
        <f t="shared" si="3"/>
        <v>45.120000000000005</v>
      </c>
      <c r="E112" s="71" t="s">
        <v>6</v>
      </c>
      <c r="F112" s="1"/>
      <c r="G112" s="1"/>
      <c r="H112" s="37">
        <f t="shared" si="2"/>
        <v>290.88000000000005</v>
      </c>
      <c r="I112" s="36" t="s">
        <v>6</v>
      </c>
    </row>
    <row r="113" spans="1:9" x14ac:dyDescent="0.25">
      <c r="A113" s="31" t="s">
        <v>43</v>
      </c>
      <c r="B113" s="34"/>
      <c r="C113" s="31"/>
      <c r="D113" s="70"/>
      <c r="E113" s="71"/>
      <c r="F113" s="1"/>
      <c r="G113" s="1"/>
      <c r="H113" s="37">
        <f t="shared" si="2"/>
        <v>0</v>
      </c>
      <c r="I113" s="36"/>
    </row>
    <row r="114" spans="1:9" x14ac:dyDescent="0.25">
      <c r="A114" s="39" t="s">
        <v>36</v>
      </c>
      <c r="B114" s="34">
        <f>B84*B85*B86</f>
        <v>0.875</v>
      </c>
      <c r="C114" s="1" t="s">
        <v>2</v>
      </c>
      <c r="D114" s="70">
        <f t="shared" si="3"/>
        <v>10.5</v>
      </c>
      <c r="E114" s="71" t="s">
        <v>2</v>
      </c>
      <c r="F114" s="1"/>
      <c r="G114" s="1"/>
      <c r="H114" s="37">
        <f t="shared" si="2"/>
        <v>58.5</v>
      </c>
      <c r="I114" s="36" t="s">
        <v>2</v>
      </c>
    </row>
    <row r="115" spans="1:9" x14ac:dyDescent="0.25">
      <c r="A115" s="39" t="s">
        <v>37</v>
      </c>
      <c r="B115" s="34">
        <f>B90*B91*B92*B93</f>
        <v>0</v>
      </c>
      <c r="C115" s="31" t="s">
        <v>2</v>
      </c>
      <c r="D115" s="70">
        <f t="shared" si="3"/>
        <v>0</v>
      </c>
      <c r="E115" s="71" t="s">
        <v>2</v>
      </c>
      <c r="F115" s="1"/>
      <c r="G115" s="1"/>
      <c r="H115" s="37">
        <f t="shared" si="2"/>
        <v>9.2160000000000011</v>
      </c>
      <c r="I115" s="36" t="s">
        <v>2</v>
      </c>
    </row>
    <row r="116" spans="1:9" x14ac:dyDescent="0.25">
      <c r="A116" s="38" t="s">
        <v>38</v>
      </c>
      <c r="B116" s="45">
        <f>B84*B85</f>
        <v>1.75</v>
      </c>
      <c r="C116" s="1" t="s">
        <v>6</v>
      </c>
      <c r="D116" s="70">
        <f t="shared" si="3"/>
        <v>21</v>
      </c>
      <c r="E116" s="72" t="s">
        <v>6</v>
      </c>
      <c r="F116" s="1"/>
      <c r="G116" s="1"/>
      <c r="H116" s="37">
        <f t="shared" si="2"/>
        <v>117</v>
      </c>
      <c r="I116" s="46" t="s">
        <v>6</v>
      </c>
    </row>
    <row r="117" spans="1:9" x14ac:dyDescent="0.25">
      <c r="A117" s="1" t="s">
        <v>39</v>
      </c>
      <c r="B117" s="45"/>
      <c r="C117" s="1"/>
      <c r="D117" s="70"/>
      <c r="E117" s="72"/>
      <c r="F117" s="1"/>
      <c r="G117" s="1"/>
      <c r="H117" s="37">
        <f t="shared" si="2"/>
        <v>0</v>
      </c>
      <c r="I117" s="46"/>
    </row>
    <row r="118" spans="1:9" x14ac:dyDescent="0.25">
      <c r="A118" s="47" t="s">
        <v>40</v>
      </c>
      <c r="B118" s="45">
        <f>B94*B90*(0.15*0.15*0.2)</f>
        <v>8.9999999999999993E-3</v>
      </c>
      <c r="C118" s="1" t="s">
        <v>2</v>
      </c>
      <c r="D118" s="76">
        <f t="shared" si="3"/>
        <v>0.10799999999999998</v>
      </c>
      <c r="E118" s="72" t="s">
        <v>2</v>
      </c>
      <c r="F118" s="1"/>
      <c r="G118" s="1"/>
      <c r="H118" s="69">
        <f t="shared" si="2"/>
        <v>1.8359999999999999</v>
      </c>
      <c r="I118" s="46" t="s">
        <v>2</v>
      </c>
    </row>
    <row r="119" spans="1:9" x14ac:dyDescent="0.25">
      <c r="A119" s="47" t="s">
        <v>41</v>
      </c>
      <c r="B119" s="45">
        <f>B90*B91*B92*0.075</f>
        <v>0</v>
      </c>
      <c r="C119" s="1" t="s">
        <v>2</v>
      </c>
      <c r="D119" s="76">
        <f t="shared" si="3"/>
        <v>0</v>
      </c>
      <c r="E119" s="72" t="s">
        <v>2</v>
      </c>
      <c r="F119" s="1"/>
      <c r="G119" s="1"/>
      <c r="H119" s="69">
        <f t="shared" si="2"/>
        <v>1.1520000000000001</v>
      </c>
      <c r="I119" s="46" t="s">
        <v>2</v>
      </c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8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Piperacks</vt:lpstr>
      <vt:lpstr>Staircases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Johann Watermeyer</cp:lastModifiedBy>
  <cp:lastPrinted>2023-09-12T14:10:03Z</cp:lastPrinted>
  <dcterms:created xsi:type="dcterms:W3CDTF">2023-07-13T00:53:25Z</dcterms:created>
  <dcterms:modified xsi:type="dcterms:W3CDTF">2023-09-12T14:25:28Z</dcterms:modified>
</cp:coreProperties>
</file>