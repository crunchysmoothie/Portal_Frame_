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7_BOQ\Piperacks &amp; Staircases\Structural Steelwork\"/>
    </mc:Choice>
  </mc:AlternateContent>
  <xr:revisionPtr revIDLastSave="0" documentId="13_ncr:1_{05309D7F-3E02-4C0B-8564-55231AD9D774}" xr6:coauthVersionLast="47" xr6:coauthVersionMax="47" xr10:uidLastSave="{00000000-0000-0000-0000-000000000000}"/>
  <bookViews>
    <workbookView xWindow="20370" yWindow="-120" windowWidth="29040" windowHeight="15840" tabRatio="903" xr2:uid="{00000000-000D-0000-FFFF-FFFF00000000}"/>
  </bookViews>
  <sheets>
    <sheet name="SECTION 6 - PIPERACKS" sheetId="147" r:id="rId1"/>
  </sheets>
  <definedNames>
    <definedName name="_xlnm.Print_Area" localSheetId="0">'SECTION 6 - PIPERACKS'!$A$1:$G$75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5" i="147" l="1"/>
  <c r="I22" i="147"/>
  <c r="E22" i="147" s="1"/>
  <c r="E20" i="147"/>
  <c r="E24" i="147"/>
  <c r="E26" i="147"/>
  <c r="E30" i="147"/>
  <c r="E69" i="147"/>
  <c r="G69" i="147" s="1"/>
  <c r="J34" i="147"/>
  <c r="I13" i="147" l="1"/>
  <c r="I34" i="147"/>
  <c r="E34" i="147" s="1"/>
  <c r="J42" i="147"/>
  <c r="J38" i="147" s="1"/>
  <c r="J46" i="147"/>
  <c r="J13" i="147"/>
  <c r="I46" i="147" l="1"/>
  <c r="E46" i="147" s="1"/>
  <c r="I42" i="147"/>
  <c r="I38" i="147" l="1"/>
  <c r="E38" i="147" s="1"/>
  <c r="E42" i="147"/>
  <c r="G34" i="147" l="1"/>
  <c r="G30" i="147"/>
  <c r="G26" i="147"/>
  <c r="G24" i="147"/>
  <c r="G20" i="147"/>
  <c r="G22" i="147" l="1"/>
  <c r="E13" i="147"/>
  <c r="G13" i="147" s="1"/>
  <c r="G46" i="147"/>
  <c r="G42" i="147" l="1"/>
  <c r="G38" i="147"/>
  <c r="E55" i="147" l="1"/>
  <c r="G55" i="147" s="1"/>
  <c r="E67" i="147"/>
  <c r="G67" i="147" s="1"/>
  <c r="E57" i="147"/>
  <c r="G57" i="147" s="1"/>
  <c r="E53" i="147"/>
  <c r="G53" i="147" s="1"/>
  <c r="E63" i="147"/>
  <c r="G63" i="147" s="1"/>
</calcChain>
</file>

<file path=xl/sharedStrings.xml><?xml version="1.0" encoding="utf-8"?>
<sst xmlns="http://schemas.openxmlformats.org/spreadsheetml/2006/main" count="84" uniqueCount="68">
  <si>
    <t>m</t>
  </si>
  <si>
    <t>t</t>
  </si>
  <si>
    <t>ITEM NO</t>
  </si>
  <si>
    <t>DESCRIPTION</t>
  </si>
  <si>
    <t>UNIT</t>
  </si>
  <si>
    <t>RATE</t>
  </si>
  <si>
    <t>AMOUNT</t>
  </si>
  <si>
    <t>m2</t>
  </si>
  <si>
    <t xml:space="preserve"> </t>
  </si>
  <si>
    <t>8.2.1</t>
  </si>
  <si>
    <t>8.3.4</t>
  </si>
  <si>
    <t>8.3.1</t>
  </si>
  <si>
    <t>8.3.3</t>
  </si>
  <si>
    <t>8.3.2</t>
  </si>
  <si>
    <t>8.3.2.1c</t>
  </si>
  <si>
    <t>8.3.2.1a</t>
  </si>
  <si>
    <t>8.3.2.1</t>
  </si>
  <si>
    <t>STRUCTURAL STEELWORK (SUNDRY ITEMS)</t>
  </si>
  <si>
    <t>SANS</t>
  </si>
  <si>
    <t>STRUCTURAL STEELWORK</t>
  </si>
  <si>
    <t>PAYMENT REFERS TO</t>
  </si>
  <si>
    <t>QUANTITY</t>
  </si>
  <si>
    <t>1200H</t>
  </si>
  <si>
    <t>Supply and fabrication:</t>
  </si>
  <si>
    <t>8.3.1.1</t>
  </si>
  <si>
    <t>Preparation of shop detail drawings</t>
  </si>
  <si>
    <t>8.3.1.2</t>
  </si>
  <si>
    <t>Supply and fabrication of steelwork, Grade S355JR:</t>
  </si>
  <si>
    <t>Joint by welding in shop and bolting on site:</t>
  </si>
  <si>
    <t>Hot-Rolled Steel Sections</t>
  </si>
  <si>
    <t>H/I-section main columns</t>
  </si>
  <si>
    <t>I-section beams and rafters</t>
  </si>
  <si>
    <t>Angle section bracing and sag bars</t>
  </si>
  <si>
    <t>Cold Form Sections (Purlins, Girts, etc.)</t>
  </si>
  <si>
    <t xml:space="preserve">Delivery to site </t>
  </si>
  <si>
    <t>Normal delivery</t>
  </si>
  <si>
    <t xml:space="preserve">Erection on site </t>
  </si>
  <si>
    <t>Structural steelwork and erection bolts</t>
  </si>
  <si>
    <t xml:space="preserve">Erection bolts </t>
  </si>
  <si>
    <t>8.3.4.1</t>
  </si>
  <si>
    <t>Grade 8.8 precision galvanised bolts, nuts and washers</t>
  </si>
  <si>
    <t>1200HC</t>
  </si>
  <si>
    <t>CORROSION PROTECTION OF STRUCTURAL STEELWORK</t>
  </si>
  <si>
    <t>1200HB</t>
  </si>
  <si>
    <t>Handrails</t>
  </si>
  <si>
    <t>Horizontal</t>
  </si>
  <si>
    <t>Shaped ends</t>
  </si>
  <si>
    <t>No.</t>
  </si>
  <si>
    <t>Flooring, complete and installed with frames (Hot-Dip Galvanised)</t>
  </si>
  <si>
    <t>Open Grid Floors</t>
  </si>
  <si>
    <t>Vitagrid VFE (VE40) series 5/1 centres with 40x4.5mm bearer bars. All panels to be branded and hot dipped galvanised.</t>
  </si>
  <si>
    <t>Frames and Kerbs for Flooring</t>
  </si>
  <si>
    <t>8.3.4.2</t>
  </si>
  <si>
    <t>150mm High x 6mm thick galvanised kicker plates</t>
  </si>
  <si>
    <t>TOTAL SECTION CARRIED TO SUMMARY</t>
  </si>
  <si>
    <t xml:space="preserve">Corrosion protection for all structural steel members must be applied according to Project Specific Standard : PSS 3 - Corrosion Protection:
- Primer              :  Carboguard 890  (DFT  - 125µm )
- Intermediate  :  Carboguard 890  (DFT  - 125µm )
- Finishing          :  Carboguard 134  (DFT  - 40µm )
   </t>
  </si>
  <si>
    <t>Platework</t>
  </si>
  <si>
    <t>No</t>
  </si>
  <si>
    <t>PIPERACKS</t>
  </si>
  <si>
    <t>Sloping</t>
  </si>
  <si>
    <t>Rev 00</t>
  </si>
  <si>
    <t>12/9/2023</t>
  </si>
  <si>
    <t>PIPERACKS &amp; STAIRCASES</t>
  </si>
  <si>
    <t>STAIRCASES</t>
  </si>
  <si>
    <t xml:space="preserve">Lipped channel </t>
  </si>
  <si>
    <t xml:space="preserve">NAFASI - ARNOT WASTE WATER TREATMENT PLANT </t>
  </si>
  <si>
    <t>SECTION : PIPERACKS &amp; STAIRCASES</t>
  </si>
  <si>
    <t>Staircase Threads (1.2m wide)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</si>
</sst>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  <numFmt numFmtId="166" formatCode="_-* #,##0_-;\-* #,##0_-;_-* &quot;-&quot;??_-;_-@_-"/>
    <numFmt numFmtId="167" formatCode="_ [$R-1C09]\ * #,##0_ ;_ [$R-1C09]\ * \-#,##0_ ;_ [$R-1C09]\ * &quot;-&quot;??_ ;_ @_ "/>
    <numFmt numFmtId="168" formatCode="_ * #,##0_ ;_ * \-#,##0_ ;_ * &quot;-&quot;??_ ;_ @_ "/>
    <numFmt numFmtId="169" formatCode="[$-1C09]dd\ mmmm\ yy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name val="Times New Roman"/>
      <family val="1"/>
    </font>
    <font>
      <sz val="10"/>
      <name val="Arial"/>
      <family val="2"/>
    </font>
    <font>
      <sz val="12"/>
      <name val="Arial MT"/>
    </font>
    <font>
      <b/>
      <i/>
      <sz val="9"/>
      <name val="Arial"/>
      <family val="2"/>
    </font>
    <font>
      <sz val="11"/>
      <color theme="1"/>
      <name val="Arial"/>
      <family val="2"/>
    </font>
    <font>
      <u/>
      <sz val="10"/>
      <name val="Times New Roman"/>
      <family val="1"/>
    </font>
    <font>
      <sz val="10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u/>
      <sz val="8"/>
      <name val="Calibri"/>
      <family val="2"/>
      <scheme val="minor"/>
    </font>
    <font>
      <u/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3" fontId="19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9" fillId="0" borderId="0"/>
    <xf numFmtId="0" fontId="21" fillId="34" borderId="14" applyBorder="0" applyAlignment="0">
      <alignment horizontal="center" vertical="center" wrapText="1"/>
    </xf>
    <xf numFmtId="0" fontId="22" fillId="0" borderId="0"/>
    <xf numFmtId="0" fontId="23" fillId="0" borderId="0"/>
    <xf numFmtId="0" fontId="1" fillId="0" borderId="0"/>
    <xf numFmtId="0" fontId="24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</cellStyleXfs>
  <cellXfs count="90">
    <xf numFmtId="0" fontId="0" fillId="0" borderId="0" xfId="0"/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167" fontId="26" fillId="0" borderId="11" xfId="58" applyNumberFormat="1" applyFont="1" applyFill="1" applyBorder="1" applyAlignment="1">
      <alignment horizontal="right" vertical="center"/>
    </xf>
    <xf numFmtId="0" fontId="26" fillId="0" borderId="11" xfId="0" applyFont="1" applyBorder="1" applyAlignment="1">
      <alignment vertical="center" wrapText="1"/>
    </xf>
    <xf numFmtId="0" fontId="26" fillId="0" borderId="11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43" fontId="26" fillId="0" borderId="21" xfId="58" applyFont="1" applyFill="1" applyBorder="1" applyAlignment="1">
      <alignment vertical="center"/>
    </xf>
    <xf numFmtId="0" fontId="26" fillId="0" borderId="20" xfId="0" applyFont="1" applyBorder="1" applyAlignment="1">
      <alignment horizontal="center" vertical="center"/>
    </xf>
    <xf numFmtId="43" fontId="25" fillId="0" borderId="25" xfId="47" quotePrefix="1" applyNumberFormat="1" applyFont="1" applyBorder="1" applyAlignment="1">
      <alignment horizontal="right" vertical="center"/>
    </xf>
    <xf numFmtId="0" fontId="27" fillId="0" borderId="0" xfId="42" applyFont="1" applyAlignment="1">
      <alignment horizontal="left" vertical="center"/>
    </xf>
    <xf numFmtId="0" fontId="28" fillId="0" borderId="12" xfId="0" applyFont="1" applyBorder="1" applyAlignment="1">
      <alignment vertical="center" wrapText="1"/>
    </xf>
    <xf numFmtId="0" fontId="26" fillId="0" borderId="12" xfId="0" applyFont="1" applyBorder="1" applyAlignment="1">
      <alignment vertical="center" wrapText="1"/>
    </xf>
    <xf numFmtId="1" fontId="26" fillId="0" borderId="0" xfId="47" applyNumberFormat="1" applyFont="1" applyAlignment="1">
      <alignment horizontal="center" vertical="center"/>
    </xf>
    <xf numFmtId="0" fontId="26" fillId="0" borderId="0" xfId="47" applyFont="1" applyAlignment="1">
      <alignment horizontal="left" vertical="center"/>
    </xf>
    <xf numFmtId="0" fontId="26" fillId="0" borderId="0" xfId="47" applyFont="1" applyAlignment="1">
      <alignment horizontal="center" vertical="center"/>
    </xf>
    <xf numFmtId="167" fontId="26" fillId="0" borderId="0" xfId="47" applyNumberFormat="1" applyFont="1" applyAlignment="1">
      <alignment horizontal="center" vertical="center"/>
    </xf>
    <xf numFmtId="0" fontId="26" fillId="0" borderId="0" xfId="47" applyFont="1" applyAlignment="1">
      <alignment horizontal="right" vertical="center"/>
    </xf>
    <xf numFmtId="2" fontId="25" fillId="0" borderId="0" xfId="0" applyNumberFormat="1" applyFont="1" applyAlignment="1">
      <alignment horizontal="center" vertical="center"/>
    </xf>
    <xf numFmtId="0" fontId="26" fillId="0" borderId="0" xfId="47" applyFont="1" applyAlignment="1">
      <alignment vertical="center"/>
    </xf>
    <xf numFmtId="169" fontId="25" fillId="0" borderId="0" xfId="0" applyNumberFormat="1" applyFont="1" applyAlignment="1">
      <alignment horizontal="center" vertical="center"/>
    </xf>
    <xf numFmtId="0" fontId="26" fillId="0" borderId="16" xfId="47" applyFont="1" applyBorder="1" applyAlignment="1">
      <alignment horizontal="center" vertical="center"/>
    </xf>
    <xf numFmtId="1" fontId="26" fillId="0" borderId="16" xfId="47" applyNumberFormat="1" applyFont="1" applyBorder="1" applyAlignment="1">
      <alignment horizontal="center" vertical="center"/>
    </xf>
    <xf numFmtId="0" fontId="26" fillId="0" borderId="16" xfId="47" applyFont="1" applyBorder="1" applyAlignment="1">
      <alignment horizontal="left" vertical="center"/>
    </xf>
    <xf numFmtId="167" fontId="26" fillId="0" borderId="16" xfId="47" applyNumberFormat="1" applyFont="1" applyBorder="1" applyAlignment="1">
      <alignment horizontal="center" vertical="center"/>
    </xf>
    <xf numFmtId="0" fontId="26" fillId="0" borderId="16" xfId="47" applyFont="1" applyBorder="1" applyAlignment="1">
      <alignment horizontal="right" vertical="center"/>
    </xf>
    <xf numFmtId="167" fontId="26" fillId="0" borderId="16" xfId="47" applyNumberFormat="1" applyFont="1" applyBorder="1" applyAlignment="1">
      <alignment horizontal="right" vertical="center"/>
    </xf>
    <xf numFmtId="0" fontId="25" fillId="0" borderId="17" xfId="47" applyFont="1" applyBorder="1" applyAlignment="1">
      <alignment horizontal="center" vertical="center" wrapText="1"/>
    </xf>
    <xf numFmtId="1" fontId="25" fillId="0" borderId="18" xfId="47" applyNumberFormat="1" applyFont="1" applyBorder="1" applyAlignment="1">
      <alignment horizontal="center" vertical="center" wrapText="1"/>
    </xf>
    <xf numFmtId="0" fontId="25" fillId="0" borderId="26" xfId="47" applyFont="1" applyBorder="1" applyAlignment="1">
      <alignment horizontal="center" vertical="center" wrapText="1"/>
    </xf>
    <xf numFmtId="0" fontId="25" fillId="0" borderId="18" xfId="47" applyFont="1" applyBorder="1" applyAlignment="1">
      <alignment horizontal="center" vertical="center" wrapText="1"/>
    </xf>
    <xf numFmtId="1" fontId="25" fillId="0" borderId="18" xfId="58" applyNumberFormat="1" applyFont="1" applyFill="1" applyBorder="1" applyAlignment="1">
      <alignment horizontal="center" vertical="center" wrapText="1"/>
    </xf>
    <xf numFmtId="167" fontId="25" fillId="0" borderId="18" xfId="58" applyNumberFormat="1" applyFont="1" applyFill="1" applyBorder="1" applyAlignment="1">
      <alignment horizontal="center" vertical="center" wrapText="1"/>
    </xf>
    <xf numFmtId="167" fontId="25" fillId="0" borderId="19" xfId="58" applyNumberFormat="1" applyFont="1" applyFill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/>
    </xf>
    <xf numFmtId="0" fontId="26" fillId="0" borderId="15" xfId="47" applyFont="1" applyBorder="1" applyAlignment="1">
      <alignment horizontal="left" vertical="center"/>
    </xf>
    <xf numFmtId="166" fontId="26" fillId="0" borderId="15" xfId="58" applyNumberFormat="1" applyFont="1" applyFill="1" applyBorder="1" applyAlignment="1">
      <alignment horizontal="center" vertical="center"/>
    </xf>
    <xf numFmtId="167" fontId="26" fillId="0" borderId="12" xfId="58" applyNumberFormat="1" applyFont="1" applyFill="1" applyBorder="1" applyAlignment="1">
      <alignment horizontal="right" vertical="center"/>
    </xf>
    <xf numFmtId="43" fontId="26" fillId="0" borderId="21" xfId="58" applyFont="1" applyFill="1" applyBorder="1" applyAlignment="1">
      <alignment horizontal="right" vertical="center"/>
    </xf>
    <xf numFmtId="0" fontId="26" fillId="0" borderId="20" xfId="47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66" fontId="26" fillId="0" borderId="11" xfId="58" applyNumberFormat="1" applyFont="1" applyFill="1" applyBorder="1" applyAlignment="1">
      <alignment horizontal="center" vertical="center"/>
    </xf>
    <xf numFmtId="0" fontId="26" fillId="0" borderId="11" xfId="47" applyFont="1" applyBorder="1" applyAlignment="1">
      <alignment horizontal="left" vertical="center"/>
    </xf>
    <xf numFmtId="0" fontId="25" fillId="0" borderId="20" xfId="47" applyFont="1" applyBorder="1" applyAlignment="1">
      <alignment horizontal="center" vertical="center"/>
    </xf>
    <xf numFmtId="0" fontId="27" fillId="0" borderId="11" xfId="42" applyFont="1" applyBorder="1" applyAlignment="1">
      <alignment horizontal="left" vertical="center"/>
    </xf>
    <xf numFmtId="0" fontId="26" fillId="0" borderId="11" xfId="47" applyFont="1" applyBorder="1" applyAlignment="1">
      <alignment horizontal="center" vertical="center"/>
    </xf>
    <xf numFmtId="43" fontId="26" fillId="0" borderId="21" xfId="47" applyNumberFormat="1" applyFont="1" applyBorder="1" applyAlignment="1">
      <alignment vertical="center"/>
    </xf>
    <xf numFmtId="0" fontId="27" fillId="0" borderId="11" xfId="47" applyFont="1" applyBorder="1" applyAlignment="1">
      <alignment horizontal="left" vertical="center"/>
    </xf>
    <xf numFmtId="0" fontId="25" fillId="0" borderId="11" xfId="47" applyFont="1" applyBorder="1" applyAlignment="1">
      <alignment horizontal="left" vertical="center"/>
    </xf>
    <xf numFmtId="43" fontId="26" fillId="0" borderId="11" xfId="43" applyNumberFormat="1" applyFont="1" applyFill="1" applyBorder="1" applyAlignment="1">
      <alignment horizontal="center" vertical="center"/>
    </xf>
    <xf numFmtId="166" fontId="26" fillId="0" borderId="11" xfId="43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43" fontId="26" fillId="0" borderId="11" xfId="58" applyFont="1" applyFill="1" applyBorder="1" applyAlignment="1">
      <alignment horizontal="center" vertical="center"/>
    </xf>
    <xf numFmtId="0" fontId="28" fillId="0" borderId="11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43" fontId="26" fillId="0" borderId="11" xfId="47" applyNumberFormat="1" applyFont="1" applyBorder="1" applyAlignment="1">
      <alignment horizontal="center" vertical="center"/>
    </xf>
    <xf numFmtId="1" fontId="26" fillId="0" borderId="0" xfId="47" quotePrefix="1" applyNumberFormat="1" applyFont="1" applyAlignment="1">
      <alignment horizontal="center" vertical="center"/>
    </xf>
    <xf numFmtId="0" fontId="26" fillId="0" borderId="20" xfId="47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167" fontId="26" fillId="0" borderId="12" xfId="58" applyNumberFormat="1" applyFont="1" applyFill="1" applyBorder="1" applyAlignment="1">
      <alignment horizontal="center" vertical="center"/>
    </xf>
    <xf numFmtId="43" fontId="26" fillId="0" borderId="21" xfId="47" applyNumberFormat="1" applyFont="1" applyBorder="1" applyAlignment="1">
      <alignment horizontal="center" vertical="center"/>
    </xf>
    <xf numFmtId="1" fontId="26" fillId="0" borderId="11" xfId="47" applyNumberFormat="1" applyFont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26" fillId="0" borderId="27" xfId="0" applyFont="1" applyBorder="1" applyAlignment="1">
      <alignment horizontal="center" vertical="center"/>
    </xf>
    <xf numFmtId="1" fontId="26" fillId="0" borderId="13" xfId="47" applyNumberFormat="1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0" fontId="26" fillId="0" borderId="13" xfId="0" applyFont="1" applyBorder="1" applyAlignment="1">
      <alignment horizontal="center" vertical="center"/>
    </xf>
    <xf numFmtId="168" fontId="26" fillId="0" borderId="13" xfId="0" applyNumberFormat="1" applyFont="1" applyBorder="1" applyAlignment="1">
      <alignment horizontal="center" vertical="center"/>
    </xf>
    <xf numFmtId="168" fontId="26" fillId="0" borderId="13" xfId="0" applyNumberFormat="1" applyFont="1" applyBorder="1" applyAlignment="1" applyProtection="1">
      <alignment vertical="center"/>
      <protection locked="0"/>
    </xf>
    <xf numFmtId="43" fontId="26" fillId="0" borderId="28" xfId="47" applyNumberFormat="1" applyFont="1" applyBorder="1" applyAlignment="1">
      <alignment horizontal="center" vertical="center"/>
    </xf>
    <xf numFmtId="43" fontId="26" fillId="0" borderId="0" xfId="47" applyNumberFormat="1" applyFont="1" applyAlignment="1">
      <alignment vertical="center"/>
    </xf>
    <xf numFmtId="167" fontId="26" fillId="0" borderId="0" xfId="47" applyNumberFormat="1" applyFont="1" applyAlignment="1">
      <alignment vertical="center"/>
    </xf>
    <xf numFmtId="168" fontId="26" fillId="0" borderId="11" xfId="0" applyNumberFormat="1" applyFont="1" applyBorder="1" applyAlignment="1" applyProtection="1">
      <alignment vertical="center"/>
      <protection locked="0"/>
    </xf>
    <xf numFmtId="168" fontId="26" fillId="0" borderId="11" xfId="0" applyNumberFormat="1" applyFont="1" applyBorder="1" applyAlignment="1">
      <alignment vertical="center"/>
    </xf>
    <xf numFmtId="43" fontId="26" fillId="0" borderId="21" xfId="0" applyNumberFormat="1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20" xfId="57" applyFont="1" applyBorder="1" applyAlignment="1">
      <alignment horizontal="center" vertical="center" wrapText="1"/>
    </xf>
    <xf numFmtId="43" fontId="26" fillId="0" borderId="0" xfId="47" applyNumberFormat="1" applyFont="1" applyAlignment="1">
      <alignment horizontal="center" vertical="center"/>
    </xf>
    <xf numFmtId="0" fontId="29" fillId="0" borderId="11" xfId="0" applyFont="1" applyBorder="1" applyAlignment="1">
      <alignment vertical="center" wrapText="1"/>
    </xf>
    <xf numFmtId="43" fontId="26" fillId="0" borderId="13" xfId="47" applyNumberFormat="1" applyFont="1" applyBorder="1" applyAlignment="1">
      <alignment horizontal="center" vertical="center"/>
    </xf>
    <xf numFmtId="167" fontId="25" fillId="0" borderId="10" xfId="58" applyNumberFormat="1" applyFont="1" applyFill="1" applyBorder="1" applyAlignment="1">
      <alignment horizontal="center" vertical="center" wrapText="1"/>
    </xf>
    <xf numFmtId="166" fontId="26" fillId="0" borderId="11" xfId="0" applyNumberFormat="1" applyFont="1" applyBorder="1" applyAlignment="1">
      <alignment horizontal="center" vertical="center"/>
    </xf>
    <xf numFmtId="166" fontId="26" fillId="0" borderId="11" xfId="47" applyNumberFormat="1" applyFont="1" applyBorder="1" applyAlignment="1">
      <alignment horizontal="center" vertical="center"/>
    </xf>
    <xf numFmtId="43" fontId="25" fillId="0" borderId="30" xfId="47" quotePrefix="1" applyNumberFormat="1" applyFont="1" applyBorder="1" applyAlignment="1">
      <alignment horizontal="center" vertical="center"/>
    </xf>
    <xf numFmtId="0" fontId="25" fillId="0" borderId="22" xfId="47" applyFont="1" applyBorder="1" applyAlignment="1">
      <alignment horizontal="left" vertical="center"/>
    </xf>
    <xf numFmtId="0" fontId="25" fillId="0" borderId="23" xfId="47" applyFont="1" applyBorder="1" applyAlignment="1">
      <alignment horizontal="left" vertical="center"/>
    </xf>
    <xf numFmtId="0" fontId="25" fillId="0" borderId="24" xfId="47" applyFont="1" applyBorder="1" applyAlignment="1">
      <alignment horizontal="left" vertical="center"/>
    </xf>
  </cellXfs>
  <cellStyles count="5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 xr:uid="{00000000-0005-0000-0000-00001B000000}"/>
    <cellStyle name="Comma 2 2" xfId="58" xr:uid="{33023C10-AE41-49A7-9A3D-FDE29D3DFAC2}"/>
    <cellStyle name="Comma 3" xfId="56" xr:uid="{00000000-0005-0000-0000-00001C000000}"/>
    <cellStyle name="Comma0" xfId="43" xr:uid="{00000000-0005-0000-0000-00001D000000}"/>
    <cellStyle name="Currency 2" xfId="49" xr:uid="{00000000-0005-0000-0000-00001E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7" xr:uid="{00000000-0005-0000-0000-000029000000}"/>
    <cellStyle name="Normal 3" xfId="44" xr:uid="{00000000-0005-0000-0000-00002A000000}"/>
    <cellStyle name="Normal 4" xfId="50" xr:uid="{00000000-0005-0000-0000-00002B000000}"/>
    <cellStyle name="Normal 5" xfId="54" xr:uid="{00000000-0005-0000-0000-00002C000000}"/>
    <cellStyle name="Normal 6" xfId="52" xr:uid="{00000000-0005-0000-0000-00002D000000}"/>
    <cellStyle name="Normal 7" xfId="55" xr:uid="{00000000-0005-0000-0000-00002E000000}"/>
    <cellStyle name="Normal_Bill of quantities" xfId="57" xr:uid="{E42E80ED-2B51-4B96-82ED-9BD6A03D6D31}"/>
    <cellStyle name="Note" xfId="15" builtinId="10" customBuiltin="1"/>
    <cellStyle name="OPSKRIF" xfId="42" xr:uid="{00000000-0005-0000-0000-000030000000}"/>
    <cellStyle name="OPSKRIFTE" xfId="53" xr:uid="{00000000-0005-0000-0000-000031000000}"/>
    <cellStyle name="Output" xfId="10" builtinId="21" customBuiltin="1"/>
    <cellStyle name="Percent 2" xfId="48" xr:uid="{00000000-0005-0000-0000-000034000000}"/>
    <cellStyle name="Percent 3" xfId="45" xr:uid="{00000000-0005-0000-0000-000035000000}"/>
    <cellStyle name="Title" xfId="1" builtinId="15" customBuiltin="1"/>
    <cellStyle name="Total" xfId="17" builtinId="25" customBuiltin="1"/>
    <cellStyle name="TR1" xfId="51" xr:uid="{00000000-0005-0000-0000-000038000000}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  <color rgb="FFFFFF66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6AB8-A211-4FCD-987F-E2C78C252F16}">
  <sheetPr>
    <pageSetUpPr fitToPage="1"/>
  </sheetPr>
  <dimension ref="A1:J112"/>
  <sheetViews>
    <sheetView showGridLines="0" tabSelected="1" view="pageBreakPreview" topLeftCell="A36" zoomScaleNormal="100" zoomScaleSheetLayoutView="100" workbookViewId="0">
      <selection activeCell="F53" sqref="F53"/>
    </sheetView>
  </sheetViews>
  <sheetFormatPr defaultColWidth="9.140625" defaultRowHeight="11.25"/>
  <cols>
    <col min="1" max="1" width="9.85546875" style="16" customWidth="1"/>
    <col min="2" max="2" width="5.7109375" style="14" customWidth="1"/>
    <col min="3" max="3" width="40.7109375" style="20" customWidth="1"/>
    <col min="4" max="4" width="6.42578125" style="20" customWidth="1"/>
    <col min="5" max="5" width="8.7109375" style="17" customWidth="1"/>
    <col min="6" max="6" width="8.7109375" style="18" customWidth="1"/>
    <col min="7" max="7" width="13.7109375" style="74" customWidth="1"/>
    <col min="8" max="8" width="4.28515625" style="20" customWidth="1"/>
    <col min="9" max="10" width="13.7109375" style="17" customWidth="1"/>
    <col min="11" max="16384" width="9.140625" style="20"/>
  </cols>
  <sheetData>
    <row r="1" spans="1:10" ht="16.899999999999999" customHeight="1">
      <c r="A1" s="3" t="s">
        <v>65</v>
      </c>
      <c r="C1" s="15"/>
      <c r="D1" s="16"/>
      <c r="G1" s="19" t="s">
        <v>60</v>
      </c>
      <c r="I1" s="19"/>
      <c r="J1" s="19"/>
    </row>
    <row r="2" spans="1:10" ht="16.899999999999999" customHeight="1">
      <c r="A2" s="3" t="s">
        <v>19</v>
      </c>
      <c r="C2" s="15"/>
      <c r="D2" s="16"/>
      <c r="G2" s="19"/>
      <c r="I2" s="19"/>
      <c r="J2" s="19"/>
    </row>
    <row r="3" spans="1:10" ht="16.899999999999999" customHeight="1">
      <c r="A3" s="3" t="s">
        <v>66</v>
      </c>
      <c r="C3" s="15"/>
      <c r="D3" s="16"/>
      <c r="G3" s="21" t="s">
        <v>61</v>
      </c>
      <c r="I3" s="21"/>
      <c r="J3" s="21"/>
    </row>
    <row r="4" spans="1:10" ht="12" customHeight="1" thickBot="1">
      <c r="A4" s="22"/>
      <c r="B4" s="23"/>
      <c r="C4" s="24"/>
      <c r="D4" s="22"/>
      <c r="E4" s="25"/>
      <c r="F4" s="26"/>
      <c r="G4" s="27"/>
    </row>
    <row r="5" spans="1:10" ht="40.15" customHeight="1">
      <c r="A5" s="28" t="s">
        <v>20</v>
      </c>
      <c r="B5" s="29" t="s">
        <v>2</v>
      </c>
      <c r="C5" s="30" t="s">
        <v>3</v>
      </c>
      <c r="D5" s="31" t="s">
        <v>4</v>
      </c>
      <c r="E5" s="32" t="s">
        <v>21</v>
      </c>
      <c r="F5" s="33" t="s">
        <v>5</v>
      </c>
      <c r="G5" s="34" t="s">
        <v>6</v>
      </c>
      <c r="I5" s="83" t="s">
        <v>58</v>
      </c>
      <c r="J5" s="83" t="s">
        <v>63</v>
      </c>
    </row>
    <row r="6" spans="1:10" ht="12" customHeight="1">
      <c r="A6" s="35"/>
      <c r="C6" s="36"/>
      <c r="D6" s="16"/>
      <c r="E6" s="37"/>
      <c r="F6" s="38"/>
      <c r="G6" s="39"/>
      <c r="I6" s="55"/>
      <c r="J6" s="55"/>
    </row>
    <row r="7" spans="1:10" ht="12" customHeight="1">
      <c r="A7" s="40"/>
      <c r="C7" s="41" t="s">
        <v>62</v>
      </c>
      <c r="D7" s="16"/>
      <c r="E7" s="42"/>
      <c r="F7" s="38"/>
      <c r="G7" s="39"/>
      <c r="I7" s="55"/>
      <c r="J7" s="55"/>
    </row>
    <row r="8" spans="1:10" ht="12" customHeight="1">
      <c r="A8" s="40"/>
      <c r="C8" s="43"/>
      <c r="D8" s="16"/>
      <c r="E8" s="42"/>
      <c r="F8" s="38"/>
      <c r="G8" s="39"/>
      <c r="I8" s="55"/>
      <c r="J8" s="55"/>
    </row>
    <row r="9" spans="1:10" ht="12" customHeight="1">
      <c r="A9" s="44" t="s">
        <v>18</v>
      </c>
      <c r="C9" s="45" t="s">
        <v>19</v>
      </c>
      <c r="D9" s="16"/>
      <c r="E9" s="42"/>
      <c r="F9" s="38"/>
      <c r="G9" s="39"/>
      <c r="I9" s="55"/>
      <c r="J9" s="55"/>
    </row>
    <row r="10" spans="1:10" ht="12" customHeight="1">
      <c r="A10" s="44" t="s">
        <v>22</v>
      </c>
      <c r="C10" s="43"/>
      <c r="D10" s="16"/>
      <c r="E10" s="46"/>
      <c r="F10" s="38"/>
      <c r="G10" s="47"/>
      <c r="I10" s="58"/>
      <c r="J10" s="58"/>
    </row>
    <row r="11" spans="1:10" ht="12" customHeight="1">
      <c r="A11" s="40" t="s">
        <v>11</v>
      </c>
      <c r="C11" s="48" t="s">
        <v>23</v>
      </c>
      <c r="D11" s="16"/>
      <c r="E11" s="46"/>
      <c r="F11" s="38"/>
      <c r="G11" s="47"/>
      <c r="I11" s="58"/>
      <c r="J11" s="58"/>
    </row>
    <row r="12" spans="1:10" ht="12" customHeight="1">
      <c r="A12" s="40"/>
      <c r="C12" s="49"/>
      <c r="D12" s="16"/>
      <c r="E12" s="46"/>
      <c r="F12" s="38"/>
      <c r="G12" s="47"/>
      <c r="I12" s="58"/>
      <c r="J12" s="58"/>
    </row>
    <row r="13" spans="1:10" ht="12" customHeight="1">
      <c r="A13" s="40" t="s">
        <v>24</v>
      </c>
      <c r="B13" s="14">
        <v>1</v>
      </c>
      <c r="C13" s="43" t="s">
        <v>25</v>
      </c>
      <c r="D13" s="16" t="s">
        <v>1</v>
      </c>
      <c r="E13" s="50">
        <f>SUM(E20:E31)</f>
        <v>181.95</v>
      </c>
      <c r="F13" s="38"/>
      <c r="G13" s="47">
        <f>F13*E13</f>
        <v>0</v>
      </c>
      <c r="I13" s="50">
        <f t="shared" ref="I13:J13" si="0">SUM(I20:I31)</f>
        <v>151.27000000000001</v>
      </c>
      <c r="J13" s="50">
        <f t="shared" si="0"/>
        <v>30.68</v>
      </c>
    </row>
    <row r="14" spans="1:10" ht="12" customHeight="1">
      <c r="A14" s="40"/>
      <c r="C14" s="43"/>
      <c r="D14" s="16"/>
      <c r="E14" s="51"/>
      <c r="F14" s="38"/>
      <c r="G14" s="47"/>
      <c r="I14" s="51"/>
      <c r="J14" s="51"/>
    </row>
    <row r="15" spans="1:10" ht="12" customHeight="1">
      <c r="A15" s="9" t="s">
        <v>26</v>
      </c>
      <c r="C15" s="52" t="s">
        <v>27</v>
      </c>
      <c r="D15" s="16"/>
      <c r="E15" s="42"/>
      <c r="F15" s="38"/>
      <c r="G15" s="39"/>
      <c r="I15" s="42"/>
      <c r="J15" s="42"/>
    </row>
    <row r="16" spans="1:10" ht="12" customHeight="1">
      <c r="A16" s="44"/>
      <c r="C16" s="43" t="s">
        <v>28</v>
      </c>
      <c r="D16" s="16"/>
      <c r="E16" s="42"/>
      <c r="F16" s="38"/>
      <c r="G16" s="39"/>
      <c r="I16" s="42"/>
      <c r="J16" s="42"/>
    </row>
    <row r="17" spans="1:10" ht="12" customHeight="1">
      <c r="A17" s="44"/>
      <c r="C17" s="53"/>
      <c r="D17" s="16"/>
      <c r="E17" s="42"/>
      <c r="F17" s="38"/>
      <c r="G17" s="39"/>
      <c r="I17" s="42"/>
      <c r="J17" s="42"/>
    </row>
    <row r="18" spans="1:10" ht="12" customHeight="1">
      <c r="A18" s="44"/>
      <c r="C18" s="54" t="s">
        <v>29</v>
      </c>
      <c r="D18" s="16"/>
      <c r="E18" s="42"/>
      <c r="F18" s="38"/>
      <c r="G18" s="47"/>
      <c r="I18" s="42"/>
      <c r="J18" s="42"/>
    </row>
    <row r="19" spans="1:10" ht="12" customHeight="1">
      <c r="A19" s="44"/>
      <c r="C19" s="53"/>
      <c r="D19" s="16"/>
      <c r="E19" s="42"/>
      <c r="F19" s="38"/>
      <c r="G19" s="47"/>
      <c r="I19" s="42"/>
      <c r="J19" s="42"/>
    </row>
    <row r="20" spans="1:10" ht="12" customHeight="1">
      <c r="A20" s="9"/>
      <c r="B20" s="14">
        <v>2</v>
      </c>
      <c r="C20" s="43" t="s">
        <v>30</v>
      </c>
      <c r="D20" s="16" t="s">
        <v>1</v>
      </c>
      <c r="E20" s="50">
        <f t="shared" ref="E20:E46" si="1">SUM(I20:L20)</f>
        <v>57.76</v>
      </c>
      <c r="F20" s="38"/>
      <c r="G20" s="47">
        <f>F20*E20</f>
        <v>0</v>
      </c>
      <c r="I20" s="50">
        <v>36.86</v>
      </c>
      <c r="J20" s="50">
        <v>20.9</v>
      </c>
    </row>
    <row r="21" spans="1:10" ht="12" customHeight="1">
      <c r="A21" s="9"/>
      <c r="C21" s="43"/>
      <c r="D21" s="16"/>
      <c r="E21" s="50"/>
      <c r="F21" s="38"/>
      <c r="G21" s="47"/>
      <c r="I21" s="55"/>
      <c r="J21" s="55"/>
    </row>
    <row r="22" spans="1:10" ht="12" customHeight="1">
      <c r="A22" s="9"/>
      <c r="B22" s="14">
        <v>3</v>
      </c>
      <c r="C22" s="43" t="s">
        <v>31</v>
      </c>
      <c r="D22" s="16" t="s">
        <v>1</v>
      </c>
      <c r="E22" s="50">
        <f t="shared" si="1"/>
        <v>97.5</v>
      </c>
      <c r="F22" s="38"/>
      <c r="G22" s="47">
        <f>F22*E22</f>
        <v>0</v>
      </c>
      <c r="I22" s="50">
        <f>85+12.5</f>
        <v>97.5</v>
      </c>
      <c r="J22" s="50"/>
    </row>
    <row r="23" spans="1:10" ht="12" customHeight="1">
      <c r="A23" s="9"/>
      <c r="C23" s="43"/>
      <c r="D23" s="16"/>
      <c r="E23" s="50"/>
      <c r="F23" s="38"/>
      <c r="G23" s="47"/>
      <c r="I23" s="55"/>
      <c r="J23" s="55"/>
    </row>
    <row r="24" spans="1:10" ht="12" customHeight="1">
      <c r="A24" s="9"/>
      <c r="B24" s="14">
        <v>4</v>
      </c>
      <c r="C24" s="43" t="s">
        <v>32</v>
      </c>
      <c r="D24" s="16" t="s">
        <v>1</v>
      </c>
      <c r="E24" s="50">
        <f t="shared" si="1"/>
        <v>16.91</v>
      </c>
      <c r="F24" s="38"/>
      <c r="G24" s="47">
        <f>F24*E24</f>
        <v>0</v>
      </c>
      <c r="I24" s="50">
        <v>16.91</v>
      </c>
      <c r="J24" s="50"/>
    </row>
    <row r="25" spans="1:10" ht="12" customHeight="1">
      <c r="A25" s="9"/>
      <c r="C25" s="43"/>
      <c r="D25" s="16"/>
      <c r="E25" s="50"/>
      <c r="F25" s="38"/>
      <c r="G25" s="47"/>
      <c r="I25" s="55"/>
      <c r="J25" s="55"/>
    </row>
    <row r="26" spans="1:10" ht="12" customHeight="1">
      <c r="A26" s="9"/>
      <c r="B26" s="14">
        <v>5</v>
      </c>
      <c r="C26" s="43" t="s">
        <v>56</v>
      </c>
      <c r="D26" s="16" t="s">
        <v>1</v>
      </c>
      <c r="E26" s="50">
        <f t="shared" si="1"/>
        <v>0</v>
      </c>
      <c r="F26" s="38"/>
      <c r="G26" s="47">
        <f>F26*E26</f>
        <v>0</v>
      </c>
      <c r="I26" s="50"/>
      <c r="J26" s="50"/>
    </row>
    <row r="27" spans="1:10" ht="12" customHeight="1">
      <c r="A27" s="9"/>
      <c r="C27" s="43"/>
      <c r="D27" s="16"/>
      <c r="E27" s="50"/>
      <c r="F27" s="38"/>
      <c r="G27" s="47"/>
      <c r="I27" s="50"/>
      <c r="J27" s="50"/>
    </row>
    <row r="28" spans="1:10" ht="12" customHeight="1">
      <c r="A28" s="9"/>
      <c r="C28" s="56" t="s">
        <v>33</v>
      </c>
      <c r="D28" s="16"/>
      <c r="E28" s="50"/>
      <c r="F28" s="38"/>
      <c r="G28" s="47"/>
      <c r="I28" s="55"/>
      <c r="J28" s="55"/>
    </row>
    <row r="29" spans="1:10" ht="12" customHeight="1">
      <c r="A29" s="9"/>
      <c r="C29" s="56"/>
      <c r="D29" s="16"/>
      <c r="E29" s="50"/>
      <c r="F29" s="38"/>
      <c r="G29" s="47"/>
      <c r="I29" s="55"/>
      <c r="J29" s="55"/>
    </row>
    <row r="30" spans="1:10" ht="12" customHeight="1">
      <c r="A30" s="9"/>
      <c r="B30" s="14">
        <v>6</v>
      </c>
      <c r="C30" s="6" t="s">
        <v>64</v>
      </c>
      <c r="D30" s="16" t="s">
        <v>1</v>
      </c>
      <c r="E30" s="50">
        <f t="shared" si="1"/>
        <v>9.7799999999999994</v>
      </c>
      <c r="F30" s="38"/>
      <c r="G30" s="47">
        <f>F30*E30</f>
        <v>0</v>
      </c>
      <c r="I30" s="50"/>
      <c r="J30" s="50">
        <v>9.7799999999999994</v>
      </c>
    </row>
    <row r="31" spans="1:10" ht="12" customHeight="1">
      <c r="A31" s="9"/>
      <c r="C31" s="43"/>
      <c r="D31" s="16"/>
      <c r="E31" s="50"/>
      <c r="F31" s="38"/>
      <c r="G31" s="47"/>
      <c r="I31" s="55"/>
      <c r="J31" s="55"/>
    </row>
    <row r="32" spans="1:10" ht="12" customHeight="1">
      <c r="A32" s="40" t="s">
        <v>13</v>
      </c>
      <c r="C32" s="57" t="s">
        <v>34</v>
      </c>
      <c r="D32" s="16"/>
      <c r="E32" s="50"/>
      <c r="F32" s="38"/>
      <c r="G32" s="47"/>
      <c r="I32" s="46"/>
      <c r="J32" s="46"/>
    </row>
    <row r="33" spans="1:10" ht="12" customHeight="1">
      <c r="A33" s="40"/>
      <c r="C33" s="43"/>
      <c r="D33" s="16"/>
      <c r="E33" s="50"/>
      <c r="F33" s="38"/>
      <c r="G33" s="47"/>
      <c r="I33" s="46"/>
      <c r="J33" s="46"/>
    </row>
    <row r="34" spans="1:10" ht="12" customHeight="1">
      <c r="A34" s="40" t="s">
        <v>16</v>
      </c>
      <c r="B34" s="14">
        <v>7</v>
      </c>
      <c r="C34" s="43" t="s">
        <v>35</v>
      </c>
      <c r="D34" s="16" t="s">
        <v>1</v>
      </c>
      <c r="E34" s="50">
        <f t="shared" si="1"/>
        <v>181.95000000000002</v>
      </c>
      <c r="F34" s="38"/>
      <c r="G34" s="47">
        <f>F34*E34</f>
        <v>0</v>
      </c>
      <c r="I34" s="50">
        <f t="shared" ref="I34:J34" si="2">SUM(I20:I31)</f>
        <v>151.27000000000001</v>
      </c>
      <c r="J34" s="50">
        <f t="shared" si="2"/>
        <v>30.68</v>
      </c>
    </row>
    <row r="35" spans="1:10" ht="12" customHeight="1">
      <c r="A35" s="40"/>
      <c r="C35" s="43"/>
      <c r="D35" s="16"/>
      <c r="E35" s="50"/>
      <c r="F35" s="38"/>
      <c r="G35" s="47"/>
      <c r="I35" s="58"/>
      <c r="J35" s="58"/>
    </row>
    <row r="36" spans="1:10" ht="12" customHeight="1">
      <c r="A36" s="40" t="s">
        <v>12</v>
      </c>
      <c r="C36" s="57" t="s">
        <v>36</v>
      </c>
      <c r="D36" s="16"/>
      <c r="E36" s="50"/>
      <c r="F36" s="38"/>
      <c r="G36" s="47"/>
      <c r="I36" s="42"/>
      <c r="J36" s="42"/>
    </row>
    <row r="37" spans="1:10" ht="12" customHeight="1">
      <c r="A37" s="44"/>
      <c r="C37" s="45"/>
      <c r="D37" s="16"/>
      <c r="E37" s="50"/>
      <c r="F37" s="38"/>
      <c r="G37" s="39"/>
      <c r="I37" s="42"/>
      <c r="J37" s="42"/>
    </row>
    <row r="38" spans="1:10" ht="12" customHeight="1">
      <c r="A38" s="44"/>
      <c r="B38" s="14">
        <v>8</v>
      </c>
      <c r="C38" s="6" t="s">
        <v>37</v>
      </c>
      <c r="D38" s="16" t="s">
        <v>1</v>
      </c>
      <c r="E38" s="50">
        <f t="shared" si="1"/>
        <v>188.31825000000003</v>
      </c>
      <c r="F38" s="38"/>
      <c r="G38" s="47">
        <f>F38*E38</f>
        <v>0</v>
      </c>
      <c r="I38" s="50">
        <f t="shared" ref="I38:J38" si="3">I34+I42</f>
        <v>156.56445000000002</v>
      </c>
      <c r="J38" s="50">
        <f t="shared" si="3"/>
        <v>31.753799999999998</v>
      </c>
    </row>
    <row r="39" spans="1:10" ht="12" customHeight="1">
      <c r="A39" s="40"/>
      <c r="B39" s="59"/>
      <c r="C39" s="49"/>
      <c r="D39" s="16"/>
      <c r="E39" s="50"/>
      <c r="F39" s="38"/>
      <c r="G39" s="47"/>
      <c r="I39" s="51"/>
      <c r="J39" s="51"/>
    </row>
    <row r="40" spans="1:10" ht="12" customHeight="1">
      <c r="A40" s="40" t="s">
        <v>10</v>
      </c>
      <c r="B40" s="59"/>
      <c r="C40" s="57" t="s">
        <v>38</v>
      </c>
      <c r="D40" s="16"/>
      <c r="E40" s="50"/>
      <c r="F40" s="38"/>
      <c r="G40" s="47"/>
      <c r="I40" s="51"/>
      <c r="J40" s="51"/>
    </row>
    <row r="41" spans="1:10" ht="12" customHeight="1">
      <c r="A41" s="60"/>
      <c r="B41" s="59"/>
      <c r="C41" s="43"/>
      <c r="D41" s="16"/>
      <c r="E41" s="50"/>
      <c r="F41" s="38"/>
      <c r="G41" s="47"/>
      <c r="I41" s="42"/>
      <c r="J41" s="42"/>
    </row>
    <row r="42" spans="1:10" ht="12" customHeight="1">
      <c r="A42" s="40" t="s">
        <v>39</v>
      </c>
      <c r="B42" s="59">
        <v>9</v>
      </c>
      <c r="C42" s="5" t="s">
        <v>40</v>
      </c>
      <c r="D42" s="16" t="s">
        <v>1</v>
      </c>
      <c r="E42" s="50">
        <f t="shared" si="1"/>
        <v>6.3682500000000015</v>
      </c>
      <c r="F42" s="38"/>
      <c r="G42" s="47">
        <f>F42*E42</f>
        <v>0</v>
      </c>
      <c r="I42" s="50">
        <f t="shared" ref="I42:J42" si="4">I34*0.035</f>
        <v>5.2944500000000012</v>
      </c>
      <c r="J42" s="50">
        <f t="shared" si="4"/>
        <v>1.0738000000000001</v>
      </c>
    </row>
    <row r="43" spans="1:10" ht="12" customHeight="1">
      <c r="A43" s="40"/>
      <c r="B43" s="59"/>
      <c r="C43" s="61"/>
      <c r="D43" s="16"/>
      <c r="E43" s="50"/>
      <c r="F43" s="38"/>
      <c r="G43" s="47"/>
      <c r="I43" s="42"/>
      <c r="J43" s="42"/>
    </row>
    <row r="44" spans="1:10" ht="12" customHeight="1">
      <c r="A44" s="44" t="s">
        <v>41</v>
      </c>
      <c r="B44" s="59"/>
      <c r="C44" s="45" t="s">
        <v>42</v>
      </c>
      <c r="D44" s="16"/>
      <c r="E44" s="50"/>
      <c r="F44" s="38"/>
      <c r="G44" s="47"/>
      <c r="I44" s="42"/>
      <c r="J44" s="42"/>
    </row>
    <row r="45" spans="1:10">
      <c r="A45" s="60"/>
      <c r="B45" s="59"/>
      <c r="C45" s="43"/>
      <c r="D45" s="16"/>
      <c r="E45" s="50"/>
      <c r="F45" s="38"/>
      <c r="G45" s="47"/>
      <c r="I45" s="42"/>
      <c r="J45" s="42"/>
    </row>
    <row r="46" spans="1:10" ht="90">
      <c r="A46" s="40" t="s">
        <v>9</v>
      </c>
      <c r="B46" s="59">
        <v>10</v>
      </c>
      <c r="C46" s="5" t="s">
        <v>55</v>
      </c>
      <c r="D46" s="16" t="s">
        <v>1</v>
      </c>
      <c r="E46" s="50">
        <f t="shared" si="1"/>
        <v>181.95000000000002</v>
      </c>
      <c r="F46" s="62"/>
      <c r="G46" s="63">
        <f>F46*E46</f>
        <v>0</v>
      </c>
      <c r="I46" s="50">
        <f t="shared" ref="I46:J46" si="5">I34</f>
        <v>151.27000000000001</v>
      </c>
      <c r="J46" s="50">
        <f t="shared" si="5"/>
        <v>30.68</v>
      </c>
    </row>
    <row r="47" spans="1:10">
      <c r="A47" s="40"/>
      <c r="B47" s="59"/>
      <c r="C47" s="5"/>
      <c r="D47" s="16"/>
      <c r="E47" s="50"/>
      <c r="F47" s="62"/>
      <c r="G47" s="63"/>
      <c r="I47" s="58"/>
      <c r="J47" s="58"/>
    </row>
    <row r="48" spans="1:10">
      <c r="A48" s="44" t="s">
        <v>43</v>
      </c>
      <c r="B48" s="64"/>
      <c r="C48" s="11" t="s">
        <v>17</v>
      </c>
      <c r="D48" s="7"/>
      <c r="E48" s="50"/>
      <c r="F48" s="4"/>
      <c r="G48" s="8"/>
      <c r="I48" s="42"/>
      <c r="J48" s="42"/>
    </row>
    <row r="49" spans="1:10">
      <c r="A49" s="40"/>
      <c r="B49" s="64"/>
      <c r="C49" s="1"/>
      <c r="D49" s="7"/>
      <c r="E49" s="50"/>
      <c r="F49" s="4"/>
      <c r="G49" s="8"/>
      <c r="I49" s="42"/>
      <c r="J49" s="42"/>
    </row>
    <row r="50" spans="1:10">
      <c r="A50" s="40"/>
      <c r="B50" s="64"/>
      <c r="C50" s="1"/>
      <c r="D50" s="7"/>
      <c r="E50" s="50"/>
      <c r="F50" s="4"/>
      <c r="G50" s="8"/>
      <c r="I50" s="42"/>
      <c r="J50" s="42"/>
    </row>
    <row r="51" spans="1:10">
      <c r="A51" s="9" t="s">
        <v>13</v>
      </c>
      <c r="B51" s="64"/>
      <c r="C51" s="65" t="s">
        <v>44</v>
      </c>
      <c r="D51" s="7"/>
      <c r="E51" s="50"/>
      <c r="F51" s="76"/>
      <c r="G51" s="77"/>
      <c r="I51" s="84"/>
      <c r="J51" s="84"/>
    </row>
    <row r="52" spans="1:10">
      <c r="A52" s="9"/>
      <c r="B52" s="64"/>
      <c r="C52" s="78" t="s">
        <v>8</v>
      </c>
      <c r="D52" s="7"/>
      <c r="E52" s="50"/>
      <c r="F52" s="76"/>
      <c r="G52" s="77"/>
      <c r="I52" s="84"/>
      <c r="J52" s="84"/>
    </row>
    <row r="53" spans="1:10">
      <c r="A53" s="79" t="s">
        <v>15</v>
      </c>
      <c r="B53" s="64">
        <v>11</v>
      </c>
      <c r="C53" s="2" t="s">
        <v>45</v>
      </c>
      <c r="D53" s="7" t="s">
        <v>0</v>
      </c>
      <c r="E53" s="51">
        <f>SUM(I53:L53)</f>
        <v>830</v>
      </c>
      <c r="F53" s="75"/>
      <c r="G53" s="63">
        <f>E53*F53</f>
        <v>0</v>
      </c>
      <c r="I53" s="85">
        <v>758</v>
      </c>
      <c r="J53" s="85">
        <v>72</v>
      </c>
    </row>
    <row r="54" spans="1:10">
      <c r="A54" s="79"/>
      <c r="B54" s="64"/>
      <c r="C54" s="2"/>
      <c r="D54" s="7"/>
      <c r="E54" s="51"/>
      <c r="F54" s="75"/>
      <c r="G54" s="63"/>
      <c r="I54" s="85"/>
      <c r="J54" s="85"/>
    </row>
    <row r="55" spans="1:10">
      <c r="A55" s="79"/>
      <c r="B55" s="64">
        <v>12</v>
      </c>
      <c r="C55" s="2" t="s">
        <v>59</v>
      </c>
      <c r="D55" s="7" t="s">
        <v>0</v>
      </c>
      <c r="E55" s="51">
        <f>SUM(I55:L55)</f>
        <v>225</v>
      </c>
      <c r="F55" s="75"/>
      <c r="G55" s="63">
        <f>E55*F55</f>
        <v>0</v>
      </c>
      <c r="I55" s="85"/>
      <c r="J55" s="85">
        <v>225</v>
      </c>
    </row>
    <row r="56" spans="1:10">
      <c r="A56" s="79"/>
      <c r="B56" s="64"/>
      <c r="C56" s="2"/>
      <c r="D56" s="7"/>
      <c r="E56" s="84"/>
      <c r="F56" s="75"/>
      <c r="G56" s="63"/>
      <c r="I56" s="85"/>
      <c r="J56" s="85"/>
    </row>
    <row r="57" spans="1:10">
      <c r="A57" s="79" t="s">
        <v>14</v>
      </c>
      <c r="B57" s="64">
        <v>13</v>
      </c>
      <c r="C57" s="2" t="s">
        <v>46</v>
      </c>
      <c r="D57" s="7" t="s">
        <v>47</v>
      </c>
      <c r="E57" s="51">
        <f>SUM(I57:L57)</f>
        <v>24</v>
      </c>
      <c r="F57" s="75"/>
      <c r="G57" s="63">
        <f>E57*F57</f>
        <v>0</v>
      </c>
      <c r="I57" s="85"/>
      <c r="J57" s="85">
        <v>24</v>
      </c>
    </row>
    <row r="58" spans="1:10">
      <c r="A58" s="79"/>
      <c r="B58" s="64"/>
      <c r="C58" s="2"/>
      <c r="D58" s="7"/>
      <c r="E58" s="84"/>
      <c r="F58" s="75"/>
      <c r="G58" s="77"/>
      <c r="I58" s="84"/>
      <c r="J58" s="84"/>
    </row>
    <row r="59" spans="1:10">
      <c r="A59" s="9" t="s">
        <v>10</v>
      </c>
      <c r="B59" s="64"/>
      <c r="C59" s="65" t="s">
        <v>48</v>
      </c>
      <c r="D59" s="7"/>
      <c r="E59" s="84"/>
      <c r="F59" s="75"/>
      <c r="G59" s="63"/>
      <c r="I59" s="85"/>
      <c r="J59" s="85"/>
    </row>
    <row r="60" spans="1:10">
      <c r="A60" s="9"/>
      <c r="B60" s="64"/>
      <c r="C60" s="13"/>
      <c r="D60" s="7"/>
      <c r="E60" s="84"/>
      <c r="F60" s="75"/>
      <c r="G60" s="77"/>
      <c r="I60" s="84"/>
      <c r="J60" s="84"/>
    </row>
    <row r="61" spans="1:10">
      <c r="A61" s="9"/>
      <c r="B61" s="64"/>
      <c r="C61" s="12" t="s">
        <v>49</v>
      </c>
      <c r="D61" s="7"/>
      <c r="E61" s="84"/>
      <c r="F61" s="76"/>
      <c r="G61" s="77"/>
      <c r="I61" s="84"/>
      <c r="J61" s="84"/>
    </row>
    <row r="62" spans="1:10">
      <c r="A62" s="9"/>
      <c r="B62" s="64"/>
      <c r="C62" s="78"/>
      <c r="D62" s="7"/>
      <c r="E62" s="84"/>
      <c r="F62" s="76"/>
      <c r="G62" s="77"/>
      <c r="I62" s="84"/>
      <c r="J62" s="84"/>
    </row>
    <row r="63" spans="1:10" ht="33.75">
      <c r="A63" s="9" t="s">
        <v>39</v>
      </c>
      <c r="B63" s="64">
        <v>14</v>
      </c>
      <c r="C63" s="13" t="s">
        <v>50</v>
      </c>
      <c r="D63" s="7" t="s">
        <v>7</v>
      </c>
      <c r="E63" s="51">
        <f>SUM(I63:L63)</f>
        <v>490</v>
      </c>
      <c r="F63" s="75"/>
      <c r="G63" s="63">
        <f>F63*E63</f>
        <v>0</v>
      </c>
      <c r="I63" s="85">
        <v>455</v>
      </c>
      <c r="J63" s="85">
        <v>35</v>
      </c>
    </row>
    <row r="64" spans="1:10">
      <c r="A64" s="9"/>
      <c r="B64" s="64"/>
      <c r="C64" s="2"/>
      <c r="D64" s="7"/>
      <c r="E64" s="84"/>
      <c r="F64" s="75"/>
      <c r="G64" s="77"/>
      <c r="I64" s="84"/>
      <c r="J64" s="84"/>
    </row>
    <row r="65" spans="1:10">
      <c r="A65" s="9" t="s">
        <v>10</v>
      </c>
      <c r="B65" s="64"/>
      <c r="C65" s="12" t="s">
        <v>51</v>
      </c>
      <c r="D65" s="7"/>
      <c r="E65" s="84"/>
      <c r="F65" s="75"/>
      <c r="G65" s="77"/>
      <c r="I65" s="84"/>
      <c r="J65" s="84"/>
    </row>
    <row r="66" spans="1:10">
      <c r="A66" s="9"/>
      <c r="B66" s="64"/>
      <c r="C66" s="2"/>
      <c r="D66" s="7"/>
      <c r="E66" s="84"/>
      <c r="F66" s="75"/>
      <c r="G66" s="77"/>
      <c r="I66" s="84"/>
      <c r="J66" s="84"/>
    </row>
    <row r="67" spans="1:10">
      <c r="A67" s="9" t="s">
        <v>52</v>
      </c>
      <c r="B67" s="64">
        <v>15</v>
      </c>
      <c r="C67" s="13" t="s">
        <v>53</v>
      </c>
      <c r="D67" s="7" t="s">
        <v>0</v>
      </c>
      <c r="E67" s="51">
        <f>SUM(I67:L67)</f>
        <v>1055</v>
      </c>
      <c r="F67" s="75"/>
      <c r="G67" s="63">
        <f>E67*F67</f>
        <v>0</v>
      </c>
      <c r="I67" s="85">
        <v>758</v>
      </c>
      <c r="J67" s="85">
        <v>297</v>
      </c>
    </row>
    <row r="68" spans="1:10">
      <c r="A68" s="40"/>
      <c r="B68" s="59"/>
      <c r="C68" s="5"/>
      <c r="D68" s="16"/>
      <c r="E68" s="51"/>
      <c r="F68" s="62"/>
      <c r="G68" s="63"/>
      <c r="I68" s="85"/>
      <c r="J68" s="85"/>
    </row>
    <row r="69" spans="1:10">
      <c r="A69" s="40"/>
      <c r="B69" s="59">
        <v>16</v>
      </c>
      <c r="C69" s="81" t="s">
        <v>67</v>
      </c>
      <c r="D69" s="16" t="s">
        <v>57</v>
      </c>
      <c r="E69" s="51">
        <f>SUM(I69:L69)</f>
        <v>336</v>
      </c>
      <c r="F69" s="75"/>
      <c r="G69" s="63">
        <f>E69*F69</f>
        <v>0</v>
      </c>
      <c r="I69" s="85"/>
      <c r="J69" s="85">
        <v>336</v>
      </c>
    </row>
    <row r="70" spans="1:10">
      <c r="A70" s="40"/>
      <c r="B70" s="59"/>
      <c r="C70" s="5"/>
      <c r="D70" s="16"/>
      <c r="E70" s="51"/>
      <c r="F70" s="62"/>
      <c r="G70" s="63"/>
      <c r="I70" s="58"/>
      <c r="J70" s="58"/>
    </row>
    <row r="71" spans="1:10">
      <c r="A71" s="40"/>
      <c r="B71" s="59"/>
      <c r="C71" s="5"/>
      <c r="D71" s="16"/>
      <c r="E71" s="51"/>
      <c r="F71" s="62"/>
      <c r="G71" s="63"/>
      <c r="I71" s="58"/>
      <c r="J71" s="58"/>
    </row>
    <row r="72" spans="1:10">
      <c r="A72" s="40"/>
      <c r="B72" s="59"/>
      <c r="C72" s="5"/>
      <c r="D72" s="16"/>
      <c r="E72" s="51"/>
      <c r="F72" s="62"/>
      <c r="G72" s="63"/>
      <c r="I72" s="58"/>
      <c r="J72" s="58"/>
    </row>
    <row r="73" spans="1:10">
      <c r="A73" s="40"/>
      <c r="B73" s="59"/>
      <c r="C73" s="5"/>
      <c r="D73" s="16"/>
      <c r="E73" s="50"/>
      <c r="F73" s="62"/>
      <c r="G73" s="63"/>
      <c r="I73" s="58"/>
      <c r="J73" s="58"/>
    </row>
    <row r="74" spans="1:10" ht="11.45" customHeight="1">
      <c r="A74" s="66"/>
      <c r="B74" s="67"/>
      <c r="C74" s="68"/>
      <c r="D74" s="69"/>
      <c r="E74" s="70"/>
      <c r="F74" s="71"/>
      <c r="G74" s="72"/>
      <c r="I74" s="82"/>
      <c r="J74" s="82"/>
    </row>
    <row r="75" spans="1:10" ht="24.75" customHeight="1" thickBot="1">
      <c r="A75" s="87" t="s">
        <v>54</v>
      </c>
      <c r="B75" s="88"/>
      <c r="C75" s="88"/>
      <c r="D75" s="88"/>
      <c r="E75" s="88"/>
      <c r="F75" s="89"/>
      <c r="G75" s="10">
        <f>SUM(G6:G73)</f>
        <v>0</v>
      </c>
      <c r="I75" s="86"/>
      <c r="J75" s="86"/>
    </row>
    <row r="76" spans="1:10">
      <c r="G76" s="73"/>
      <c r="I76" s="80"/>
      <c r="J76" s="80"/>
    </row>
    <row r="77" spans="1:10">
      <c r="G77" s="73"/>
      <c r="I77" s="80"/>
      <c r="J77" s="80"/>
    </row>
    <row r="78" spans="1:10">
      <c r="G78" s="73"/>
      <c r="I78" s="80"/>
      <c r="J78" s="80"/>
    </row>
    <row r="79" spans="1:10">
      <c r="G79" s="73"/>
      <c r="I79" s="80"/>
      <c r="J79" s="80"/>
    </row>
    <row r="80" spans="1:10">
      <c r="G80" s="73"/>
      <c r="I80" s="80"/>
      <c r="J80" s="80"/>
    </row>
    <row r="81" spans="7:10">
      <c r="G81" s="73"/>
      <c r="I81" s="80"/>
      <c r="J81" s="80"/>
    </row>
    <row r="82" spans="7:10">
      <c r="G82" s="73"/>
      <c r="I82" s="80"/>
      <c r="J82" s="80"/>
    </row>
    <row r="83" spans="7:10">
      <c r="G83" s="73"/>
      <c r="I83" s="80"/>
      <c r="J83" s="80"/>
    </row>
    <row r="84" spans="7:10">
      <c r="G84" s="73"/>
      <c r="I84" s="80"/>
      <c r="J84" s="80"/>
    </row>
    <row r="85" spans="7:10">
      <c r="G85" s="73"/>
      <c r="I85" s="80"/>
      <c r="J85" s="80"/>
    </row>
    <row r="86" spans="7:10">
      <c r="G86" s="73"/>
      <c r="I86" s="80"/>
      <c r="J86" s="80"/>
    </row>
    <row r="87" spans="7:10">
      <c r="G87" s="73"/>
      <c r="I87" s="80"/>
      <c r="J87" s="80"/>
    </row>
    <row r="88" spans="7:10">
      <c r="G88" s="73"/>
      <c r="I88" s="80"/>
      <c r="J88" s="80"/>
    </row>
    <row r="89" spans="7:10">
      <c r="G89" s="73"/>
      <c r="I89" s="80"/>
      <c r="J89" s="80"/>
    </row>
    <row r="90" spans="7:10">
      <c r="G90" s="73"/>
      <c r="I90" s="80"/>
      <c r="J90" s="80"/>
    </row>
    <row r="91" spans="7:10">
      <c r="G91" s="73"/>
      <c r="I91" s="80"/>
      <c r="J91" s="80"/>
    </row>
    <row r="92" spans="7:10">
      <c r="G92" s="73"/>
      <c r="I92" s="80"/>
      <c r="J92" s="80"/>
    </row>
    <row r="93" spans="7:10">
      <c r="G93" s="73"/>
      <c r="I93" s="80"/>
      <c r="J93" s="80"/>
    </row>
    <row r="94" spans="7:10">
      <c r="G94" s="73"/>
      <c r="I94" s="80"/>
      <c r="J94" s="80"/>
    </row>
    <row r="95" spans="7:10">
      <c r="G95" s="73"/>
      <c r="I95" s="80"/>
      <c r="J95" s="80"/>
    </row>
    <row r="96" spans="7:10">
      <c r="G96" s="73"/>
      <c r="I96" s="80"/>
      <c r="J96" s="80"/>
    </row>
    <row r="97" spans="7:10">
      <c r="G97" s="73"/>
      <c r="I97" s="80"/>
      <c r="J97" s="80"/>
    </row>
    <row r="98" spans="7:10">
      <c r="G98" s="73"/>
      <c r="I98" s="80"/>
      <c r="J98" s="80"/>
    </row>
    <row r="99" spans="7:10">
      <c r="G99" s="73"/>
      <c r="I99" s="80"/>
      <c r="J99" s="80"/>
    </row>
    <row r="100" spans="7:10">
      <c r="G100" s="73"/>
      <c r="I100" s="80"/>
      <c r="J100" s="80"/>
    </row>
    <row r="101" spans="7:10">
      <c r="G101" s="73"/>
      <c r="I101" s="80"/>
      <c r="J101" s="80"/>
    </row>
    <row r="102" spans="7:10">
      <c r="G102" s="73"/>
      <c r="I102" s="80"/>
      <c r="J102" s="80"/>
    </row>
    <row r="103" spans="7:10">
      <c r="G103" s="73"/>
      <c r="I103" s="80"/>
      <c r="J103" s="80"/>
    </row>
    <row r="104" spans="7:10">
      <c r="G104" s="73"/>
      <c r="I104" s="80"/>
      <c r="J104" s="80"/>
    </row>
    <row r="105" spans="7:10">
      <c r="G105" s="73"/>
      <c r="I105" s="80"/>
      <c r="J105" s="80"/>
    </row>
    <row r="106" spans="7:10">
      <c r="G106" s="73"/>
      <c r="I106" s="80"/>
      <c r="J106" s="80"/>
    </row>
    <row r="107" spans="7:10">
      <c r="G107" s="73"/>
      <c r="I107" s="80"/>
      <c r="J107" s="80"/>
    </row>
    <row r="108" spans="7:10">
      <c r="G108" s="73"/>
      <c r="I108" s="80"/>
      <c r="J108" s="80"/>
    </row>
    <row r="109" spans="7:10">
      <c r="G109" s="73"/>
      <c r="I109" s="80"/>
      <c r="J109" s="80"/>
    </row>
    <row r="110" spans="7:10">
      <c r="G110" s="73"/>
      <c r="I110" s="80"/>
      <c r="J110" s="80"/>
    </row>
    <row r="111" spans="7:10">
      <c r="G111" s="73"/>
      <c r="I111" s="80"/>
      <c r="J111" s="80"/>
    </row>
    <row r="112" spans="7:10">
      <c r="G112" s="73"/>
      <c r="I112" s="80"/>
      <c r="J112" s="80"/>
    </row>
  </sheetData>
  <mergeCells count="1">
    <mergeCell ref="A75:F75"/>
  </mergeCells>
  <pageMargins left="0.78740157480314965" right="0.39370078740157483" top="0.59055118110236227" bottom="0.59055118110236227" header="0.39370078740157483" footer="0.39370078740157483"/>
  <pageSetup paperSize="9" scale="96" fitToHeight="0" orientation="portrait" r:id="rId1"/>
  <headerFooter>
    <oddFooter xml:space="preserve">&amp;R&amp;"Arial,Regular"&amp;8Page 6.&amp;P+5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SECTION 6 - PIPERACKS</vt:lpstr>
      <vt:lpstr>'SECTION 6 - PIPERACKS'!Print_Area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2023-07-31T07:18:46Z</cp:lastPrinted>
  <dcterms:created xsi:type="dcterms:W3CDTF">2014-07-20T16:20:16Z</dcterms:created>
  <dcterms:modified xsi:type="dcterms:W3CDTF">2023-09-14T09:39:33Z</dcterms:modified>
</cp:coreProperties>
</file>