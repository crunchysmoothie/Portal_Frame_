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24226"/>
  <mc:AlternateContent xmlns:mc="http://schemas.openxmlformats.org/markup-compatibility/2006">
    <mc:Choice Requires="x15">
      <x15ac:absPath xmlns:x15ac="http://schemas.microsoft.com/office/spreadsheetml/2010/11/ac" url="Z:\03 Projects\0344S - Nafasi Water\A8 - Arnot Waste Treatment Plant\03_DESIGN\04-BQ\1. For Project Estimate\3. Structural Steelwork\"/>
    </mc:Choice>
  </mc:AlternateContent>
  <xr:revisionPtr revIDLastSave="0" documentId="13_ncr:1_{3583DEE1-2A4A-4EEB-A9FD-5639F9DDBCA9}" xr6:coauthVersionLast="47" xr6:coauthVersionMax="47" xr10:uidLastSave="{00000000-0000-0000-0000-000000000000}"/>
  <bookViews>
    <workbookView xWindow="-108" yWindow="-108" windowWidth="23256" windowHeight="12576" tabRatio="872" activeTab="5" xr2:uid="{00000000-000D-0000-FFFF-FFFF00000000}"/>
  </bookViews>
  <sheets>
    <sheet name="Section 1 - P&amp;G" sheetId="24" r:id="rId1"/>
    <sheet name="Section 2 - RO Building" sheetId="32" r:id="rId2"/>
    <sheet name="Section 3 - Chemical Store" sheetId="34" r:id="rId3"/>
    <sheet name="Section 4 - Workshop" sheetId="35" r:id="rId4"/>
    <sheet name="Section 5 - Piperacks and Stair" sheetId="36" r:id="rId5"/>
    <sheet name="SUMMARY" sheetId="23" r:id="rId6"/>
  </sheets>
  <definedNames>
    <definedName name="_xlnm.Print_Area" localSheetId="1">'Section 2 - RO Building'!$A$1:$G$85</definedName>
    <definedName name="_xlnm.Print_Area" localSheetId="2">'Section 3 - Chemical Store'!$A$1:$G$85</definedName>
    <definedName name="_xlnm.Print_Area" localSheetId="3">'Section 4 - Workshop'!$A$1:$G$85</definedName>
    <definedName name="_xlnm.Print_Area" localSheetId="4">'Section 5 - Piperacks and Stair'!$A$1:$G$112</definedName>
    <definedName name="_xlnm.Print_Area" localSheetId="5">SUMMARY!$A$1:$C$60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44" i="36" l="1"/>
  <c r="E40" i="36"/>
  <c r="E32" i="36"/>
  <c r="G75" i="36"/>
  <c r="G61" i="36"/>
  <c r="G63" i="36"/>
  <c r="G59" i="36"/>
  <c r="G79" i="36" l="1"/>
  <c r="G73" i="36"/>
  <c r="G69" i="36"/>
  <c r="G44" i="36" l="1"/>
  <c r="G32" i="36"/>
  <c r="G28" i="36"/>
  <c r="G24" i="36"/>
  <c r="G22" i="36"/>
  <c r="G20" i="36"/>
  <c r="E13" i="36"/>
  <c r="G13" i="36" s="1"/>
  <c r="C7" i="36"/>
  <c r="B15" i="23" s="1"/>
  <c r="G3" i="36"/>
  <c r="A2" i="36"/>
  <c r="G1" i="36"/>
  <c r="A1" i="36"/>
  <c r="E36" i="36" l="1"/>
  <c r="G36" i="36" s="1"/>
  <c r="G40" i="36"/>
  <c r="G47" i="36" l="1"/>
  <c r="G51" i="36" s="1"/>
  <c r="G112" i="36" l="1"/>
  <c r="C15" i="23" s="1"/>
  <c r="B13" i="23" l="1"/>
  <c r="B11" i="23"/>
  <c r="E38" i="35"/>
  <c r="G83" i="35"/>
  <c r="G81" i="35"/>
  <c r="G79" i="35"/>
  <c r="G77" i="35"/>
  <c r="G75" i="35"/>
  <c r="G71" i="35"/>
  <c r="G67" i="35"/>
  <c r="G65" i="35"/>
  <c r="E50" i="35"/>
  <c r="G50" i="35" s="1"/>
  <c r="G38" i="35"/>
  <c r="G34" i="35"/>
  <c r="G32" i="35"/>
  <c r="G28" i="35"/>
  <c r="G26" i="35"/>
  <c r="G24" i="35"/>
  <c r="G22" i="35"/>
  <c r="G20" i="35"/>
  <c r="E13" i="35"/>
  <c r="G13" i="35" s="1"/>
  <c r="C7" i="35"/>
  <c r="G3" i="35"/>
  <c r="A2" i="35"/>
  <c r="G1" i="35"/>
  <c r="A1" i="35"/>
  <c r="G83" i="34"/>
  <c r="G81" i="34"/>
  <c r="G79" i="34"/>
  <c r="G77" i="34"/>
  <c r="G75" i="34"/>
  <c r="G71" i="34"/>
  <c r="G67" i="34"/>
  <c r="G65" i="34"/>
  <c r="E50" i="34"/>
  <c r="G50" i="34" s="1"/>
  <c r="G53" i="34" s="1"/>
  <c r="G57" i="34" s="1"/>
  <c r="E38" i="34"/>
  <c r="G38" i="34" s="1"/>
  <c r="G34" i="34"/>
  <c r="G32" i="34"/>
  <c r="G28" i="34"/>
  <c r="G26" i="34"/>
  <c r="G24" i="34"/>
  <c r="G22" i="34"/>
  <c r="G20" i="34"/>
  <c r="E13" i="34"/>
  <c r="G13" i="34" s="1"/>
  <c r="C7" i="34"/>
  <c r="G3" i="34"/>
  <c r="A2" i="34"/>
  <c r="G1" i="34"/>
  <c r="A1" i="34"/>
  <c r="G83" i="32"/>
  <c r="E50" i="32"/>
  <c r="G50" i="32" s="1"/>
  <c r="G53" i="32" s="1"/>
  <c r="G57" i="32" s="1"/>
  <c r="G85" i="32" s="1"/>
  <c r="E38" i="32"/>
  <c r="G38" i="32" s="1"/>
  <c r="E13" i="32"/>
  <c r="G67" i="32"/>
  <c r="E46" i="35" l="1"/>
  <c r="E46" i="34"/>
  <c r="E46" i="32"/>
  <c r="E42" i="32" s="1"/>
  <c r="G28" i="32"/>
  <c r="E42" i="35" l="1"/>
  <c r="G42" i="35" s="1"/>
  <c r="G46" i="35"/>
  <c r="E42" i="34"/>
  <c r="G42" i="34" s="1"/>
  <c r="G46" i="34"/>
  <c r="G20" i="32"/>
  <c r="G24" i="32"/>
  <c r="G53" i="35" l="1"/>
  <c r="G57" i="35" s="1"/>
  <c r="G85" i="35" s="1"/>
  <c r="C13" i="23" s="1"/>
  <c r="G85" i="34"/>
  <c r="G81" i="32"/>
  <c r="G79" i="32"/>
  <c r="C11" i="23" l="1"/>
  <c r="G121" i="24"/>
  <c r="G77" i="32"/>
  <c r="G75" i="32"/>
  <c r="G71" i="32"/>
  <c r="G65" i="32"/>
  <c r="G34" i="32" l="1"/>
  <c r="G32" i="32"/>
  <c r="G26" i="32"/>
  <c r="G111" i="24" l="1"/>
  <c r="G109" i="24"/>
  <c r="G107" i="24"/>
  <c r="G104" i="24"/>
  <c r="G102" i="24"/>
  <c r="G100" i="24"/>
  <c r="G98" i="24"/>
  <c r="G96" i="24"/>
  <c r="G94" i="24"/>
  <c r="G92" i="24"/>
  <c r="G90" i="24"/>
  <c r="G88" i="24"/>
  <c r="G86" i="24"/>
  <c r="G84" i="24"/>
  <c r="G80" i="24"/>
  <c r="G78" i="24"/>
  <c r="G76" i="24"/>
  <c r="G71" i="24"/>
  <c r="G68" i="24"/>
  <c r="G49" i="24"/>
  <c r="G47" i="24"/>
  <c r="G45" i="24"/>
  <c r="G43" i="24"/>
  <c r="G41" i="24"/>
  <c r="G39" i="24"/>
  <c r="G37" i="24"/>
  <c r="G35" i="24"/>
  <c r="G33" i="24"/>
  <c r="G31" i="24"/>
  <c r="G29" i="24"/>
  <c r="G27" i="24"/>
  <c r="G25" i="24"/>
  <c r="G21" i="24"/>
  <c r="G19" i="24"/>
  <c r="G12" i="24"/>
  <c r="G42" i="32" l="1"/>
  <c r="G46" i="32"/>
  <c r="G60" i="24" l="1"/>
  <c r="G64" i="24" s="1"/>
  <c r="C7" i="24"/>
  <c r="G22" i="32" l="1"/>
  <c r="B9" i="23" l="1"/>
  <c r="B7" i="23"/>
  <c r="C3" i="23"/>
  <c r="C1" i="23"/>
  <c r="G3" i="32"/>
  <c r="G1" i="32"/>
  <c r="A2" i="32"/>
  <c r="A1" i="32"/>
  <c r="C7" i="32"/>
  <c r="G13" i="32" l="1"/>
  <c r="A2" i="23"/>
  <c r="A1" i="23"/>
  <c r="C9" i="23" l="1"/>
  <c r="C7" i="23"/>
  <c r="C60" i="23" l="1"/>
</calcChain>
</file>

<file path=xl/sharedStrings.xml><?xml version="1.0" encoding="utf-8"?>
<sst xmlns="http://schemas.openxmlformats.org/spreadsheetml/2006/main" count="506" uniqueCount="175">
  <si>
    <t>DESCRIPTION</t>
  </si>
  <si>
    <t>UNIT</t>
  </si>
  <si>
    <t>RATE</t>
  </si>
  <si>
    <t>8.3.2</t>
  </si>
  <si>
    <t>SANS</t>
  </si>
  <si>
    <t>8.3.4</t>
  </si>
  <si>
    <t>SECTION</t>
  </si>
  <si>
    <t>AMOUNT
(R)</t>
  </si>
  <si>
    <t>TOTAL AMOUNT CARRIED TO LETTER OF TENDER (VAT EXCLUDED)</t>
  </si>
  <si>
    <t>SUMMARY</t>
  </si>
  <si>
    <t>TOTAL SECTION 1 CARRIED TO SUMMARY</t>
  </si>
  <si>
    <t>QUANTITY</t>
  </si>
  <si>
    <t>AMOUNT</t>
  </si>
  <si>
    <t>ITEM NO</t>
  </si>
  <si>
    <t>PAYMENT REFERS TO</t>
  </si>
  <si>
    <t>QTY</t>
  </si>
  <si>
    <t xml:space="preserve"> (Applicable to the whole of the Works)</t>
  </si>
  <si>
    <t>SECTION 1 : PRELIMINARY AND GENERAL</t>
  </si>
  <si>
    <t>8.2.1</t>
  </si>
  <si>
    <t>8.3.3</t>
  </si>
  <si>
    <t>8.4.3</t>
  </si>
  <si>
    <t>1200A</t>
  </si>
  <si>
    <t>SUM</t>
  </si>
  <si>
    <t xml:space="preserve">Establishment of Facilities on the Site </t>
  </si>
  <si>
    <t>8.3.2.1</t>
  </si>
  <si>
    <t>Facilities for Engineer</t>
  </si>
  <si>
    <t>8.3.2.1a</t>
  </si>
  <si>
    <t>8.3.2.2</t>
  </si>
  <si>
    <t xml:space="preserve">Facilities for Contractor </t>
  </si>
  <si>
    <t>8.3.2.2a</t>
  </si>
  <si>
    <t>8.3.2.2b</t>
  </si>
  <si>
    <t>8.3.2.2g</t>
  </si>
  <si>
    <t>8.3.2.2h</t>
  </si>
  <si>
    <t>Dealing with water</t>
  </si>
  <si>
    <t>8.3.2.2j</t>
  </si>
  <si>
    <t xml:space="preserve">Removal of site establishment. </t>
  </si>
  <si>
    <t>8.4.2</t>
  </si>
  <si>
    <t xml:space="preserve">Supervision for duration of construction. </t>
  </si>
  <si>
    <t>TOTAL SECTION 2 CARRIED TO SUMMARY</t>
  </si>
  <si>
    <t xml:space="preserve">Operation and Maintenance of Facilities on Site, for </t>
  </si>
  <si>
    <t>m2</t>
  </si>
  <si>
    <t>8.4</t>
  </si>
  <si>
    <t xml:space="preserve">TIME RELATED ITEMS </t>
  </si>
  <si>
    <t>Duration of Construction, (unless otherwise stated).</t>
  </si>
  <si>
    <t>8.3.2.2c</t>
  </si>
  <si>
    <t>t</t>
  </si>
  <si>
    <t xml:space="preserve">FIXED CHARGE ITEMS </t>
  </si>
  <si>
    <t>8.3.1</t>
  </si>
  <si>
    <t xml:space="preserve">Contractual requirements (excluding insurance and </t>
  </si>
  <si>
    <t>performance bond)</t>
  </si>
  <si>
    <t>Furnished Office (1 No)</t>
  </si>
  <si>
    <t>8.3.2.1c</t>
  </si>
  <si>
    <t>Nameboard (1 No).</t>
  </si>
  <si>
    <t xml:space="preserve">Offices and storage sheds. </t>
  </si>
  <si>
    <t xml:space="preserve">Workshops. </t>
  </si>
  <si>
    <t xml:space="preserve">Laboratories. </t>
  </si>
  <si>
    <t>8.3.2.2d</t>
  </si>
  <si>
    <t xml:space="preserve">Living accommodation. </t>
  </si>
  <si>
    <t>8.3.2.2f</t>
  </si>
  <si>
    <t xml:space="preserve">Tools and equipment. </t>
  </si>
  <si>
    <t>Water supplies, electric power and  communications</t>
  </si>
  <si>
    <t>8.3.2.2i</t>
  </si>
  <si>
    <t>Access</t>
  </si>
  <si>
    <t>Plant (Free issue: Front end loader, operator and diesel)</t>
  </si>
  <si>
    <t xml:space="preserve">Other fixed charge obligations. </t>
  </si>
  <si>
    <t>PSA 8.3.5</t>
  </si>
  <si>
    <t>Insurance</t>
  </si>
  <si>
    <t>PSA 8.3.6</t>
  </si>
  <si>
    <t>Performance Bond</t>
  </si>
  <si>
    <t>Water supplies, electric power and communications.</t>
  </si>
  <si>
    <t>Dealing with water.</t>
  </si>
  <si>
    <t>Access.</t>
  </si>
  <si>
    <t>Insurance.</t>
  </si>
  <si>
    <t>Performance Bond.</t>
  </si>
  <si>
    <t>8.4.1</t>
  </si>
  <si>
    <t>performance bond).</t>
  </si>
  <si>
    <t>8.4.2.1</t>
  </si>
  <si>
    <t>8.4.2.1a</t>
  </si>
  <si>
    <t>Furnished Office (1 No).</t>
  </si>
  <si>
    <t>8.4.2.1c</t>
  </si>
  <si>
    <t>8.4.2.1d</t>
  </si>
  <si>
    <t>Survey assistants and material.</t>
  </si>
  <si>
    <t>8.4.2.2</t>
  </si>
  <si>
    <t>8.4.2.2a</t>
  </si>
  <si>
    <t>8.4.2.2b</t>
  </si>
  <si>
    <t>8.4.2.2c</t>
  </si>
  <si>
    <t>8.4.2.2d</t>
  </si>
  <si>
    <t>8.4.2.2f</t>
  </si>
  <si>
    <t>8.4.2.2g</t>
  </si>
  <si>
    <t>8.4.2.2h</t>
  </si>
  <si>
    <t>8.4.2.2i</t>
  </si>
  <si>
    <t>8.4.2.2j</t>
  </si>
  <si>
    <t>8.4.4</t>
  </si>
  <si>
    <t xml:space="preserve">Company and head office overhead costs for duration </t>
  </si>
  <si>
    <t xml:space="preserve">of construction. </t>
  </si>
  <si>
    <t>8.4.5</t>
  </si>
  <si>
    <t xml:space="preserve">Other time related obligations. </t>
  </si>
  <si>
    <t>PSA 8.4.6</t>
  </si>
  <si>
    <t>PSA 8.4.7</t>
  </si>
  <si>
    <t>SECTION 2 -  CARRIED FORWARD</t>
  </si>
  <si>
    <t>SECTION 2 - BROUGHT FORWARD</t>
  </si>
  <si>
    <t>SECTION 1 -  CARRIED FORWARD</t>
  </si>
  <si>
    <t>SECTION 1 - BROUGHT FORWARD</t>
  </si>
  <si>
    <t>8.2.2</t>
  </si>
  <si>
    <t>m</t>
  </si>
  <si>
    <t>STRUCTURAL STEELWORK SCHEDULE OF QUANTITIES</t>
  </si>
  <si>
    <t>1200H</t>
  </si>
  <si>
    <t>STRUCTURAL STEELWORK</t>
  </si>
  <si>
    <t>Supply and fabrication:</t>
  </si>
  <si>
    <t>8.3.1.1</t>
  </si>
  <si>
    <t>Preparation of shop detail drawings</t>
  </si>
  <si>
    <t>8.3.1.2</t>
  </si>
  <si>
    <t>Supply and fabrication of steelwork, Grade S355JR:</t>
  </si>
  <si>
    <t>Joint by welding in shop and bolting on site:</t>
  </si>
  <si>
    <t>Hot-Rolled Steel Sections</t>
  </si>
  <si>
    <t>Angle section bracing and sag bars</t>
  </si>
  <si>
    <t>Cold Form Sections (Purlins, Girts, etc.)</t>
  </si>
  <si>
    <t>Lipped channel purlins</t>
  </si>
  <si>
    <t>Lipped channel girts</t>
  </si>
  <si>
    <t xml:space="preserve">Delivery to site </t>
  </si>
  <si>
    <t>Normal delivery</t>
  </si>
  <si>
    <t xml:space="preserve">Erection on site </t>
  </si>
  <si>
    <t>Structural steelwork and erection bolts</t>
  </si>
  <si>
    <t xml:space="preserve">Erection bolts </t>
  </si>
  <si>
    <t>Grade 8.8 precision galvanised bolts, nuts and washers</t>
  </si>
  <si>
    <t>8.3.4.1</t>
  </si>
  <si>
    <t>CORROSION PROTECTION OF STRUCTURAL STEELWORK</t>
  </si>
  <si>
    <t>1200HC</t>
  </si>
  <si>
    <t xml:space="preserve">CLADDING AND SHEETING </t>
  </si>
  <si>
    <t>1200HB</t>
  </si>
  <si>
    <t>Supply and install cladding and sheeting:</t>
  </si>
  <si>
    <t>Roof Cladding:</t>
  </si>
  <si>
    <t>Side Cladding:</t>
  </si>
  <si>
    <t>Supply and install ancillaries:</t>
  </si>
  <si>
    <t>Corrosion protection for all structural steel members must be Hot-Dipped Galvanising applied according to SANS 121 (ISO 1461)</t>
  </si>
  <si>
    <t>0,8mm IBR 686 prepainted inverted boxed rib sheeting with one stiffener rib in each pan, and with "Colorplus Ultimate Grey" finish of AZ200 on one side in single lengths, fixed to steel purlins with stainless steel top speed screws with galvanised EPDM bonded washers in strict accordance with the manufacturer's specifications.</t>
  </si>
  <si>
    <t>0,6mm IBR 686 prepainted inverted boxed rib sheeting with one stiffener rib in each pan, and with "Colorplus Ultimate Grey" finish of AZ200 on one side in single lengths, fixed to steel purlins with stainless steel top speed screws with galvanised EPDM bonded washers in strict accordance with the manufacturer's specifications.</t>
  </si>
  <si>
    <t>0,8mm IBR 686 Ridge cap flashing (600mm girth) with "Colorplus Ultimate Grey" finish of AZ200 complete with serrated closers and poly ridge closers</t>
  </si>
  <si>
    <t>0.8mm IBR 686 Gable end flashing with "Colorplus Ultimate Grey" finish of AZ200 complete</t>
  </si>
  <si>
    <t>0.6mm IBR 686 Drip detail flashing with "Colorplus Ultimate Grey" finish of AZ200 complete</t>
  </si>
  <si>
    <t>0.6mm IBR 686 External corner flashing with "Colorplus Ultimate Grey" finish of AZ200 complete</t>
  </si>
  <si>
    <t>Revision T1</t>
  </si>
  <si>
    <t>I-section columns</t>
  </si>
  <si>
    <t>I-section beams</t>
  </si>
  <si>
    <t>Extra over roof covering for 82 degrees bullnose to 450mm radius at eaves edge</t>
  </si>
  <si>
    <t>PFC Chanels</t>
  </si>
  <si>
    <t>NAFASI WATER - ARNOT WASTE TREATMENT PLANT</t>
  </si>
  <si>
    <t>SECTION 2: RO BUILDING</t>
  </si>
  <si>
    <t>I-section gable columns</t>
  </si>
  <si>
    <t>0.6mm IBR 686 Gable barge flashing with "Colorplus Ultimate Grey" finish of AZ200 complete</t>
  </si>
  <si>
    <t>SECTION 3: CHEMICAL STORE</t>
  </si>
  <si>
    <t>TOTAL SECTION 3 CARRIED TO SUMMARY</t>
  </si>
  <si>
    <t>SECTION 4: WORKSHOP</t>
  </si>
  <si>
    <t>TOTAL SECTION 4 CARRIED TO SUMMARY</t>
  </si>
  <si>
    <t>SECTION 5: PIPERACKS AND STAICASES</t>
  </si>
  <si>
    <t>Lipped channel</t>
  </si>
  <si>
    <t>Flooring, complete and installed with frames (Hot-Dip Galvanised)</t>
  </si>
  <si>
    <t>Open Grid Floors</t>
  </si>
  <si>
    <t>Vitagrid VFE (VE40) series 5/1 centres with 40x4.5mm bearer bars. All panels to be branded and hot dipped galvanised.</t>
  </si>
  <si>
    <t>Frames and Kerbs for Flooring</t>
  </si>
  <si>
    <t>150mm High x 6mm thick galvanised kicker plates</t>
  </si>
  <si>
    <t>8.3.5</t>
  </si>
  <si>
    <t xml:space="preserve">Ladders complete and installed (Hot-Dip Galvanised): </t>
  </si>
  <si>
    <t>8.3.5.1</t>
  </si>
  <si>
    <t>Galvanised mild steel with protective cage and landings (Approximately 14m high)</t>
  </si>
  <si>
    <t>No</t>
  </si>
  <si>
    <t>STRUCTURAL STEELWORK (SUNDRY ITEMS)</t>
  </si>
  <si>
    <t>Handrails (Painted black and yellow)</t>
  </si>
  <si>
    <t xml:space="preserve"> </t>
  </si>
  <si>
    <t>Handrails assembly complete, tubular section type (painted black and yellow as per mine norm) mild steel system with side fixed stanchoins to steel complete with bolts, ect.</t>
  </si>
  <si>
    <t>Horizontal</t>
  </si>
  <si>
    <t>Shaped ends</t>
  </si>
  <si>
    <t>No.</t>
  </si>
  <si>
    <t>Sloped</t>
  </si>
  <si>
    <t>Staircase threads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</si>
</sst>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0.00_-;\-* #,##0.00_-;_-* &quot;-&quot;??_-;_-@_-"/>
    <numFmt numFmtId="164" formatCode="_-&quot;R&quot;\ * #,##0.00_-;\-&quot;R&quot;\ * #,##0.00_-;_-&quot;R&quot;\ * &quot;-&quot;??_-;_-@_-"/>
    <numFmt numFmtId="165" formatCode="_-* #,##0_-;\-* #,##0_-;_-* &quot;-&quot;??_-;_-@_-"/>
    <numFmt numFmtId="166" formatCode="&quot;R&quot;#,##0.00"/>
    <numFmt numFmtId="167" formatCode="&quot;Section&quot;\ General"/>
    <numFmt numFmtId="168" formatCode="&quot;R&quot;\ #,##0"/>
    <numFmt numFmtId="169" formatCode="_ [$R-1C09]\ * #,##0_ ;_ [$R-1C09]\ * \-#,##0_ ;_ [$R-1C09]\ * &quot;-&quot;??_ ;_ @_ "/>
    <numFmt numFmtId="170" formatCode="_ * #,##0_ ;_ * \-#,##0_ ;_ * &quot;-&quot;??_ ;_ @_ "/>
    <numFmt numFmtId="171" formatCode="[$-409]d/mmm/yy;@"/>
  </numFmts>
  <fonts count="16" x14ac:knownFonts="1">
    <font>
      <sz val="10"/>
      <name val="Arial"/>
    </font>
    <font>
      <sz val="10"/>
      <name val="Arial"/>
      <family val="2"/>
    </font>
    <font>
      <b/>
      <u/>
      <sz val="10"/>
      <name val="Times New Roman"/>
      <family val="1"/>
    </font>
    <font>
      <u/>
      <sz val="10"/>
      <name val="Times New Roman"/>
      <family val="1"/>
    </font>
    <font>
      <sz val="10"/>
      <name val="Arial"/>
      <family val="2"/>
    </font>
    <font>
      <b/>
      <sz val="8"/>
      <name val="Arial"/>
      <family val="2"/>
    </font>
    <font>
      <sz val="8"/>
      <name val="Arial"/>
      <family val="2"/>
    </font>
    <font>
      <b/>
      <u/>
      <sz val="8"/>
      <name val="Arial"/>
      <family val="2"/>
    </font>
    <font>
      <b/>
      <u/>
      <sz val="8"/>
      <color indexed="8"/>
      <name val="Arial"/>
      <family val="2"/>
    </font>
    <font>
      <sz val="9"/>
      <name val="Arial"/>
      <family val="2"/>
    </font>
    <font>
      <b/>
      <sz val="9"/>
      <name val="Arial"/>
      <family val="2"/>
    </font>
    <font>
      <sz val="8"/>
      <color theme="1"/>
      <name val="Arial"/>
      <family val="2"/>
    </font>
    <font>
      <b/>
      <sz val="8"/>
      <color theme="1"/>
      <name val="Arial"/>
      <family val="2"/>
    </font>
    <font>
      <u/>
      <sz val="8"/>
      <color indexed="8"/>
      <name val="Arial"/>
      <family val="2"/>
    </font>
    <font>
      <u/>
      <sz val="8"/>
      <color theme="1"/>
      <name val="Arial"/>
      <family val="2"/>
    </font>
    <font>
      <u/>
      <sz val="8"/>
      <name val="Arial"/>
      <family val="2"/>
    </font>
  </fonts>
  <fills count="4">
    <fill>
      <patternFill patternType="none"/>
    </fill>
    <fill>
      <patternFill patternType="gray125"/>
    </fill>
    <fill>
      <patternFill patternType="solid">
        <fgColor theme="6" tint="0.39997558519241921"/>
        <bgColor indexed="64"/>
      </patternFill>
    </fill>
    <fill>
      <patternFill patternType="solid">
        <fgColor theme="0"/>
        <bgColor indexed="64"/>
      </patternFill>
    </fill>
  </fills>
  <borders count="11">
    <border>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top style="thin">
        <color indexed="64"/>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diagonal/>
    </border>
  </borders>
  <cellStyleXfs count="15">
    <xf numFmtId="0" fontId="0" fillId="0" borderId="0"/>
    <xf numFmtId="43" fontId="1" fillId="0" borderId="0" applyFont="0" applyFill="0" applyBorder="0" applyAlignment="0" applyProtection="0"/>
    <xf numFmtId="43" fontId="4" fillId="0" borderId="0" applyFont="0" applyFill="0" applyBorder="0" applyAlignment="0" applyProtection="0"/>
    <xf numFmtId="43" fontId="1" fillId="0" borderId="0" applyFont="0" applyFill="0" applyBorder="0" applyAlignment="0" applyProtection="0"/>
    <xf numFmtId="3" fontId="1" fillId="0" borderId="0" applyFont="0" applyFill="0" applyBorder="0" applyAlignment="0" applyProtection="0"/>
    <xf numFmtId="164" fontId="4" fillId="0" borderId="0" applyFont="0" applyFill="0" applyBorder="0" applyAlignment="0" applyProtection="0"/>
    <xf numFmtId="164" fontId="1" fillId="0" borderId="0" applyFont="0" applyFill="0" applyBorder="0" applyAlignment="0" applyProtection="0"/>
    <xf numFmtId="0" fontId="1" fillId="0" borderId="0"/>
    <xf numFmtId="0" fontId="4" fillId="0" borderId="0"/>
    <xf numFmtId="0" fontId="1" fillId="0" borderId="0"/>
    <xf numFmtId="0" fontId="4" fillId="0" borderId="0"/>
    <xf numFmtId="0" fontId="2" fillId="0" borderId="0"/>
    <xf numFmtId="0" fontId="3" fillId="0" borderId="0"/>
    <xf numFmtId="0" fontId="1" fillId="0" borderId="0"/>
    <xf numFmtId="0" fontId="1" fillId="0" borderId="0"/>
  </cellStyleXfs>
  <cellXfs count="163">
    <xf numFmtId="0" fontId="0" fillId="0" borderId="0" xfId="0"/>
    <xf numFmtId="4" fontId="5" fillId="0" borderId="0" xfId="0" applyNumberFormat="1" applyFont="1" applyAlignment="1">
      <alignment horizontal="center" vertical="top" wrapText="1"/>
    </xf>
    <xf numFmtId="167" fontId="7" fillId="0" borderId="0" xfId="0" applyNumberFormat="1" applyFont="1" applyAlignment="1">
      <alignment horizontal="center" wrapText="1"/>
    </xf>
    <xf numFmtId="0" fontId="7" fillId="0" borderId="0" xfId="0" applyFont="1" applyAlignment="1">
      <alignment wrapText="1"/>
    </xf>
    <xf numFmtId="0" fontId="5" fillId="0" borderId="1" xfId="0" applyFont="1" applyBorder="1" applyAlignment="1">
      <alignment horizontal="center" vertical="center" wrapText="1"/>
    </xf>
    <xf numFmtId="0" fontId="6" fillId="0" borderId="2" xfId="0" applyFont="1" applyBorder="1" applyAlignment="1">
      <alignment horizontal="center" vertical="center"/>
    </xf>
    <xf numFmtId="0" fontId="6" fillId="0" borderId="2" xfId="0" applyFont="1" applyBorder="1" applyAlignment="1">
      <alignment horizontal="left" vertical="center" wrapText="1"/>
    </xf>
    <xf numFmtId="0" fontId="6" fillId="0" borderId="2" xfId="0" applyFont="1" applyBorder="1" applyAlignment="1">
      <alignment vertical="center" wrapText="1"/>
    </xf>
    <xf numFmtId="0" fontId="6" fillId="0" borderId="2" xfId="0" quotePrefix="1" applyFont="1" applyBorder="1" applyAlignment="1">
      <alignment vertical="center" wrapText="1"/>
    </xf>
    <xf numFmtId="0" fontId="6" fillId="0" borderId="2" xfId="0" applyFont="1" applyBorder="1" applyAlignment="1">
      <alignment wrapText="1"/>
    </xf>
    <xf numFmtId="0" fontId="6" fillId="0" borderId="2" xfId="0" applyFont="1" applyBorder="1" applyAlignment="1">
      <alignment horizontal="center"/>
    </xf>
    <xf numFmtId="0" fontId="11" fillId="0" borderId="2" xfId="0" applyFont="1" applyBorder="1" applyAlignment="1">
      <alignment horizontal="center" vertical="top"/>
    </xf>
    <xf numFmtId="0" fontId="11" fillId="0" borderId="2" xfId="0" applyFont="1" applyBorder="1" applyAlignment="1">
      <alignment vertical="top" wrapText="1"/>
    </xf>
    <xf numFmtId="0" fontId="6" fillId="0" borderId="0" xfId="0" applyFont="1"/>
    <xf numFmtId="0" fontId="6" fillId="0" borderId="0" xfId="0" applyFont="1" applyAlignment="1">
      <alignment horizontal="right"/>
    </xf>
    <xf numFmtId="0" fontId="6" fillId="0" borderId="0" xfId="7" applyFont="1"/>
    <xf numFmtId="165" fontId="6" fillId="0" borderId="2" xfId="4" applyNumberFormat="1" applyFont="1" applyBorder="1" applyAlignment="1">
      <alignment horizontal="right"/>
    </xf>
    <xf numFmtId="0" fontId="6" fillId="0" borderId="0" xfId="7" applyFont="1" applyAlignment="1">
      <alignment horizontal="center"/>
    </xf>
    <xf numFmtId="0" fontId="9" fillId="0" borderId="0" xfId="0" applyFont="1" applyAlignment="1">
      <alignment horizontal="center" vertical="top" wrapText="1"/>
    </xf>
    <xf numFmtId="0" fontId="6" fillId="0" borderId="0" xfId="0" applyFont="1" applyAlignment="1">
      <alignment horizontal="center"/>
    </xf>
    <xf numFmtId="1" fontId="5" fillId="0" borderId="4" xfId="0" applyNumberFormat="1" applyFont="1" applyBorder="1" applyAlignment="1">
      <alignment horizontal="center" vertical="center" wrapText="1"/>
    </xf>
    <xf numFmtId="0" fontId="6" fillId="0" borderId="0" xfId="7" applyFont="1" applyAlignment="1">
      <alignment horizontal="right"/>
    </xf>
    <xf numFmtId="165" fontId="6" fillId="0" borderId="2" xfId="1" applyNumberFormat="1" applyFont="1" applyBorder="1" applyAlignment="1">
      <alignment horizontal="center"/>
    </xf>
    <xf numFmtId="1" fontId="6" fillId="0" borderId="0" xfId="7" applyNumberFormat="1" applyFont="1" applyAlignment="1">
      <alignment horizontal="center"/>
    </xf>
    <xf numFmtId="169" fontId="6" fillId="0" borderId="2" xfId="3" applyNumberFormat="1" applyFont="1" applyBorder="1" applyAlignment="1">
      <alignment horizontal="right"/>
    </xf>
    <xf numFmtId="169" fontId="6" fillId="0" borderId="0" xfId="7" applyNumberFormat="1" applyFont="1"/>
    <xf numFmtId="168" fontId="6" fillId="0" borderId="0" xfId="0" applyNumberFormat="1" applyFont="1"/>
    <xf numFmtId="166" fontId="6" fillId="0" borderId="0" xfId="0" applyNumberFormat="1" applyFont="1"/>
    <xf numFmtId="0" fontId="6" fillId="0" borderId="2" xfId="7" applyFont="1" applyBorder="1" applyAlignment="1">
      <alignment horizontal="center"/>
    </xf>
    <xf numFmtId="1" fontId="6" fillId="0" borderId="2" xfId="7" applyNumberFormat="1" applyFont="1" applyBorder="1" applyAlignment="1">
      <alignment horizontal="center"/>
    </xf>
    <xf numFmtId="1" fontId="6" fillId="0" borderId="2" xfId="7" quotePrefix="1" applyNumberFormat="1" applyFont="1" applyBorder="1" applyAlignment="1">
      <alignment horizontal="center"/>
    </xf>
    <xf numFmtId="165" fontId="6" fillId="0" borderId="6" xfId="1" applyNumberFormat="1" applyFont="1" applyBorder="1" applyAlignment="1">
      <alignment horizontal="right"/>
    </xf>
    <xf numFmtId="165" fontId="6" fillId="0" borderId="2" xfId="1" applyNumberFormat="1" applyFont="1" applyBorder="1" applyAlignment="1">
      <alignment horizontal="right"/>
    </xf>
    <xf numFmtId="0" fontId="6" fillId="0" borderId="2" xfId="7" applyFont="1" applyBorder="1" applyAlignment="1">
      <alignment horizontal="right"/>
    </xf>
    <xf numFmtId="0" fontId="1" fillId="0" borderId="2" xfId="7" applyBorder="1" applyAlignment="1">
      <alignment horizontal="center"/>
    </xf>
    <xf numFmtId="0" fontId="5" fillId="0" borderId="2" xfId="0" applyFont="1" applyBorder="1" applyAlignment="1">
      <alignment horizontal="center" vertical="center" wrapText="1"/>
    </xf>
    <xf numFmtId="0" fontId="5" fillId="0" borderId="2" xfId="0" applyFont="1" applyBorder="1" applyAlignment="1">
      <alignment horizontal="center" vertical="center"/>
    </xf>
    <xf numFmtId="0" fontId="6" fillId="0" borderId="2" xfId="0" applyFont="1" applyBorder="1" applyAlignment="1">
      <alignment vertical="center"/>
    </xf>
    <xf numFmtId="0" fontId="8" fillId="0" borderId="2" xfId="0" applyFont="1" applyBorder="1" applyAlignment="1">
      <alignment vertical="top" wrapText="1"/>
    </xf>
    <xf numFmtId="0" fontId="6" fillId="0" borderId="2" xfId="0" applyFont="1" applyBorder="1" applyAlignment="1">
      <alignment horizontal="center" vertical="top"/>
    </xf>
    <xf numFmtId="0" fontId="13" fillId="0" borderId="2" xfId="0" applyFont="1" applyBorder="1" applyAlignment="1">
      <alignment vertical="top" wrapText="1"/>
    </xf>
    <xf numFmtId="0" fontId="14" fillId="0" borderId="2" xfId="0" applyFont="1" applyBorder="1" applyAlignment="1">
      <alignment vertical="top" wrapText="1"/>
    </xf>
    <xf numFmtId="0" fontId="6" fillId="0" borderId="2" xfId="0" applyFont="1" applyBorder="1" applyAlignment="1">
      <alignment vertical="top" wrapText="1"/>
    </xf>
    <xf numFmtId="0" fontId="5" fillId="3" borderId="0" xfId="0" applyFont="1" applyFill="1" applyAlignment="1">
      <alignment vertical="center"/>
    </xf>
    <xf numFmtId="0" fontId="12" fillId="0" borderId="4" xfId="0" applyFont="1" applyBorder="1" applyAlignment="1">
      <alignment horizontal="center" vertical="top" wrapText="1"/>
    </xf>
    <xf numFmtId="0" fontId="12" fillId="0" borderId="4" xfId="0" applyFont="1" applyBorder="1" applyAlignment="1">
      <alignment horizontal="center" vertical="top"/>
    </xf>
    <xf numFmtId="4" fontId="12" fillId="0" borderId="4" xfId="0" applyNumberFormat="1" applyFont="1" applyBorder="1" applyAlignment="1">
      <alignment horizontal="center" vertical="top"/>
    </xf>
    <xf numFmtId="0" fontId="7" fillId="2" borderId="0" xfId="11" applyFont="1" applyFill="1" applyAlignment="1">
      <alignment horizontal="left"/>
    </xf>
    <xf numFmtId="0" fontId="15" fillId="0" borderId="2" xfId="0" applyFont="1" applyBorder="1" applyAlignment="1">
      <alignment vertical="top" wrapText="1"/>
    </xf>
    <xf numFmtId="0" fontId="0" fillId="0" borderId="8" xfId="0" applyBorder="1" applyAlignment="1">
      <alignment horizontal="left" vertical="center"/>
    </xf>
    <xf numFmtId="168" fontId="6" fillId="0" borderId="8" xfId="7" applyNumberFormat="1" applyFont="1" applyBorder="1"/>
    <xf numFmtId="0" fontId="1" fillId="0" borderId="8" xfId="7" applyBorder="1" applyAlignment="1">
      <alignment horizontal="left"/>
    </xf>
    <xf numFmtId="1" fontId="6" fillId="0" borderId="8" xfId="7" quotePrefix="1" applyNumberFormat="1" applyFont="1" applyBorder="1" applyAlignment="1">
      <alignment horizontal="left" vertical="center"/>
    </xf>
    <xf numFmtId="165" fontId="6" fillId="0" borderId="2" xfId="4" applyNumberFormat="1" applyFont="1" applyBorder="1" applyAlignment="1">
      <alignment horizontal="center" vertical="center"/>
    </xf>
    <xf numFmtId="169" fontId="6" fillId="0" borderId="2" xfId="3" applyNumberFormat="1" applyFont="1" applyBorder="1" applyAlignment="1">
      <alignment horizontal="center" vertical="center"/>
    </xf>
    <xf numFmtId="0" fontId="6" fillId="0" borderId="2" xfId="7" applyFont="1" applyBorder="1" applyAlignment="1">
      <alignment horizontal="center" vertical="center"/>
    </xf>
    <xf numFmtId="0" fontId="6" fillId="0" borderId="2" xfId="0" applyFont="1" applyBorder="1" applyAlignment="1">
      <alignment horizontal="center" vertical="center" wrapText="1"/>
    </xf>
    <xf numFmtId="3" fontId="6" fillId="0" borderId="2" xfId="0" applyNumberFormat="1" applyFont="1" applyBorder="1" applyAlignment="1">
      <alignment horizontal="center" vertical="center" wrapText="1"/>
    </xf>
    <xf numFmtId="43" fontId="6" fillId="0" borderId="2" xfId="1" applyFont="1" applyBorder="1" applyAlignment="1">
      <alignment horizontal="right"/>
    </xf>
    <xf numFmtId="43" fontId="6" fillId="0" borderId="2" xfId="7" applyNumberFormat="1" applyFont="1" applyBorder="1" applyAlignment="1">
      <alignment horizontal="right"/>
    </xf>
    <xf numFmtId="43" fontId="6" fillId="0" borderId="2" xfId="4" applyNumberFormat="1" applyFont="1" applyBorder="1" applyAlignment="1">
      <alignment horizontal="right"/>
    </xf>
    <xf numFmtId="1" fontId="6" fillId="0" borderId="2" xfId="7" quotePrefix="1" applyNumberFormat="1" applyFont="1" applyBorder="1" applyAlignment="1">
      <alignment horizontal="center" vertical="center"/>
    </xf>
    <xf numFmtId="43" fontId="6" fillId="0" borderId="2" xfId="1" applyFont="1" applyBorder="1" applyAlignment="1">
      <alignment horizontal="center" vertical="center"/>
    </xf>
    <xf numFmtId="0" fontId="7" fillId="0" borderId="3" xfId="0" applyFont="1" applyBorder="1" applyAlignment="1">
      <alignment vertical="top"/>
    </xf>
    <xf numFmtId="0" fontId="15" fillId="0" borderId="2" xfId="0" applyFont="1" applyBorder="1" applyAlignment="1">
      <alignment vertical="center" wrapText="1"/>
    </xf>
    <xf numFmtId="0" fontId="6" fillId="0" borderId="3" xfId="0" applyFont="1" applyBorder="1" applyAlignment="1">
      <alignment vertical="center" wrapText="1"/>
    </xf>
    <xf numFmtId="1" fontId="6" fillId="0" borderId="2" xfId="7" applyNumberFormat="1" applyFont="1" applyBorder="1" applyAlignment="1">
      <alignment horizontal="center" vertical="center"/>
    </xf>
    <xf numFmtId="170" fontId="6" fillId="0" borderId="2" xfId="0" applyNumberFormat="1" applyFont="1" applyBorder="1" applyAlignment="1">
      <alignment horizontal="center" vertical="center"/>
    </xf>
    <xf numFmtId="0" fontId="9" fillId="0" borderId="0" xfId="0" applyFont="1"/>
    <xf numFmtId="0" fontId="6" fillId="0" borderId="0" xfId="0" applyFont="1" applyAlignment="1">
      <alignment vertical="top" wrapText="1"/>
    </xf>
    <xf numFmtId="0" fontId="6" fillId="0" borderId="0" xfId="0" applyFont="1" applyAlignment="1">
      <alignment horizontal="center" vertical="top"/>
    </xf>
    <xf numFmtId="4" fontId="6" fillId="0" borderId="0" xfId="0" applyNumberFormat="1" applyFont="1" applyAlignment="1">
      <alignment horizontal="center" vertical="top"/>
    </xf>
    <xf numFmtId="0" fontId="11" fillId="0" borderId="0" xfId="0" applyFont="1" applyAlignment="1">
      <alignment vertical="top" wrapText="1"/>
    </xf>
    <xf numFmtId="0" fontId="11" fillId="0" borderId="0" xfId="0" applyFont="1" applyAlignment="1">
      <alignment horizontal="center" vertical="top"/>
    </xf>
    <xf numFmtId="4" fontId="11" fillId="0" borderId="0" xfId="0" applyNumberFormat="1" applyFont="1" applyAlignment="1">
      <alignment vertical="top"/>
    </xf>
    <xf numFmtId="0" fontId="6" fillId="0" borderId="0" xfId="7" applyFont="1" applyAlignment="1">
      <alignment horizontal="left"/>
    </xf>
    <xf numFmtId="0" fontId="7" fillId="0" borderId="0" xfId="7" applyFont="1" applyAlignment="1">
      <alignment horizontal="left"/>
    </xf>
    <xf numFmtId="0" fontId="5" fillId="0" borderId="0" xfId="7" applyFont="1" applyAlignment="1">
      <alignment horizontal="left"/>
    </xf>
    <xf numFmtId="0" fontId="7" fillId="0" borderId="0" xfId="0" applyFont="1" applyAlignment="1">
      <alignment horizontal="left"/>
    </xf>
    <xf numFmtId="0" fontId="6" fillId="0" borderId="0" xfId="0" applyFont="1" applyAlignment="1">
      <alignment horizontal="left"/>
    </xf>
    <xf numFmtId="0" fontId="15" fillId="0" borderId="0" xfId="0" applyFont="1" applyAlignment="1">
      <alignment horizontal="left"/>
    </xf>
    <xf numFmtId="0" fontId="15" fillId="0" borderId="0" xfId="0" applyFont="1" applyAlignment="1">
      <alignment vertical="top"/>
    </xf>
    <xf numFmtId="0" fontId="6" fillId="0" borderId="0" xfId="0" applyFont="1" applyAlignment="1">
      <alignment vertical="top"/>
    </xf>
    <xf numFmtId="0" fontId="7" fillId="0" borderId="0" xfId="0" applyFont="1" applyAlignment="1">
      <alignment vertical="top"/>
    </xf>
    <xf numFmtId="0" fontId="7" fillId="0" borderId="0" xfId="11" applyFont="1" applyAlignment="1">
      <alignment horizontal="left"/>
    </xf>
    <xf numFmtId="0" fontId="5" fillId="0" borderId="0" xfId="0" applyFont="1" applyAlignment="1">
      <alignment horizontal="left"/>
    </xf>
    <xf numFmtId="0" fontId="5" fillId="3" borderId="0" xfId="0" applyFont="1" applyFill="1" applyAlignment="1">
      <alignment horizontal="left" vertical="center"/>
    </xf>
    <xf numFmtId="0" fontId="10" fillId="0" borderId="0" xfId="11" applyFont="1"/>
    <xf numFmtId="2" fontId="5" fillId="3" borderId="0" xfId="0" applyNumberFormat="1" applyFont="1" applyFill="1" applyAlignment="1">
      <alignment horizontal="center" vertical="center"/>
    </xf>
    <xf numFmtId="0" fontId="11" fillId="0" borderId="0" xfId="0" applyFont="1" applyAlignment="1">
      <alignment vertical="center" wrapText="1"/>
    </xf>
    <xf numFmtId="169" fontId="6" fillId="0" borderId="0" xfId="7" applyNumberFormat="1" applyFont="1" applyAlignment="1">
      <alignment horizontal="center"/>
    </xf>
    <xf numFmtId="1" fontId="6" fillId="0" borderId="2" xfId="7" quotePrefix="1" applyNumberFormat="1" applyFont="1" applyBorder="1" applyAlignment="1">
      <alignment horizontal="center" vertical="top"/>
    </xf>
    <xf numFmtId="171" fontId="5" fillId="0" borderId="0" xfId="0" applyNumberFormat="1" applyFont="1" applyAlignment="1">
      <alignment horizontal="center"/>
    </xf>
    <xf numFmtId="169" fontId="6" fillId="0" borderId="0" xfId="7" applyNumberFormat="1" applyFont="1" applyAlignment="1">
      <alignment horizontal="right"/>
    </xf>
    <xf numFmtId="0" fontId="5" fillId="0" borderId="4" xfId="7" applyFont="1" applyBorder="1" applyAlignment="1">
      <alignment horizontal="center" vertical="center" wrapText="1"/>
    </xf>
    <xf numFmtId="1" fontId="5" fillId="0" borderId="4" xfId="7" applyNumberFormat="1" applyFont="1" applyBorder="1" applyAlignment="1">
      <alignment horizontal="center" vertical="center" wrapText="1"/>
    </xf>
    <xf numFmtId="0" fontId="5" fillId="0" borderId="9" xfId="7" applyFont="1" applyBorder="1" applyAlignment="1">
      <alignment horizontal="center" vertical="center" wrapText="1"/>
    </xf>
    <xf numFmtId="1" fontId="5" fillId="0" borderId="4" xfId="1" applyNumberFormat="1" applyFont="1" applyBorder="1" applyAlignment="1">
      <alignment horizontal="right" vertical="center" wrapText="1"/>
    </xf>
    <xf numFmtId="169" fontId="5" fillId="0" borderId="4" xfId="3" applyNumberFormat="1" applyFont="1" applyBorder="1" applyAlignment="1">
      <alignment horizontal="center" vertical="center" wrapText="1"/>
    </xf>
    <xf numFmtId="169" fontId="5" fillId="0" borderId="4" xfId="1" applyNumberFormat="1" applyFont="1" applyBorder="1" applyAlignment="1">
      <alignment horizontal="center" vertical="center" wrapText="1"/>
    </xf>
    <xf numFmtId="0" fontId="6" fillId="0" borderId="1" xfId="7" applyFont="1" applyBorder="1" applyAlignment="1">
      <alignment horizontal="center"/>
    </xf>
    <xf numFmtId="169" fontId="6" fillId="0" borderId="2" xfId="1" applyNumberFormat="1" applyFont="1" applyBorder="1" applyAlignment="1">
      <alignment horizontal="right"/>
    </xf>
    <xf numFmtId="0" fontId="5" fillId="0" borderId="2" xfId="7" applyFont="1" applyBorder="1" applyAlignment="1">
      <alignment horizontal="center"/>
    </xf>
    <xf numFmtId="169" fontId="6" fillId="0" borderId="2" xfId="7" applyNumberFormat="1" applyFont="1" applyBorder="1"/>
    <xf numFmtId="168" fontId="6" fillId="0" borderId="2" xfId="7" applyNumberFormat="1" applyFont="1" applyBorder="1"/>
    <xf numFmtId="0" fontId="6" fillId="0" borderId="2" xfId="7" applyFont="1" applyBorder="1" applyAlignment="1">
      <alignment horizontal="left"/>
    </xf>
    <xf numFmtId="0" fontId="6" fillId="0" borderId="2" xfId="7" applyFont="1" applyBorder="1" applyAlignment="1">
      <alignment horizontal="center" vertical="top"/>
    </xf>
    <xf numFmtId="0" fontId="1" fillId="0" borderId="2" xfId="7" applyBorder="1" applyAlignment="1">
      <alignment horizontal="left"/>
    </xf>
    <xf numFmtId="169" fontId="6" fillId="0" borderId="2" xfId="7" applyNumberFormat="1" applyFont="1" applyBorder="1" applyAlignment="1">
      <alignment horizontal="center" vertical="center"/>
    </xf>
    <xf numFmtId="169" fontId="6" fillId="0" borderId="2" xfId="3" applyNumberFormat="1" applyFont="1" applyBorder="1"/>
    <xf numFmtId="169" fontId="5" fillId="0" borderId="4" xfId="7" quotePrefix="1" applyNumberFormat="1" applyFont="1" applyBorder="1" applyAlignment="1">
      <alignment horizontal="right" vertical="center"/>
    </xf>
    <xf numFmtId="0" fontId="6" fillId="0" borderId="4" xfId="7" applyFont="1" applyBorder="1" applyAlignment="1">
      <alignment horizontal="center" vertical="center" wrapText="1"/>
    </xf>
    <xf numFmtId="1" fontId="6" fillId="0" borderId="4" xfId="7" applyNumberFormat="1" applyFont="1" applyBorder="1" applyAlignment="1">
      <alignment horizontal="center" vertical="center" wrapText="1"/>
    </xf>
    <xf numFmtId="0" fontId="6" fillId="0" borderId="9" xfId="7" applyFont="1" applyBorder="1" applyAlignment="1">
      <alignment horizontal="center" vertical="center" wrapText="1"/>
    </xf>
    <xf numFmtId="1" fontId="6" fillId="0" borderId="4" xfId="1" applyNumberFormat="1" applyFont="1" applyBorder="1" applyAlignment="1">
      <alignment horizontal="right" vertical="center" wrapText="1"/>
    </xf>
    <xf numFmtId="169" fontId="6" fillId="0" borderId="4" xfId="3" applyNumberFormat="1" applyFont="1" applyBorder="1" applyAlignment="1">
      <alignment horizontal="center" vertical="center" wrapText="1"/>
    </xf>
    <xf numFmtId="169" fontId="6" fillId="0" borderId="4" xfId="1" applyNumberFormat="1" applyFont="1" applyBorder="1" applyAlignment="1">
      <alignment horizontal="center" vertical="center" wrapText="1"/>
    </xf>
    <xf numFmtId="1" fontId="6" fillId="0" borderId="10" xfId="7" quotePrefix="1" applyNumberFormat="1" applyFont="1" applyBorder="1" applyAlignment="1">
      <alignment horizontal="left" vertical="center"/>
    </xf>
    <xf numFmtId="171" fontId="5" fillId="0" borderId="0" xfId="0" applyNumberFormat="1" applyFont="1" applyAlignment="1">
      <alignment horizontal="left"/>
    </xf>
    <xf numFmtId="0" fontId="5" fillId="0" borderId="4" xfId="0" applyFont="1" applyBorder="1" applyAlignment="1">
      <alignment horizontal="center" vertical="center" wrapText="1"/>
    </xf>
    <xf numFmtId="3" fontId="11" fillId="0" borderId="2" xfId="0" applyNumberFormat="1" applyFont="1" applyBorder="1" applyAlignment="1">
      <alignment vertical="top"/>
    </xf>
    <xf numFmtId="4" fontId="5" fillId="0" borderId="2" xfId="0" applyNumberFormat="1" applyFont="1" applyBorder="1" applyAlignment="1">
      <alignment horizontal="center" vertical="center" wrapText="1"/>
    </xf>
    <xf numFmtId="4" fontId="6" fillId="0" borderId="2" xfId="0" applyNumberFormat="1" applyFont="1" applyBorder="1" applyAlignment="1">
      <alignment horizontal="right" vertical="center"/>
    </xf>
    <xf numFmtId="169" fontId="5" fillId="0" borderId="10" xfId="7" quotePrefix="1" applyNumberFormat="1" applyFont="1" applyBorder="1" applyAlignment="1">
      <alignment horizontal="right" vertical="center"/>
    </xf>
    <xf numFmtId="169" fontId="5" fillId="0" borderId="8" xfId="7" quotePrefix="1" applyNumberFormat="1" applyFont="1" applyBorder="1" applyAlignment="1">
      <alignment horizontal="right" vertical="center"/>
    </xf>
    <xf numFmtId="0" fontId="5" fillId="0" borderId="5" xfId="0" applyFont="1" applyBorder="1" applyAlignment="1">
      <alignment horizontal="center" vertical="center" wrapText="1"/>
    </xf>
    <xf numFmtId="0" fontId="5" fillId="0" borderId="1" xfId="0" applyFont="1" applyBorder="1" applyAlignment="1">
      <alignment vertical="center" wrapText="1"/>
    </xf>
    <xf numFmtId="168" fontId="6" fillId="0" borderId="3" xfId="0" applyNumberFormat="1" applyFont="1" applyBorder="1" applyAlignment="1">
      <alignment vertical="center"/>
    </xf>
    <xf numFmtId="168" fontId="6" fillId="0" borderId="3" xfId="0" applyNumberFormat="1" applyFont="1" applyBorder="1"/>
    <xf numFmtId="0" fontId="6" fillId="0" borderId="0" xfId="0" applyFont="1" applyAlignment="1">
      <alignment wrapText="1"/>
    </xf>
    <xf numFmtId="168" fontId="6" fillId="0" borderId="2" xfId="0" applyNumberFormat="1" applyFont="1" applyBorder="1"/>
    <xf numFmtId="43" fontId="6" fillId="0" borderId="2" xfId="1" applyFont="1" applyFill="1" applyBorder="1" applyAlignment="1">
      <alignment horizontal="right"/>
    </xf>
    <xf numFmtId="165" fontId="6" fillId="0" borderId="2" xfId="4" applyNumberFormat="1" applyFont="1" applyFill="1" applyBorder="1" applyAlignment="1">
      <alignment horizontal="center" vertical="center"/>
    </xf>
    <xf numFmtId="0" fontId="6" fillId="0" borderId="0" xfId="0" applyFont="1" applyAlignment="1">
      <alignment vertical="center" wrapText="1"/>
    </xf>
    <xf numFmtId="0" fontId="7" fillId="0" borderId="3" xfId="0" applyFont="1" applyBorder="1" applyAlignment="1">
      <alignment vertical="top" wrapText="1"/>
    </xf>
    <xf numFmtId="170" fontId="6" fillId="0" borderId="2" xfId="0" applyNumberFormat="1" applyFont="1" applyBorder="1" applyAlignment="1" applyProtection="1">
      <alignment vertical="top"/>
      <protection locked="0"/>
    </xf>
    <xf numFmtId="0" fontId="11" fillId="0" borderId="3" xfId="0" applyFont="1" applyBorder="1" applyAlignment="1">
      <alignment vertical="top" wrapText="1"/>
    </xf>
    <xf numFmtId="3" fontId="6" fillId="0" borderId="2" xfId="0" applyNumberFormat="1" applyFont="1" applyBorder="1" applyAlignment="1">
      <alignment vertical="top"/>
    </xf>
    <xf numFmtId="0" fontId="15" fillId="0" borderId="3" xfId="0" applyFont="1" applyBorder="1" applyAlignment="1">
      <alignment vertical="top" wrapText="1"/>
    </xf>
    <xf numFmtId="170" fontId="6" fillId="0" borderId="2" xfId="0" applyNumberFormat="1" applyFont="1" applyBorder="1" applyAlignment="1">
      <alignment vertical="top"/>
    </xf>
    <xf numFmtId="0" fontId="6" fillId="0" borderId="3" xfId="0" applyFont="1" applyBorder="1" applyAlignment="1">
      <alignment vertical="top"/>
    </xf>
    <xf numFmtId="0" fontId="6" fillId="0" borderId="3" xfId="0" applyFont="1" applyBorder="1" applyAlignment="1">
      <alignment vertical="top" wrapText="1"/>
    </xf>
    <xf numFmtId="170" fontId="6" fillId="0" borderId="2" xfId="0" applyNumberFormat="1" applyFont="1" applyBorder="1" applyAlignment="1">
      <alignment horizontal="center" vertical="top"/>
    </xf>
    <xf numFmtId="0" fontId="6" fillId="0" borderId="2" xfId="14" applyFont="1" applyBorder="1" applyAlignment="1">
      <alignment horizontal="center" vertical="top" wrapText="1"/>
    </xf>
    <xf numFmtId="169" fontId="6" fillId="0" borderId="2" xfId="3" applyNumberFormat="1" applyFont="1" applyFill="1" applyBorder="1" applyAlignment="1">
      <alignment horizontal="center" vertical="center"/>
    </xf>
    <xf numFmtId="0" fontId="12" fillId="0" borderId="9" xfId="0" applyFont="1" applyBorder="1" applyAlignment="1">
      <alignment vertical="center" wrapText="1"/>
    </xf>
    <xf numFmtId="0" fontId="12" fillId="0" borderId="7" xfId="0" applyFont="1" applyBorder="1" applyAlignment="1">
      <alignment vertical="center" wrapText="1"/>
    </xf>
    <xf numFmtId="0" fontId="12" fillId="0" borderId="5" xfId="0" applyFont="1" applyBorder="1" applyAlignment="1">
      <alignment vertical="center" wrapText="1"/>
    </xf>
    <xf numFmtId="1" fontId="6" fillId="0" borderId="9" xfId="7" quotePrefix="1" applyNumberFormat="1" applyFont="1" applyBorder="1" applyAlignment="1">
      <alignment horizontal="left" vertical="center"/>
    </xf>
    <xf numFmtId="1" fontId="6" fillId="0" borderId="7" xfId="7" quotePrefix="1" applyNumberFormat="1" applyFont="1" applyBorder="1" applyAlignment="1">
      <alignment horizontal="left" vertical="center"/>
    </xf>
    <xf numFmtId="1" fontId="6" fillId="0" borderId="5" xfId="7" quotePrefix="1" applyNumberFormat="1" applyFont="1" applyBorder="1" applyAlignment="1">
      <alignment horizontal="left" vertical="center"/>
    </xf>
    <xf numFmtId="0" fontId="5" fillId="0" borderId="9" xfId="7" applyFont="1" applyBorder="1" applyAlignment="1">
      <alignment horizontal="left" vertical="center"/>
    </xf>
    <xf numFmtId="0" fontId="5" fillId="0" borderId="7" xfId="7" applyFont="1" applyBorder="1" applyAlignment="1">
      <alignment horizontal="left" vertical="center"/>
    </xf>
    <xf numFmtId="0" fontId="5" fillId="0" borderId="5" xfId="7" applyFont="1" applyBorder="1" applyAlignment="1">
      <alignment horizontal="left" vertical="center"/>
    </xf>
    <xf numFmtId="0" fontId="5" fillId="0" borderId="4" xfId="0" applyFont="1" applyBorder="1" applyAlignment="1">
      <alignment vertical="center"/>
    </xf>
    <xf numFmtId="0" fontId="6" fillId="0" borderId="2" xfId="0" applyFont="1" applyFill="1" applyBorder="1" applyAlignment="1">
      <alignment horizontal="center" vertical="top"/>
    </xf>
    <xf numFmtId="1" fontId="6" fillId="0" borderId="2" xfId="7" applyNumberFormat="1" applyFont="1" applyFill="1" applyBorder="1" applyAlignment="1">
      <alignment horizontal="center" vertical="center"/>
    </xf>
    <xf numFmtId="0" fontId="6" fillId="0" borderId="3" xfId="0" applyFont="1" applyFill="1" applyBorder="1" applyAlignment="1">
      <alignment vertical="top" wrapText="1"/>
    </xf>
    <xf numFmtId="0" fontId="6" fillId="0" borderId="2" xfId="0" applyFont="1" applyFill="1" applyBorder="1" applyAlignment="1">
      <alignment horizontal="center" vertical="center"/>
    </xf>
    <xf numFmtId="170" fontId="6" fillId="0" borderId="2" xfId="0" applyNumberFormat="1" applyFont="1" applyFill="1" applyBorder="1" applyAlignment="1">
      <alignment horizontal="center" vertical="center"/>
    </xf>
    <xf numFmtId="169" fontId="6" fillId="0" borderId="2" xfId="7" applyNumberFormat="1" applyFont="1" applyFill="1" applyBorder="1" applyAlignment="1">
      <alignment horizontal="center" vertical="center"/>
    </xf>
    <xf numFmtId="0" fontId="6" fillId="0" borderId="0" xfId="0" applyFont="1" applyFill="1" applyAlignment="1">
      <alignment vertical="top" wrapText="1"/>
    </xf>
    <xf numFmtId="0" fontId="6" fillId="0" borderId="0" xfId="0" applyFont="1" applyFill="1" applyBorder="1" applyAlignment="1">
      <alignment vertical="top" wrapText="1"/>
    </xf>
  </cellXfs>
  <cellStyles count="15">
    <cellStyle name="Comma" xfId="1" builtinId="3"/>
    <cellStyle name="Comma 2" xfId="2" xr:uid="{00000000-0005-0000-0000-000001000000}"/>
    <cellStyle name="Comma 2 2" xfId="3" xr:uid="{00000000-0005-0000-0000-000002000000}"/>
    <cellStyle name="Comma0" xfId="4" xr:uid="{00000000-0005-0000-0000-000003000000}"/>
    <cellStyle name="Currency 2" xfId="5" xr:uid="{00000000-0005-0000-0000-000004000000}"/>
    <cellStyle name="Currency 2 2" xfId="6" xr:uid="{00000000-0005-0000-0000-000005000000}"/>
    <cellStyle name="Normal" xfId="0" builtinId="0"/>
    <cellStyle name="Normal 2" xfId="7" xr:uid="{00000000-0005-0000-0000-000007000000}"/>
    <cellStyle name="Normal 2 2" xfId="8" xr:uid="{00000000-0005-0000-0000-000008000000}"/>
    <cellStyle name="Normal 2 2 2" xfId="9" xr:uid="{00000000-0005-0000-0000-000009000000}"/>
    <cellStyle name="Normal 3" xfId="10" xr:uid="{00000000-0005-0000-0000-00000A000000}"/>
    <cellStyle name="Normal 6" xfId="13" xr:uid="{458E814D-CAAA-4960-B37F-E6AD6BC15B20}"/>
    <cellStyle name="Normal_Bill of quantities" xfId="14" xr:uid="{25936F35-6408-4CD5-B8F5-48CD034CBC95}"/>
    <cellStyle name="OPSKRIF" xfId="11" xr:uid="{00000000-0005-0000-0000-00000B000000}"/>
    <cellStyle name="OPSKRIFTE" xfId="12" xr:uid="{00000000-0005-0000-0000-00000C00000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21"/>
  <sheetViews>
    <sheetView showGridLines="0" view="pageBreakPreview" topLeftCell="A106" zoomScaleNormal="100" zoomScaleSheetLayoutView="100" workbookViewId="0">
      <selection activeCell="G4" sqref="G4"/>
    </sheetView>
  </sheetViews>
  <sheetFormatPr defaultRowHeight="13.2" x14ac:dyDescent="0.25"/>
  <cols>
    <col min="1" max="1" width="9.88671875" customWidth="1"/>
    <col min="2" max="2" width="7.6640625" customWidth="1"/>
    <col min="3" max="3" width="40.6640625" customWidth="1"/>
    <col min="4" max="4" width="6.44140625" customWidth="1"/>
    <col min="5" max="5" width="8.6640625" customWidth="1"/>
    <col min="6" max="6" width="7.109375" customWidth="1"/>
    <col min="7" max="7" width="11.6640625" customWidth="1"/>
  </cols>
  <sheetData>
    <row r="1" spans="1:9" x14ac:dyDescent="0.25">
      <c r="A1" s="86" t="s">
        <v>146</v>
      </c>
      <c r="B1" s="87"/>
      <c r="C1" s="69"/>
      <c r="D1" s="70"/>
      <c r="E1" s="70"/>
      <c r="F1" s="71"/>
      <c r="G1" s="88" t="s">
        <v>141</v>
      </c>
    </row>
    <row r="2" spans="1:9" x14ac:dyDescent="0.25">
      <c r="A2" s="43" t="s">
        <v>105</v>
      </c>
      <c r="B2" s="68"/>
      <c r="C2" s="69"/>
      <c r="D2" s="70"/>
      <c r="E2" s="70"/>
      <c r="F2" s="71"/>
      <c r="G2" s="71"/>
    </row>
    <row r="3" spans="1:9" x14ac:dyDescent="0.25">
      <c r="A3" s="43" t="s">
        <v>17</v>
      </c>
      <c r="B3" s="68"/>
      <c r="C3" s="72"/>
      <c r="D3" s="73"/>
      <c r="E3" s="73"/>
      <c r="F3" s="74"/>
      <c r="G3" s="92">
        <v>45183</v>
      </c>
    </row>
    <row r="4" spans="1:9" x14ac:dyDescent="0.25">
      <c r="A4" s="13"/>
      <c r="B4" s="13"/>
      <c r="C4" s="72"/>
      <c r="D4" s="73"/>
      <c r="E4" s="73"/>
      <c r="F4" s="74"/>
      <c r="G4" s="74"/>
    </row>
    <row r="5" spans="1:9" ht="20.399999999999999" x14ac:dyDescent="0.25">
      <c r="A5" s="119" t="s">
        <v>14</v>
      </c>
      <c r="B5" s="20" t="s">
        <v>13</v>
      </c>
      <c r="C5" s="44" t="s">
        <v>0</v>
      </c>
      <c r="D5" s="45" t="s">
        <v>1</v>
      </c>
      <c r="E5" s="45" t="s">
        <v>15</v>
      </c>
      <c r="F5" s="46" t="s">
        <v>2</v>
      </c>
      <c r="G5" s="46" t="s">
        <v>12</v>
      </c>
    </row>
    <row r="6" spans="1:9" ht="12" customHeight="1" x14ac:dyDescent="0.25">
      <c r="A6" s="11"/>
      <c r="B6" s="11"/>
      <c r="C6" s="12"/>
      <c r="D6" s="11"/>
      <c r="E6" s="11"/>
      <c r="F6" s="24"/>
      <c r="G6" s="120"/>
    </row>
    <row r="7" spans="1:9" ht="12" customHeight="1" x14ac:dyDescent="0.25">
      <c r="A7" s="36" t="s">
        <v>4</v>
      </c>
      <c r="B7" s="36"/>
      <c r="C7" s="47" t="str">
        <f>A3</f>
        <v>SECTION 1 : PRELIMINARY AND GENERAL</v>
      </c>
      <c r="D7" s="36"/>
      <c r="E7" s="35"/>
      <c r="F7" s="24"/>
      <c r="G7" s="121"/>
    </row>
    <row r="8" spans="1:9" ht="12" customHeight="1" x14ac:dyDescent="0.25">
      <c r="A8" s="36" t="s">
        <v>21</v>
      </c>
      <c r="B8" s="36"/>
      <c r="C8" s="7" t="s">
        <v>16</v>
      </c>
      <c r="D8" s="36"/>
      <c r="E8" s="35"/>
      <c r="F8" s="24"/>
      <c r="G8" s="121"/>
    </row>
    <row r="9" spans="1:9" ht="12" customHeight="1" x14ac:dyDescent="0.25">
      <c r="A9" s="37"/>
      <c r="B9" s="37"/>
      <c r="C9" s="7"/>
      <c r="D9" s="5"/>
      <c r="E9" s="5"/>
      <c r="F9" s="24"/>
      <c r="G9" s="122"/>
    </row>
    <row r="10" spans="1:9" ht="12" customHeight="1" x14ac:dyDescent="0.25">
      <c r="A10" s="11">
        <v>8.3000000000000007</v>
      </c>
      <c r="B10" s="11"/>
      <c r="C10" s="38" t="s">
        <v>46</v>
      </c>
      <c r="D10" s="5"/>
      <c r="E10" s="5"/>
      <c r="F10" s="24"/>
      <c r="G10" s="122"/>
    </row>
    <row r="11" spans="1:9" ht="12" customHeight="1" x14ac:dyDescent="0.25">
      <c r="A11" s="37"/>
      <c r="B11" s="37"/>
      <c r="C11" s="7"/>
      <c r="D11" s="5"/>
      <c r="E11" s="5"/>
      <c r="F11" s="24"/>
      <c r="G11" s="122"/>
    </row>
    <row r="12" spans="1:9" ht="12" customHeight="1" x14ac:dyDescent="0.25">
      <c r="A12" s="11" t="s">
        <v>47</v>
      </c>
      <c r="B12" s="11">
        <v>1</v>
      </c>
      <c r="C12" s="12" t="s">
        <v>48</v>
      </c>
      <c r="D12" s="11" t="s">
        <v>22</v>
      </c>
      <c r="E12" s="11">
        <v>1</v>
      </c>
      <c r="F12" s="24"/>
      <c r="G12" s="109">
        <f>E12*F12</f>
        <v>0</v>
      </c>
    </row>
    <row r="13" spans="1:9" ht="12" customHeight="1" x14ac:dyDescent="0.25">
      <c r="A13" s="11"/>
      <c r="B13" s="11"/>
      <c r="C13" s="12" t="s">
        <v>49</v>
      </c>
      <c r="D13" s="11"/>
      <c r="E13" s="11"/>
      <c r="F13" s="24"/>
      <c r="G13" s="122"/>
    </row>
    <row r="14" spans="1:9" ht="12" customHeight="1" x14ac:dyDescent="0.25">
      <c r="A14" s="11"/>
      <c r="B14" s="11"/>
      <c r="C14" s="12"/>
      <c r="D14" s="11"/>
      <c r="E14" s="11"/>
      <c r="F14" s="24"/>
      <c r="G14" s="122"/>
    </row>
    <row r="15" spans="1:9" ht="12" customHeight="1" x14ac:dyDescent="0.25">
      <c r="A15" s="11" t="s">
        <v>3</v>
      </c>
      <c r="B15" s="11"/>
      <c r="C15" s="40" t="s">
        <v>23</v>
      </c>
      <c r="D15" s="11"/>
      <c r="E15" s="11"/>
      <c r="F15" s="24"/>
      <c r="G15" s="122"/>
    </row>
    <row r="16" spans="1:9" ht="12" customHeight="1" x14ac:dyDescent="0.25">
      <c r="A16" s="11"/>
      <c r="B16" s="11"/>
      <c r="C16" s="12"/>
      <c r="D16" s="11"/>
      <c r="E16" s="11"/>
      <c r="F16" s="24"/>
      <c r="G16" s="122"/>
      <c r="I16" s="92"/>
    </row>
    <row r="17" spans="1:7" ht="12" customHeight="1" x14ac:dyDescent="0.25">
      <c r="A17" s="11" t="s">
        <v>24</v>
      </c>
      <c r="B17" s="11"/>
      <c r="C17" s="41" t="s">
        <v>25</v>
      </c>
      <c r="D17" s="11"/>
      <c r="E17" s="11"/>
      <c r="F17" s="24"/>
      <c r="G17" s="122"/>
    </row>
    <row r="18" spans="1:7" ht="12" customHeight="1" x14ac:dyDescent="0.25">
      <c r="A18" s="11"/>
      <c r="B18" s="11"/>
      <c r="C18" s="42"/>
      <c r="D18" s="39"/>
      <c r="E18" s="39"/>
      <c r="F18" s="24"/>
      <c r="G18" s="122"/>
    </row>
    <row r="19" spans="1:7" ht="12" customHeight="1" x14ac:dyDescent="0.25">
      <c r="A19" s="11" t="s">
        <v>26</v>
      </c>
      <c r="B19" s="11">
        <v>2</v>
      </c>
      <c r="C19" s="42" t="s">
        <v>50</v>
      </c>
      <c r="D19" s="39" t="s">
        <v>22</v>
      </c>
      <c r="E19" s="39">
        <v>1</v>
      </c>
      <c r="F19" s="24"/>
      <c r="G19" s="109">
        <f>E19*F19</f>
        <v>0</v>
      </c>
    </row>
    <row r="20" spans="1:7" ht="12" customHeight="1" x14ac:dyDescent="0.25">
      <c r="A20" s="11"/>
      <c r="B20" s="11"/>
      <c r="C20" s="42"/>
      <c r="D20" s="39"/>
      <c r="E20" s="39"/>
      <c r="F20" s="24"/>
      <c r="G20" s="122"/>
    </row>
    <row r="21" spans="1:7" ht="12" customHeight="1" x14ac:dyDescent="0.25">
      <c r="A21" s="11" t="s">
        <v>51</v>
      </c>
      <c r="B21" s="11">
        <v>3</v>
      </c>
      <c r="C21" s="42" t="s">
        <v>52</v>
      </c>
      <c r="D21" s="39" t="s">
        <v>22</v>
      </c>
      <c r="E21" s="39">
        <v>1</v>
      </c>
      <c r="F21" s="24"/>
      <c r="G21" s="109">
        <f>E21*F21</f>
        <v>0</v>
      </c>
    </row>
    <row r="22" spans="1:7" ht="12" customHeight="1" x14ac:dyDescent="0.25">
      <c r="A22" s="11"/>
      <c r="B22" s="11"/>
      <c r="C22" s="12"/>
      <c r="D22" s="11"/>
      <c r="E22" s="11"/>
      <c r="F22" s="24"/>
      <c r="G22" s="122"/>
    </row>
    <row r="23" spans="1:7" ht="12" customHeight="1" x14ac:dyDescent="0.25">
      <c r="A23" s="11" t="s">
        <v>27</v>
      </c>
      <c r="B23" s="11"/>
      <c r="C23" s="41" t="s">
        <v>28</v>
      </c>
      <c r="D23" s="11"/>
      <c r="E23" s="11"/>
      <c r="F23" s="24"/>
      <c r="G23" s="122"/>
    </row>
    <row r="24" spans="1:7" ht="12" customHeight="1" x14ac:dyDescent="0.25">
      <c r="A24" s="11"/>
      <c r="B24" s="11"/>
      <c r="C24" s="12"/>
      <c r="D24" s="11"/>
      <c r="E24" s="11"/>
      <c r="F24" s="24"/>
      <c r="G24" s="122"/>
    </row>
    <row r="25" spans="1:7" ht="12" customHeight="1" x14ac:dyDescent="0.25">
      <c r="A25" s="11" t="s">
        <v>29</v>
      </c>
      <c r="B25" s="11">
        <v>4</v>
      </c>
      <c r="C25" s="12" t="s">
        <v>53</v>
      </c>
      <c r="D25" s="11" t="s">
        <v>22</v>
      </c>
      <c r="E25" s="11">
        <v>1</v>
      </c>
      <c r="F25" s="24"/>
      <c r="G25" s="109">
        <f>E25*F25</f>
        <v>0</v>
      </c>
    </row>
    <row r="26" spans="1:7" ht="12" customHeight="1" x14ac:dyDescent="0.25">
      <c r="A26" s="11"/>
      <c r="B26" s="11"/>
      <c r="C26" s="12"/>
      <c r="D26" s="11"/>
      <c r="E26" s="11"/>
      <c r="F26" s="24"/>
      <c r="G26" s="122"/>
    </row>
    <row r="27" spans="1:7" ht="12" customHeight="1" x14ac:dyDescent="0.25">
      <c r="A27" s="11" t="s">
        <v>30</v>
      </c>
      <c r="B27" s="11">
        <v>5</v>
      </c>
      <c r="C27" s="12" t="s">
        <v>54</v>
      </c>
      <c r="D27" s="11" t="s">
        <v>22</v>
      </c>
      <c r="E27" s="11">
        <v>1</v>
      </c>
      <c r="F27" s="24"/>
      <c r="G27" s="109">
        <f>E27*F27</f>
        <v>0</v>
      </c>
    </row>
    <row r="28" spans="1:7" ht="12" customHeight="1" x14ac:dyDescent="0.25">
      <c r="A28" s="11"/>
      <c r="B28" s="11"/>
      <c r="C28" s="12"/>
      <c r="D28" s="11"/>
      <c r="E28" s="11"/>
      <c r="F28" s="24"/>
      <c r="G28" s="122"/>
    </row>
    <row r="29" spans="1:7" ht="12" customHeight="1" x14ac:dyDescent="0.25">
      <c r="A29" s="11" t="s">
        <v>44</v>
      </c>
      <c r="B29" s="11">
        <v>6</v>
      </c>
      <c r="C29" s="12" t="s">
        <v>55</v>
      </c>
      <c r="D29" s="11" t="s">
        <v>22</v>
      </c>
      <c r="E29" s="11">
        <v>1</v>
      </c>
      <c r="F29" s="24"/>
      <c r="G29" s="109">
        <f>E29*F29</f>
        <v>0</v>
      </c>
    </row>
    <row r="30" spans="1:7" ht="12" customHeight="1" x14ac:dyDescent="0.25">
      <c r="A30" s="11"/>
      <c r="B30" s="11"/>
      <c r="C30" s="12"/>
      <c r="D30" s="11"/>
      <c r="E30" s="11"/>
      <c r="F30" s="24"/>
      <c r="G30" s="122"/>
    </row>
    <row r="31" spans="1:7" ht="12" customHeight="1" x14ac:dyDescent="0.25">
      <c r="A31" s="11" t="s">
        <v>56</v>
      </c>
      <c r="B31" s="11">
        <v>7</v>
      </c>
      <c r="C31" s="12" t="s">
        <v>57</v>
      </c>
      <c r="D31" s="11" t="s">
        <v>22</v>
      </c>
      <c r="E31" s="11">
        <v>1</v>
      </c>
      <c r="F31" s="24"/>
      <c r="G31" s="109">
        <f>E31*F31</f>
        <v>0</v>
      </c>
    </row>
    <row r="32" spans="1:7" ht="12" customHeight="1" x14ac:dyDescent="0.25">
      <c r="A32" s="11"/>
      <c r="B32" s="11"/>
      <c r="C32" s="12"/>
      <c r="D32" s="11"/>
      <c r="E32" s="11"/>
      <c r="F32" s="24"/>
      <c r="G32" s="122"/>
    </row>
    <row r="33" spans="1:7" ht="12" customHeight="1" x14ac:dyDescent="0.25">
      <c r="A33" s="11" t="s">
        <v>58</v>
      </c>
      <c r="B33" s="11">
        <v>8</v>
      </c>
      <c r="C33" s="12" t="s">
        <v>59</v>
      </c>
      <c r="D33" s="11" t="s">
        <v>22</v>
      </c>
      <c r="E33" s="11">
        <v>1</v>
      </c>
      <c r="F33" s="24"/>
      <c r="G33" s="109">
        <f>E33*F33</f>
        <v>0</v>
      </c>
    </row>
    <row r="34" spans="1:7" ht="12" customHeight="1" x14ac:dyDescent="0.25">
      <c r="A34" s="11"/>
      <c r="B34" s="11"/>
      <c r="C34" s="12"/>
      <c r="D34" s="11"/>
      <c r="E34" s="11"/>
      <c r="F34" s="24"/>
      <c r="G34" s="122"/>
    </row>
    <row r="35" spans="1:7" ht="12" customHeight="1" x14ac:dyDescent="0.25">
      <c r="A35" s="11" t="s">
        <v>31</v>
      </c>
      <c r="B35" s="11">
        <v>9</v>
      </c>
      <c r="C35" s="12" t="s">
        <v>60</v>
      </c>
      <c r="D35" s="11" t="s">
        <v>22</v>
      </c>
      <c r="E35" s="11">
        <v>1</v>
      </c>
      <c r="F35" s="24"/>
      <c r="G35" s="109">
        <f>E35*F35</f>
        <v>0</v>
      </c>
    </row>
    <row r="36" spans="1:7" ht="12" customHeight="1" x14ac:dyDescent="0.25">
      <c r="A36" s="11"/>
      <c r="B36" s="11"/>
      <c r="C36" s="12"/>
      <c r="D36" s="11"/>
      <c r="E36" s="11"/>
      <c r="F36" s="24"/>
      <c r="G36" s="122"/>
    </row>
    <row r="37" spans="1:7" ht="12" customHeight="1" x14ac:dyDescent="0.25">
      <c r="A37" s="11" t="s">
        <v>32</v>
      </c>
      <c r="B37" s="11">
        <v>10</v>
      </c>
      <c r="C37" s="12" t="s">
        <v>33</v>
      </c>
      <c r="D37" s="11" t="s">
        <v>22</v>
      </c>
      <c r="E37" s="11">
        <v>1</v>
      </c>
      <c r="F37" s="24"/>
      <c r="G37" s="109">
        <f>E37*F37</f>
        <v>0</v>
      </c>
    </row>
    <row r="38" spans="1:7" ht="12" customHeight="1" x14ac:dyDescent="0.25">
      <c r="A38" s="11"/>
      <c r="B38" s="11"/>
      <c r="C38" s="12"/>
      <c r="D38" s="11"/>
      <c r="E38" s="11"/>
      <c r="F38" s="24"/>
      <c r="G38" s="122"/>
    </row>
    <row r="39" spans="1:7" ht="12" customHeight="1" x14ac:dyDescent="0.25">
      <c r="A39" s="11" t="s">
        <v>61</v>
      </c>
      <c r="B39" s="11">
        <v>11</v>
      </c>
      <c r="C39" s="12" t="s">
        <v>62</v>
      </c>
      <c r="D39" s="11" t="s">
        <v>22</v>
      </c>
      <c r="E39" s="11">
        <v>1</v>
      </c>
      <c r="F39" s="24"/>
      <c r="G39" s="109">
        <f>E39*F39</f>
        <v>0</v>
      </c>
    </row>
    <row r="40" spans="1:7" ht="12" customHeight="1" x14ac:dyDescent="0.25">
      <c r="A40" s="11"/>
      <c r="B40" s="11"/>
      <c r="C40" s="12"/>
      <c r="D40" s="11"/>
      <c r="E40" s="11"/>
      <c r="F40" s="24"/>
      <c r="G40" s="122"/>
    </row>
    <row r="41" spans="1:7" ht="12" customHeight="1" x14ac:dyDescent="0.25">
      <c r="A41" s="11" t="s">
        <v>34</v>
      </c>
      <c r="B41" s="11">
        <v>12</v>
      </c>
      <c r="C41" s="12" t="s">
        <v>63</v>
      </c>
      <c r="D41" s="11" t="s">
        <v>22</v>
      </c>
      <c r="E41" s="11">
        <v>1</v>
      </c>
      <c r="F41" s="24"/>
      <c r="G41" s="109">
        <f>E41*F41</f>
        <v>0</v>
      </c>
    </row>
    <row r="42" spans="1:7" ht="12" customHeight="1" x14ac:dyDescent="0.25">
      <c r="A42" s="11"/>
      <c r="B42" s="11"/>
      <c r="C42" s="12"/>
      <c r="D42" s="11"/>
      <c r="E42" s="11"/>
      <c r="F42" s="24"/>
      <c r="G42" s="122"/>
    </row>
    <row r="43" spans="1:7" ht="12" customHeight="1" x14ac:dyDescent="0.25">
      <c r="A43" s="11" t="s">
        <v>19</v>
      </c>
      <c r="B43" s="11">
        <v>13</v>
      </c>
      <c r="C43" s="12" t="s">
        <v>64</v>
      </c>
      <c r="D43" s="11" t="s">
        <v>22</v>
      </c>
      <c r="E43" s="11">
        <v>1</v>
      </c>
      <c r="F43" s="24"/>
      <c r="G43" s="109">
        <f>E43*F43</f>
        <v>0</v>
      </c>
    </row>
    <row r="44" spans="1:7" ht="12" customHeight="1" x14ac:dyDescent="0.25">
      <c r="A44" s="11"/>
      <c r="B44" s="11"/>
      <c r="C44" s="12"/>
      <c r="D44" s="11"/>
      <c r="E44" s="11"/>
      <c r="F44" s="24"/>
      <c r="G44" s="122"/>
    </row>
    <row r="45" spans="1:7" ht="12" customHeight="1" x14ac:dyDescent="0.25">
      <c r="A45" s="11" t="s">
        <v>5</v>
      </c>
      <c r="B45" s="11">
        <v>14</v>
      </c>
      <c r="C45" s="12" t="s">
        <v>35</v>
      </c>
      <c r="D45" s="11" t="s">
        <v>22</v>
      </c>
      <c r="E45" s="11">
        <v>1</v>
      </c>
      <c r="F45" s="24"/>
      <c r="G45" s="109">
        <f>E45*F45</f>
        <v>0</v>
      </c>
    </row>
    <row r="46" spans="1:7" ht="12" customHeight="1" x14ac:dyDescent="0.25">
      <c r="A46" s="11"/>
      <c r="B46" s="11"/>
      <c r="C46" s="12"/>
      <c r="D46" s="11"/>
      <c r="E46" s="11"/>
      <c r="F46" s="24"/>
      <c r="G46" s="122"/>
    </row>
    <row r="47" spans="1:7" ht="12" customHeight="1" x14ac:dyDescent="0.25">
      <c r="A47" s="11" t="s">
        <v>65</v>
      </c>
      <c r="B47" s="11">
        <v>15</v>
      </c>
      <c r="C47" s="12" t="s">
        <v>66</v>
      </c>
      <c r="D47" s="11" t="s">
        <v>22</v>
      </c>
      <c r="E47" s="11">
        <v>1</v>
      </c>
      <c r="F47" s="24"/>
      <c r="G47" s="109">
        <f>E47*F47</f>
        <v>0</v>
      </c>
    </row>
    <row r="48" spans="1:7" ht="12" customHeight="1" x14ac:dyDescent="0.25">
      <c r="A48" s="11"/>
      <c r="B48" s="11"/>
      <c r="C48" s="12"/>
      <c r="D48" s="11"/>
      <c r="E48" s="11"/>
      <c r="F48" s="24"/>
      <c r="G48" s="122"/>
    </row>
    <row r="49" spans="1:7" ht="12" customHeight="1" x14ac:dyDescent="0.25">
      <c r="A49" s="11" t="s">
        <v>67</v>
      </c>
      <c r="B49" s="11">
        <v>16</v>
      </c>
      <c r="C49" s="12" t="s">
        <v>68</v>
      </c>
      <c r="D49" s="11" t="s">
        <v>22</v>
      </c>
      <c r="E49" s="11">
        <v>1</v>
      </c>
      <c r="F49" s="24"/>
      <c r="G49" s="109">
        <f>E49*F49</f>
        <v>0</v>
      </c>
    </row>
    <row r="50" spans="1:7" ht="12" customHeight="1" x14ac:dyDescent="0.25">
      <c r="A50" s="11"/>
      <c r="B50" s="11"/>
      <c r="C50" s="12"/>
      <c r="D50" s="11"/>
      <c r="E50" s="11"/>
      <c r="F50" s="24"/>
      <c r="G50" s="122"/>
    </row>
    <row r="51" spans="1:7" ht="12" customHeight="1" x14ac:dyDescent="0.25">
      <c r="A51" s="11"/>
      <c r="B51" s="11"/>
      <c r="C51" s="12"/>
      <c r="D51" s="11"/>
      <c r="E51" s="11"/>
      <c r="F51" s="24"/>
      <c r="G51" s="122"/>
    </row>
    <row r="52" spans="1:7" ht="12" customHeight="1" x14ac:dyDescent="0.25">
      <c r="A52" s="11"/>
      <c r="B52" s="11"/>
      <c r="C52" s="12"/>
      <c r="D52" s="11"/>
      <c r="E52" s="11"/>
      <c r="F52" s="24"/>
      <c r="G52" s="122"/>
    </row>
    <row r="53" spans="1:7" ht="12" customHeight="1" x14ac:dyDescent="0.25">
      <c r="A53" s="11"/>
      <c r="B53" s="11"/>
      <c r="C53" s="12"/>
      <c r="D53" s="11"/>
      <c r="E53" s="11"/>
      <c r="F53" s="24"/>
      <c r="G53" s="122"/>
    </row>
    <row r="54" spans="1:7" ht="12" customHeight="1" x14ac:dyDescent="0.25">
      <c r="A54" s="11"/>
      <c r="B54" s="11"/>
      <c r="C54" s="12"/>
      <c r="D54" s="11"/>
      <c r="E54" s="11"/>
      <c r="F54" s="24"/>
      <c r="G54" s="122"/>
    </row>
    <row r="55" spans="1:7" ht="12" customHeight="1" x14ac:dyDescent="0.25">
      <c r="A55" s="11"/>
      <c r="B55" s="11"/>
      <c r="C55" s="12"/>
      <c r="D55" s="11"/>
      <c r="E55" s="11"/>
      <c r="F55" s="24"/>
      <c r="G55" s="122"/>
    </row>
    <row r="56" spans="1:7" ht="12" customHeight="1" x14ac:dyDescent="0.25">
      <c r="A56" s="11"/>
      <c r="B56" s="11"/>
      <c r="C56" s="12"/>
      <c r="D56" s="11"/>
      <c r="E56" s="11"/>
      <c r="F56" s="24"/>
      <c r="G56" s="122"/>
    </row>
    <row r="57" spans="1:7" ht="12" customHeight="1" x14ac:dyDescent="0.25">
      <c r="A57" s="11"/>
      <c r="B57" s="11"/>
      <c r="C57" s="12"/>
      <c r="D57" s="11"/>
      <c r="E57" s="11"/>
      <c r="F57" s="24"/>
      <c r="G57" s="122"/>
    </row>
    <row r="58" spans="1:7" ht="12" customHeight="1" x14ac:dyDescent="0.25">
      <c r="A58" s="39"/>
      <c r="B58" s="11"/>
      <c r="C58" s="12"/>
      <c r="D58" s="11"/>
      <c r="E58" s="11"/>
      <c r="F58" s="24"/>
      <c r="G58" s="122"/>
    </row>
    <row r="59" spans="1:7" ht="12" customHeight="1" x14ac:dyDescent="0.25">
      <c r="A59" s="39"/>
      <c r="B59" s="11"/>
      <c r="C59" s="12"/>
      <c r="D59" s="11"/>
      <c r="E59" s="11"/>
      <c r="F59" s="24"/>
      <c r="G59" s="122"/>
    </row>
    <row r="60" spans="1:7" ht="20.100000000000001" customHeight="1" x14ac:dyDescent="0.25">
      <c r="A60" s="148" t="s">
        <v>101</v>
      </c>
      <c r="B60" s="149"/>
      <c r="C60" s="149"/>
      <c r="D60" s="149"/>
      <c r="E60" s="149"/>
      <c r="F60" s="150"/>
      <c r="G60" s="110">
        <f>SUM(G6:G59)</f>
        <v>0</v>
      </c>
    </row>
    <row r="61" spans="1:7" ht="12" customHeight="1" x14ac:dyDescent="0.25">
      <c r="A61" s="117"/>
      <c r="B61" s="117"/>
      <c r="C61" s="117"/>
      <c r="D61" s="117"/>
      <c r="E61" s="117"/>
      <c r="F61" s="117"/>
      <c r="G61" s="123"/>
    </row>
    <row r="62" spans="1:7" ht="12" customHeight="1" x14ac:dyDescent="0.25">
      <c r="A62" s="51"/>
      <c r="B62" s="52"/>
      <c r="C62" s="49"/>
      <c r="D62" s="49"/>
      <c r="E62" s="49"/>
      <c r="F62" s="49"/>
      <c r="G62" s="50"/>
    </row>
    <row r="63" spans="1:7" ht="20.399999999999999" x14ac:dyDescent="0.25">
      <c r="A63" s="119" t="s">
        <v>14</v>
      </c>
      <c r="B63" s="20" t="s">
        <v>13</v>
      </c>
      <c r="C63" s="44" t="s">
        <v>0</v>
      </c>
      <c r="D63" s="45" t="s">
        <v>1</v>
      </c>
      <c r="E63" s="45" t="s">
        <v>15</v>
      </c>
      <c r="F63" s="46" t="s">
        <v>2</v>
      </c>
      <c r="G63" s="46" t="s">
        <v>12</v>
      </c>
    </row>
    <row r="64" spans="1:7" ht="20.100000000000001" customHeight="1" x14ac:dyDescent="0.25">
      <c r="A64" s="148" t="s">
        <v>102</v>
      </c>
      <c r="B64" s="149"/>
      <c r="C64" s="149"/>
      <c r="D64" s="149"/>
      <c r="E64" s="149"/>
      <c r="F64" s="150"/>
      <c r="G64" s="99">
        <f>G60</f>
        <v>0</v>
      </c>
    </row>
    <row r="65" spans="1:7" ht="12" customHeight="1" x14ac:dyDescent="0.25">
      <c r="A65" s="39"/>
      <c r="B65" s="11"/>
      <c r="C65" s="38"/>
      <c r="D65" s="11"/>
      <c r="E65" s="11"/>
      <c r="F65" s="24"/>
      <c r="G65" s="122"/>
    </row>
    <row r="66" spans="1:7" ht="12" customHeight="1" x14ac:dyDescent="0.25">
      <c r="A66" s="11" t="s">
        <v>41</v>
      </c>
      <c r="B66" s="11"/>
      <c r="C66" s="47" t="s">
        <v>42</v>
      </c>
      <c r="D66" s="11"/>
      <c r="E66" s="11"/>
      <c r="F66" s="24"/>
      <c r="G66" s="122"/>
    </row>
    <row r="67" spans="1:7" ht="12" customHeight="1" x14ac:dyDescent="0.25">
      <c r="A67" s="11"/>
      <c r="B67" s="11"/>
      <c r="C67" s="12"/>
      <c r="D67" s="11"/>
      <c r="E67" s="11"/>
      <c r="F67" s="24"/>
      <c r="G67" s="122"/>
    </row>
    <row r="68" spans="1:7" ht="12" customHeight="1" x14ac:dyDescent="0.25">
      <c r="A68" s="11" t="s">
        <v>74</v>
      </c>
      <c r="B68" s="11">
        <v>17</v>
      </c>
      <c r="C68" s="12" t="s">
        <v>48</v>
      </c>
      <c r="D68" s="11" t="s">
        <v>22</v>
      </c>
      <c r="E68" s="11">
        <v>1</v>
      </c>
      <c r="F68" s="24"/>
      <c r="G68" s="109">
        <f>E68*F68</f>
        <v>0</v>
      </c>
    </row>
    <row r="69" spans="1:7" ht="12" customHeight="1" x14ac:dyDescent="0.25">
      <c r="A69" s="11"/>
      <c r="B69" s="11"/>
      <c r="C69" s="12" t="s">
        <v>75</v>
      </c>
      <c r="D69" s="11"/>
      <c r="E69" s="11"/>
      <c r="F69" s="24"/>
      <c r="G69" s="122"/>
    </row>
    <row r="70" spans="1:7" ht="12" customHeight="1" x14ac:dyDescent="0.25">
      <c r="A70" s="11"/>
      <c r="B70" s="11"/>
      <c r="C70" s="12"/>
      <c r="D70" s="11"/>
      <c r="E70" s="11"/>
      <c r="F70" s="24"/>
      <c r="G70" s="122"/>
    </row>
    <row r="71" spans="1:7" ht="12" customHeight="1" x14ac:dyDescent="0.25">
      <c r="A71" s="11" t="s">
        <v>36</v>
      </c>
      <c r="B71" s="11">
        <v>18</v>
      </c>
      <c r="C71" s="72" t="s">
        <v>39</v>
      </c>
      <c r="D71" s="11" t="s">
        <v>22</v>
      </c>
      <c r="E71" s="11">
        <v>1</v>
      </c>
      <c r="F71" s="24"/>
      <c r="G71" s="109">
        <f>E71*F71</f>
        <v>0</v>
      </c>
    </row>
    <row r="72" spans="1:7" ht="12" customHeight="1" x14ac:dyDescent="0.25">
      <c r="A72" s="11"/>
      <c r="B72" s="11"/>
      <c r="C72" s="72" t="s">
        <v>43</v>
      </c>
      <c r="D72" s="11"/>
      <c r="E72" s="11"/>
      <c r="F72" s="24"/>
      <c r="G72" s="122"/>
    </row>
    <row r="73" spans="1:7" ht="12" customHeight="1" x14ac:dyDescent="0.25">
      <c r="A73" s="39"/>
      <c r="B73" s="39"/>
      <c r="C73" s="69"/>
      <c r="D73" s="39"/>
      <c r="E73" s="39"/>
      <c r="F73" s="24"/>
      <c r="G73" s="122"/>
    </row>
    <row r="74" spans="1:7" ht="12" customHeight="1" x14ac:dyDescent="0.25">
      <c r="A74" s="39" t="s">
        <v>76</v>
      </c>
      <c r="B74" s="39"/>
      <c r="C74" s="48" t="s">
        <v>25</v>
      </c>
      <c r="D74" s="39"/>
      <c r="E74" s="39"/>
      <c r="F74" s="24"/>
      <c r="G74" s="122"/>
    </row>
    <row r="75" spans="1:7" ht="12" customHeight="1" x14ac:dyDescent="0.25">
      <c r="A75" s="39"/>
      <c r="B75" s="39"/>
      <c r="C75" s="42"/>
      <c r="D75" s="39"/>
      <c r="E75" s="39"/>
      <c r="F75" s="24"/>
      <c r="G75" s="122"/>
    </row>
    <row r="76" spans="1:7" ht="12" customHeight="1" x14ac:dyDescent="0.25">
      <c r="A76" s="39" t="s">
        <v>77</v>
      </c>
      <c r="B76" s="39">
        <v>19</v>
      </c>
      <c r="C76" s="42" t="s">
        <v>78</v>
      </c>
      <c r="D76" s="39" t="s">
        <v>22</v>
      </c>
      <c r="E76" s="39">
        <v>1</v>
      </c>
      <c r="F76" s="24"/>
      <c r="G76" s="109">
        <f>E76*F76</f>
        <v>0</v>
      </c>
    </row>
    <row r="77" spans="1:7" ht="12" customHeight="1" x14ac:dyDescent="0.25">
      <c r="A77" s="39"/>
      <c r="B77" s="39"/>
      <c r="C77" s="42"/>
      <c r="D77" s="39"/>
      <c r="E77" s="39"/>
      <c r="F77" s="24"/>
      <c r="G77" s="122"/>
    </row>
    <row r="78" spans="1:7" ht="12" customHeight="1" x14ac:dyDescent="0.25">
      <c r="A78" s="39" t="s">
        <v>79</v>
      </c>
      <c r="B78" s="39">
        <v>20</v>
      </c>
      <c r="C78" s="42" t="s">
        <v>52</v>
      </c>
      <c r="D78" s="39" t="s">
        <v>22</v>
      </c>
      <c r="E78" s="39">
        <v>1</v>
      </c>
      <c r="F78" s="24"/>
      <c r="G78" s="109">
        <f>E78*F78</f>
        <v>0</v>
      </c>
    </row>
    <row r="79" spans="1:7" ht="12" customHeight="1" x14ac:dyDescent="0.25">
      <c r="A79" s="39"/>
      <c r="B79" s="39"/>
      <c r="C79" s="42"/>
      <c r="D79" s="39"/>
      <c r="E79" s="39"/>
      <c r="F79" s="24"/>
      <c r="G79" s="122"/>
    </row>
    <row r="80" spans="1:7" ht="12" customHeight="1" x14ac:dyDescent="0.25">
      <c r="A80" s="39" t="s">
        <v>80</v>
      </c>
      <c r="B80" s="39">
        <v>21</v>
      </c>
      <c r="C80" s="42" t="s">
        <v>81</v>
      </c>
      <c r="D80" s="39" t="s">
        <v>22</v>
      </c>
      <c r="E80" s="39">
        <v>1</v>
      </c>
      <c r="F80" s="24"/>
      <c r="G80" s="109">
        <f>E80*F80</f>
        <v>0</v>
      </c>
    </row>
    <row r="81" spans="1:7" ht="12" customHeight="1" x14ac:dyDescent="0.25">
      <c r="A81" s="39"/>
      <c r="B81" s="39"/>
      <c r="C81" s="42"/>
      <c r="D81" s="39"/>
      <c r="E81" s="39"/>
      <c r="F81" s="24"/>
      <c r="G81" s="122"/>
    </row>
    <row r="82" spans="1:7" ht="12" customHeight="1" x14ac:dyDescent="0.25">
      <c r="A82" s="11" t="s">
        <v>82</v>
      </c>
      <c r="B82" s="11"/>
      <c r="C82" s="41" t="s">
        <v>28</v>
      </c>
      <c r="D82" s="11"/>
      <c r="E82" s="11"/>
      <c r="F82" s="24"/>
      <c r="G82" s="122"/>
    </row>
    <row r="83" spans="1:7" ht="12" customHeight="1" x14ac:dyDescent="0.25">
      <c r="A83" s="11"/>
      <c r="B83" s="11"/>
      <c r="C83" s="12"/>
      <c r="D83" s="11"/>
      <c r="E83" s="11"/>
      <c r="F83" s="24"/>
      <c r="G83" s="122"/>
    </row>
    <row r="84" spans="1:7" ht="12" customHeight="1" x14ac:dyDescent="0.25">
      <c r="A84" s="11" t="s">
        <v>83</v>
      </c>
      <c r="B84" s="11">
        <v>22</v>
      </c>
      <c r="C84" s="12" t="s">
        <v>53</v>
      </c>
      <c r="D84" s="11" t="s">
        <v>22</v>
      </c>
      <c r="E84" s="11">
        <v>1</v>
      </c>
      <c r="F84" s="24"/>
      <c r="G84" s="109">
        <f>E84*F84</f>
        <v>0</v>
      </c>
    </row>
    <row r="85" spans="1:7" ht="12" customHeight="1" x14ac:dyDescent="0.25">
      <c r="A85" s="11"/>
      <c r="B85" s="11"/>
      <c r="C85" s="12"/>
      <c r="D85" s="11"/>
      <c r="E85" s="11"/>
      <c r="F85" s="24"/>
      <c r="G85" s="122"/>
    </row>
    <row r="86" spans="1:7" ht="12" customHeight="1" x14ac:dyDescent="0.25">
      <c r="A86" s="11" t="s">
        <v>84</v>
      </c>
      <c r="B86" s="11">
        <v>23</v>
      </c>
      <c r="C86" s="12" t="s">
        <v>54</v>
      </c>
      <c r="D86" s="11" t="s">
        <v>22</v>
      </c>
      <c r="E86" s="11">
        <v>1</v>
      </c>
      <c r="F86" s="24"/>
      <c r="G86" s="109">
        <f>E86*F86</f>
        <v>0</v>
      </c>
    </row>
    <row r="87" spans="1:7" ht="12" customHeight="1" x14ac:dyDescent="0.25">
      <c r="A87" s="11"/>
      <c r="B87" s="11"/>
      <c r="C87" s="12"/>
      <c r="D87" s="11"/>
      <c r="E87" s="11"/>
      <c r="F87" s="24"/>
      <c r="G87" s="122"/>
    </row>
    <row r="88" spans="1:7" ht="12" customHeight="1" x14ac:dyDescent="0.25">
      <c r="A88" s="11" t="s">
        <v>85</v>
      </c>
      <c r="B88" s="11">
        <v>24</v>
      </c>
      <c r="C88" s="12" t="s">
        <v>55</v>
      </c>
      <c r="D88" s="11" t="s">
        <v>22</v>
      </c>
      <c r="E88" s="11">
        <v>1</v>
      </c>
      <c r="F88" s="24"/>
      <c r="G88" s="109">
        <f>E88*F88</f>
        <v>0</v>
      </c>
    </row>
    <row r="89" spans="1:7" ht="12" customHeight="1" x14ac:dyDescent="0.25">
      <c r="A89" s="11"/>
      <c r="B89" s="11"/>
      <c r="C89" s="12"/>
      <c r="D89" s="11"/>
      <c r="E89" s="11"/>
      <c r="F89" s="24"/>
      <c r="G89" s="122"/>
    </row>
    <row r="90" spans="1:7" ht="12" customHeight="1" x14ac:dyDescent="0.25">
      <c r="A90" s="11" t="s">
        <v>86</v>
      </c>
      <c r="B90" s="11">
        <v>25</v>
      </c>
      <c r="C90" s="12" t="s">
        <v>57</v>
      </c>
      <c r="D90" s="11" t="s">
        <v>22</v>
      </c>
      <c r="E90" s="11">
        <v>1</v>
      </c>
      <c r="F90" s="24"/>
      <c r="G90" s="109">
        <f>E90*F90</f>
        <v>0</v>
      </c>
    </row>
    <row r="91" spans="1:7" ht="12" customHeight="1" x14ac:dyDescent="0.25">
      <c r="A91" s="11"/>
      <c r="B91" s="11"/>
      <c r="C91" s="12"/>
      <c r="D91" s="11"/>
      <c r="E91" s="11"/>
      <c r="F91" s="24"/>
      <c r="G91" s="122"/>
    </row>
    <row r="92" spans="1:7" ht="12" customHeight="1" x14ac:dyDescent="0.25">
      <c r="A92" s="11" t="s">
        <v>87</v>
      </c>
      <c r="B92" s="11">
        <v>26</v>
      </c>
      <c r="C92" s="12" t="s">
        <v>59</v>
      </c>
      <c r="D92" s="11" t="s">
        <v>22</v>
      </c>
      <c r="E92" s="11">
        <v>1</v>
      </c>
      <c r="F92" s="24"/>
      <c r="G92" s="109">
        <f>E92*F92</f>
        <v>0</v>
      </c>
    </row>
    <row r="93" spans="1:7" ht="12" customHeight="1" x14ac:dyDescent="0.25">
      <c r="A93" s="37"/>
      <c r="B93" s="37"/>
      <c r="C93" s="7"/>
      <c r="D93" s="5"/>
      <c r="E93" s="5"/>
      <c r="F93" s="24"/>
      <c r="G93" s="122"/>
    </row>
    <row r="94" spans="1:7" ht="12" customHeight="1" x14ac:dyDescent="0.25">
      <c r="A94" s="11" t="s">
        <v>88</v>
      </c>
      <c r="B94" s="11">
        <v>27</v>
      </c>
      <c r="C94" s="12" t="s">
        <v>69</v>
      </c>
      <c r="D94" s="11" t="s">
        <v>22</v>
      </c>
      <c r="E94" s="11">
        <v>1</v>
      </c>
      <c r="F94" s="24"/>
      <c r="G94" s="109">
        <f>E94*F94</f>
        <v>0</v>
      </c>
    </row>
    <row r="95" spans="1:7" ht="12" customHeight="1" x14ac:dyDescent="0.25">
      <c r="A95" s="11"/>
      <c r="B95" s="11"/>
      <c r="C95" s="12"/>
      <c r="D95" s="11"/>
      <c r="E95" s="11"/>
      <c r="F95" s="24"/>
      <c r="G95" s="122"/>
    </row>
    <row r="96" spans="1:7" ht="12" customHeight="1" x14ac:dyDescent="0.25">
      <c r="A96" s="11" t="s">
        <v>89</v>
      </c>
      <c r="B96" s="11">
        <v>28</v>
      </c>
      <c r="C96" s="12" t="s">
        <v>70</v>
      </c>
      <c r="D96" s="11" t="s">
        <v>22</v>
      </c>
      <c r="E96" s="11">
        <v>1</v>
      </c>
      <c r="F96" s="24"/>
      <c r="G96" s="109">
        <f>E96*F96</f>
        <v>0</v>
      </c>
    </row>
    <row r="97" spans="1:7" ht="12" customHeight="1" x14ac:dyDescent="0.25">
      <c r="A97" s="11"/>
      <c r="B97" s="11"/>
      <c r="C97" s="12"/>
      <c r="D97" s="11"/>
      <c r="E97" s="11"/>
      <c r="F97" s="24"/>
      <c r="G97" s="122"/>
    </row>
    <row r="98" spans="1:7" ht="12" customHeight="1" x14ac:dyDescent="0.25">
      <c r="A98" s="11" t="s">
        <v>90</v>
      </c>
      <c r="B98" s="11">
        <v>29</v>
      </c>
      <c r="C98" s="12" t="s">
        <v>71</v>
      </c>
      <c r="D98" s="11" t="s">
        <v>22</v>
      </c>
      <c r="E98" s="11">
        <v>1</v>
      </c>
      <c r="F98" s="24"/>
      <c r="G98" s="109">
        <f>E98*F98</f>
        <v>0</v>
      </c>
    </row>
    <row r="99" spans="1:7" ht="12" customHeight="1" x14ac:dyDescent="0.25">
      <c r="A99" s="11"/>
      <c r="B99" s="11"/>
      <c r="C99" s="12"/>
      <c r="D99" s="11"/>
      <c r="E99" s="11"/>
      <c r="F99" s="24"/>
      <c r="G99" s="122"/>
    </row>
    <row r="100" spans="1:7" ht="12" customHeight="1" x14ac:dyDescent="0.25">
      <c r="A100" s="11" t="s">
        <v>91</v>
      </c>
      <c r="B100" s="11">
        <v>30</v>
      </c>
      <c r="C100" s="12" t="s">
        <v>63</v>
      </c>
      <c r="D100" s="11" t="s">
        <v>22</v>
      </c>
      <c r="E100" s="11">
        <v>1</v>
      </c>
      <c r="F100" s="24"/>
      <c r="G100" s="109">
        <f>E100*F100</f>
        <v>0</v>
      </c>
    </row>
    <row r="101" spans="1:7" ht="12" customHeight="1" x14ac:dyDescent="0.25">
      <c r="A101" s="11"/>
      <c r="B101" s="11"/>
      <c r="C101" s="12"/>
      <c r="D101" s="11"/>
      <c r="E101" s="11"/>
      <c r="F101" s="24"/>
      <c r="G101" s="122"/>
    </row>
    <row r="102" spans="1:7" ht="12" customHeight="1" x14ac:dyDescent="0.25">
      <c r="A102" s="11" t="s">
        <v>20</v>
      </c>
      <c r="B102" s="11">
        <v>31</v>
      </c>
      <c r="C102" s="12" t="s">
        <v>37</v>
      </c>
      <c r="D102" s="11" t="s">
        <v>22</v>
      </c>
      <c r="E102" s="11">
        <v>1</v>
      </c>
      <c r="F102" s="24"/>
      <c r="G102" s="109">
        <f>E102*F102</f>
        <v>0</v>
      </c>
    </row>
    <row r="103" spans="1:7" ht="12" customHeight="1" x14ac:dyDescent="0.25">
      <c r="A103" s="11"/>
      <c r="B103" s="11"/>
      <c r="C103" s="12"/>
      <c r="D103" s="11"/>
      <c r="E103" s="11"/>
      <c r="F103" s="24"/>
      <c r="G103" s="122"/>
    </row>
    <row r="104" spans="1:7" ht="12" customHeight="1" x14ac:dyDescent="0.25">
      <c r="A104" s="11" t="s">
        <v>92</v>
      </c>
      <c r="B104" s="11">
        <v>32</v>
      </c>
      <c r="C104" s="12" t="s">
        <v>93</v>
      </c>
      <c r="D104" s="11" t="s">
        <v>22</v>
      </c>
      <c r="E104" s="11">
        <v>1</v>
      </c>
      <c r="F104" s="24"/>
      <c r="G104" s="109">
        <f>E104*F104</f>
        <v>0</v>
      </c>
    </row>
    <row r="105" spans="1:7" ht="12" customHeight="1" x14ac:dyDescent="0.25">
      <c r="A105" s="11"/>
      <c r="B105" s="11"/>
      <c r="C105" s="12" t="s">
        <v>94</v>
      </c>
      <c r="D105" s="11"/>
      <c r="E105" s="11"/>
      <c r="F105" s="24"/>
      <c r="G105" s="122"/>
    </row>
    <row r="106" spans="1:7" ht="12" customHeight="1" x14ac:dyDescent="0.25">
      <c r="A106" s="11"/>
      <c r="B106" s="11"/>
      <c r="C106" s="12"/>
      <c r="D106" s="11"/>
      <c r="E106" s="11"/>
      <c r="F106" s="24"/>
      <c r="G106" s="122"/>
    </row>
    <row r="107" spans="1:7" ht="12" customHeight="1" x14ac:dyDescent="0.25">
      <c r="A107" s="11" t="s">
        <v>95</v>
      </c>
      <c r="B107" s="11">
        <v>33</v>
      </c>
      <c r="C107" s="12" t="s">
        <v>96</v>
      </c>
      <c r="D107" s="11" t="s">
        <v>22</v>
      </c>
      <c r="E107" s="11">
        <v>1</v>
      </c>
      <c r="F107" s="24"/>
      <c r="G107" s="109">
        <f>E107*F107</f>
        <v>0</v>
      </c>
    </row>
    <row r="108" spans="1:7" ht="12" customHeight="1" x14ac:dyDescent="0.25">
      <c r="A108" s="11"/>
      <c r="B108" s="11"/>
      <c r="C108" s="12"/>
      <c r="D108" s="11"/>
      <c r="E108" s="11"/>
      <c r="F108" s="24"/>
      <c r="G108" s="122"/>
    </row>
    <row r="109" spans="1:7" ht="12" customHeight="1" x14ac:dyDescent="0.25">
      <c r="A109" s="11" t="s">
        <v>97</v>
      </c>
      <c r="B109" s="11">
        <v>34</v>
      </c>
      <c r="C109" s="12" t="s">
        <v>72</v>
      </c>
      <c r="D109" s="11" t="s">
        <v>22</v>
      </c>
      <c r="E109" s="11">
        <v>1</v>
      </c>
      <c r="F109" s="24"/>
      <c r="G109" s="109">
        <f>E109*F109</f>
        <v>0</v>
      </c>
    </row>
    <row r="110" spans="1:7" ht="12" customHeight="1" x14ac:dyDescent="0.25">
      <c r="A110" s="11"/>
      <c r="B110" s="11"/>
      <c r="C110" s="12"/>
      <c r="D110" s="11"/>
      <c r="E110" s="11"/>
      <c r="F110" s="24"/>
      <c r="G110" s="122"/>
    </row>
    <row r="111" spans="1:7" ht="12" customHeight="1" x14ac:dyDescent="0.25">
      <c r="A111" s="11" t="s">
        <v>98</v>
      </c>
      <c r="B111" s="11">
        <v>35</v>
      </c>
      <c r="C111" s="12" t="s">
        <v>73</v>
      </c>
      <c r="D111" s="11" t="s">
        <v>22</v>
      </c>
      <c r="E111" s="11">
        <v>1</v>
      </c>
      <c r="F111" s="24"/>
      <c r="G111" s="109">
        <f>E111*F111</f>
        <v>0</v>
      </c>
    </row>
    <row r="112" spans="1:7" ht="12" customHeight="1" x14ac:dyDescent="0.25">
      <c r="A112" s="39"/>
      <c r="B112" s="11"/>
      <c r="C112" s="12"/>
      <c r="D112" s="11"/>
      <c r="E112" s="11"/>
      <c r="F112" s="24"/>
      <c r="G112" s="122"/>
    </row>
    <row r="113" spans="1:7" ht="12" customHeight="1" x14ac:dyDescent="0.25">
      <c r="A113" s="39"/>
      <c r="B113" s="11"/>
      <c r="C113" s="12"/>
      <c r="D113" s="11"/>
      <c r="E113" s="11"/>
      <c r="F113" s="24"/>
      <c r="G113" s="122"/>
    </row>
    <row r="114" spans="1:7" ht="12" customHeight="1" x14ac:dyDescent="0.25">
      <c r="A114" s="39"/>
      <c r="B114" s="11"/>
      <c r="C114" s="12"/>
      <c r="D114" s="11"/>
      <c r="E114" s="11"/>
      <c r="F114" s="24"/>
      <c r="G114" s="122"/>
    </row>
    <row r="115" spans="1:7" ht="12" customHeight="1" x14ac:dyDescent="0.25">
      <c r="A115" s="39"/>
      <c r="B115" s="11"/>
      <c r="C115" s="12"/>
      <c r="D115" s="11"/>
      <c r="E115" s="11"/>
      <c r="F115" s="24"/>
      <c r="G115" s="122"/>
    </row>
    <row r="116" spans="1:7" ht="12" customHeight="1" x14ac:dyDescent="0.25">
      <c r="A116" s="39"/>
      <c r="B116" s="11"/>
      <c r="C116" s="12"/>
      <c r="D116" s="11"/>
      <c r="E116" s="11"/>
      <c r="F116" s="24"/>
      <c r="G116" s="122"/>
    </row>
    <row r="117" spans="1:7" ht="12" customHeight="1" x14ac:dyDescent="0.25">
      <c r="A117" s="39"/>
      <c r="B117" s="11"/>
      <c r="C117" s="12"/>
      <c r="D117" s="11"/>
      <c r="E117" s="11"/>
      <c r="F117" s="24"/>
      <c r="G117" s="122"/>
    </row>
    <row r="118" spans="1:7" ht="12" customHeight="1" x14ac:dyDescent="0.25">
      <c r="A118" s="39"/>
      <c r="B118" s="11"/>
      <c r="C118" s="12"/>
      <c r="D118" s="11"/>
      <c r="E118" s="11"/>
      <c r="F118" s="24"/>
      <c r="G118" s="122"/>
    </row>
    <row r="119" spans="1:7" ht="12" customHeight="1" x14ac:dyDescent="0.25">
      <c r="A119" s="39"/>
      <c r="B119" s="11"/>
      <c r="C119" s="12"/>
      <c r="D119" s="11"/>
      <c r="E119" s="11"/>
      <c r="F119" s="24"/>
      <c r="G119" s="122"/>
    </row>
    <row r="120" spans="1:7" ht="12" customHeight="1" x14ac:dyDescent="0.25">
      <c r="A120" s="39"/>
      <c r="B120" s="11"/>
      <c r="C120" s="12"/>
      <c r="D120" s="11"/>
      <c r="E120" s="11"/>
      <c r="F120" s="24"/>
      <c r="G120" s="122"/>
    </row>
    <row r="121" spans="1:7" ht="25.8" customHeight="1" x14ac:dyDescent="0.25">
      <c r="A121" s="145" t="s">
        <v>10</v>
      </c>
      <c r="B121" s="146"/>
      <c r="C121" s="146"/>
      <c r="D121" s="146"/>
      <c r="E121" s="146"/>
      <c r="F121" s="147"/>
      <c r="G121" s="110">
        <f>0.2*'Section 2 - RO Building'!G85+0.2*'Section 3 - Chemical Store'!G85+0.2*'Section 4 - Workshop'!G85+0.2*'Section 5 - Piperacks and Stair'!G112</f>
        <v>4205401.432</v>
      </c>
    </row>
  </sheetData>
  <mergeCells count="3">
    <mergeCell ref="A121:F121"/>
    <mergeCell ref="A64:F64"/>
    <mergeCell ref="A60:F60"/>
  </mergeCells>
  <pageMargins left="0.70866141732283472" right="0.23622047244094491" top="0.74803149606299213" bottom="0.74803149606299213" header="0.31496062992125984" footer="0.31496062992125984"/>
  <pageSetup paperSize="9"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61"/>
  <sheetViews>
    <sheetView showGridLines="0" view="pageBreakPreview" topLeftCell="A12" zoomScaleNormal="85" zoomScaleSheetLayoutView="100" workbookViewId="0">
      <selection activeCell="F51" sqref="F51"/>
    </sheetView>
  </sheetViews>
  <sheetFormatPr defaultColWidth="9.109375" defaultRowHeight="10.199999999999999" x14ac:dyDescent="0.2"/>
  <cols>
    <col min="1" max="1" width="9.88671875" style="17" customWidth="1"/>
    <col min="2" max="2" width="5.6640625" style="23" customWidth="1"/>
    <col min="3" max="3" width="43.33203125" style="15" customWidth="1"/>
    <col min="4" max="4" width="6.44140625" style="15" customWidth="1"/>
    <col min="5" max="5" width="8.6640625" style="25" customWidth="1"/>
    <col min="6" max="6" width="8.88671875" style="21" bestFit="1" customWidth="1"/>
    <col min="7" max="7" width="11.6640625" style="25" customWidth="1"/>
    <col min="8" max="16384" width="9.109375" style="15"/>
  </cols>
  <sheetData>
    <row r="1" spans="1:7" ht="12" customHeight="1" x14ac:dyDescent="0.2">
      <c r="A1" s="118" t="str">
        <f>'Section 1 - P&amp;G'!A1</f>
        <v>NAFASI WATER - ARNOT WASTE TREATMENT PLANT</v>
      </c>
      <c r="C1" s="75"/>
      <c r="D1" s="17"/>
      <c r="G1" s="88" t="str">
        <f>'Section 1 - P&amp;G'!G1</f>
        <v>Revision T1</v>
      </c>
    </row>
    <row r="2" spans="1:7" ht="12" customHeight="1" x14ac:dyDescent="0.2">
      <c r="A2" s="43" t="str">
        <f>'Section 1 - P&amp;G'!A2</f>
        <v>STRUCTURAL STEELWORK SCHEDULE OF QUANTITIES</v>
      </c>
      <c r="C2" s="75"/>
      <c r="D2" s="17"/>
      <c r="G2" s="90"/>
    </row>
    <row r="3" spans="1:7" ht="12" customHeight="1" x14ac:dyDescent="0.2">
      <c r="A3" s="43" t="s">
        <v>147</v>
      </c>
      <c r="C3" s="75"/>
      <c r="D3" s="17"/>
      <c r="G3" s="92">
        <f>'Section 1 - P&amp;G'!G3</f>
        <v>45183</v>
      </c>
    </row>
    <row r="4" spans="1:7" ht="12" customHeight="1" x14ac:dyDescent="0.2">
      <c r="C4" s="75"/>
      <c r="D4" s="17"/>
      <c r="G4" s="93"/>
    </row>
    <row r="5" spans="1:7" ht="22.5" customHeight="1" x14ac:dyDescent="0.2">
      <c r="A5" s="94" t="s">
        <v>14</v>
      </c>
      <c r="B5" s="95" t="s">
        <v>13</v>
      </c>
      <c r="C5" s="96" t="s">
        <v>0</v>
      </c>
      <c r="D5" s="94" t="s">
        <v>1</v>
      </c>
      <c r="E5" s="97" t="s">
        <v>11</v>
      </c>
      <c r="F5" s="98" t="s">
        <v>2</v>
      </c>
      <c r="G5" s="99" t="s">
        <v>12</v>
      </c>
    </row>
    <row r="6" spans="1:7" ht="12" customHeight="1" x14ac:dyDescent="0.2">
      <c r="A6" s="100"/>
      <c r="B6" s="29"/>
      <c r="C6" s="75"/>
      <c r="D6" s="28"/>
      <c r="E6" s="31"/>
      <c r="F6" s="24"/>
      <c r="G6" s="101"/>
    </row>
    <row r="7" spans="1:7" ht="12" customHeight="1" x14ac:dyDescent="0.2">
      <c r="A7" s="28"/>
      <c r="B7" s="29"/>
      <c r="C7" s="76" t="str">
        <f>A3</f>
        <v>SECTION 2: RO BUILDING</v>
      </c>
      <c r="D7" s="28"/>
      <c r="E7" s="31"/>
      <c r="F7" s="24"/>
      <c r="G7" s="101"/>
    </row>
    <row r="8" spans="1:7" ht="12" customHeight="1" x14ac:dyDescent="0.2">
      <c r="A8" s="28"/>
      <c r="B8" s="29"/>
      <c r="C8" s="75"/>
      <c r="D8" s="28"/>
      <c r="E8" s="31"/>
      <c r="F8" s="24"/>
      <c r="G8" s="101"/>
    </row>
    <row r="9" spans="1:7" ht="12" customHeight="1" x14ac:dyDescent="0.2">
      <c r="A9" s="102" t="s">
        <v>4</v>
      </c>
      <c r="B9" s="29"/>
      <c r="C9" s="47" t="s">
        <v>107</v>
      </c>
      <c r="D9" s="28"/>
      <c r="E9" s="32"/>
      <c r="F9" s="24"/>
      <c r="G9" s="101"/>
    </row>
    <row r="10" spans="1:7" ht="12" customHeight="1" x14ac:dyDescent="0.2">
      <c r="A10" s="102" t="s">
        <v>106</v>
      </c>
      <c r="B10" s="29"/>
      <c r="C10" s="75"/>
      <c r="D10" s="28"/>
      <c r="E10" s="33"/>
      <c r="F10" s="24"/>
      <c r="G10" s="103"/>
    </row>
    <row r="11" spans="1:7" ht="12" customHeight="1" x14ac:dyDescent="0.2">
      <c r="A11" s="28" t="s">
        <v>47</v>
      </c>
      <c r="B11" s="29"/>
      <c r="C11" s="76" t="s">
        <v>108</v>
      </c>
      <c r="D11" s="28"/>
      <c r="E11" s="33"/>
      <c r="F11" s="24"/>
      <c r="G11" s="103"/>
    </row>
    <row r="12" spans="1:7" ht="12" customHeight="1" x14ac:dyDescent="0.2">
      <c r="A12" s="28"/>
      <c r="B12" s="29"/>
      <c r="C12" s="77"/>
      <c r="D12" s="28"/>
      <c r="E12" s="33"/>
      <c r="F12" s="24"/>
      <c r="G12" s="103"/>
    </row>
    <row r="13" spans="1:7" ht="12" customHeight="1" x14ac:dyDescent="0.2">
      <c r="A13" s="28" t="s">
        <v>109</v>
      </c>
      <c r="B13" s="29">
        <v>1</v>
      </c>
      <c r="C13" s="75" t="s">
        <v>110</v>
      </c>
      <c r="D13" s="28" t="s">
        <v>45</v>
      </c>
      <c r="E13" s="60">
        <f>SUM(E20:E34)</f>
        <v>50.861000000000004</v>
      </c>
      <c r="F13" s="24">
        <v>1050</v>
      </c>
      <c r="G13" s="103">
        <f>F13*E13</f>
        <v>53404.05</v>
      </c>
    </row>
    <row r="14" spans="1:7" ht="12" customHeight="1" x14ac:dyDescent="0.2">
      <c r="A14" s="28"/>
      <c r="B14" s="29"/>
      <c r="C14" s="75"/>
      <c r="D14" s="28"/>
      <c r="E14" s="16"/>
      <c r="F14" s="24"/>
      <c r="G14" s="103"/>
    </row>
    <row r="15" spans="1:7" ht="12" customHeight="1" x14ac:dyDescent="0.2">
      <c r="A15" s="10" t="s">
        <v>111</v>
      </c>
      <c r="B15" s="29"/>
      <c r="C15" s="78" t="s">
        <v>112</v>
      </c>
      <c r="D15" s="28"/>
      <c r="E15" s="32"/>
      <c r="F15" s="24"/>
      <c r="G15" s="101"/>
    </row>
    <row r="16" spans="1:7" ht="12" customHeight="1" x14ac:dyDescent="0.2">
      <c r="A16" s="102"/>
      <c r="B16" s="29"/>
      <c r="C16" s="75" t="s">
        <v>113</v>
      </c>
      <c r="D16" s="28"/>
      <c r="E16" s="32"/>
      <c r="F16" s="24"/>
      <c r="G16" s="101"/>
    </row>
    <row r="17" spans="1:7" ht="12" customHeight="1" x14ac:dyDescent="0.2">
      <c r="A17" s="102"/>
      <c r="B17" s="29"/>
      <c r="C17" s="79"/>
      <c r="D17" s="28"/>
      <c r="E17" s="32"/>
      <c r="F17" s="24"/>
      <c r="G17" s="101"/>
    </row>
    <row r="18" spans="1:7" ht="12" customHeight="1" x14ac:dyDescent="0.2">
      <c r="A18" s="102"/>
      <c r="B18" s="29"/>
      <c r="C18" s="80" t="s">
        <v>114</v>
      </c>
      <c r="D18" s="28"/>
      <c r="E18" s="32"/>
      <c r="F18" s="24"/>
      <c r="G18" s="103"/>
    </row>
    <row r="19" spans="1:7" ht="12" customHeight="1" x14ac:dyDescent="0.2">
      <c r="A19" s="102"/>
      <c r="B19" s="29"/>
      <c r="C19" s="79"/>
      <c r="D19" s="28"/>
      <c r="E19" s="32"/>
      <c r="F19" s="24"/>
      <c r="G19" s="103"/>
    </row>
    <row r="20" spans="1:7" ht="12" customHeight="1" x14ac:dyDescent="0.2">
      <c r="A20" s="102"/>
      <c r="B20" s="29">
        <v>2</v>
      </c>
      <c r="C20" s="75" t="s">
        <v>142</v>
      </c>
      <c r="D20" s="28" t="s">
        <v>45</v>
      </c>
      <c r="E20" s="58">
        <v>10.967000000000001</v>
      </c>
      <c r="F20" s="24">
        <v>43560</v>
      </c>
      <c r="G20" s="103">
        <f>F20*E20</f>
        <v>477722.52</v>
      </c>
    </row>
    <row r="21" spans="1:7" ht="12" customHeight="1" x14ac:dyDescent="0.2">
      <c r="A21" s="102"/>
      <c r="B21" s="29"/>
      <c r="C21" s="79"/>
      <c r="D21" s="28"/>
      <c r="E21" s="32"/>
      <c r="F21" s="24"/>
      <c r="G21" s="103"/>
    </row>
    <row r="22" spans="1:7" ht="12" customHeight="1" x14ac:dyDescent="0.2">
      <c r="A22" s="10"/>
      <c r="B22" s="29">
        <v>3</v>
      </c>
      <c r="C22" s="75" t="s">
        <v>148</v>
      </c>
      <c r="D22" s="28" t="s">
        <v>45</v>
      </c>
      <c r="E22" s="58">
        <v>0.95</v>
      </c>
      <c r="F22" s="24">
        <v>43560</v>
      </c>
      <c r="G22" s="103">
        <f>F22*E22</f>
        <v>41382</v>
      </c>
    </row>
    <row r="23" spans="1:7" ht="12" customHeight="1" x14ac:dyDescent="0.2">
      <c r="A23" s="10"/>
      <c r="B23" s="29"/>
      <c r="C23" s="75"/>
      <c r="D23" s="28"/>
      <c r="E23" s="58"/>
      <c r="F23" s="24"/>
      <c r="G23" s="103"/>
    </row>
    <row r="24" spans="1:7" ht="12" customHeight="1" x14ac:dyDescent="0.2">
      <c r="A24" s="10"/>
      <c r="B24" s="29">
        <v>4</v>
      </c>
      <c r="C24" s="75" t="s">
        <v>143</v>
      </c>
      <c r="D24" s="28" t="s">
        <v>45</v>
      </c>
      <c r="E24" s="131">
        <v>16.942</v>
      </c>
      <c r="F24" s="24">
        <v>43560</v>
      </c>
      <c r="G24" s="103">
        <f>F24*E24</f>
        <v>737993.52</v>
      </c>
    </row>
    <row r="25" spans="1:7" ht="12" customHeight="1" x14ac:dyDescent="0.2">
      <c r="A25" s="10"/>
      <c r="B25" s="29"/>
      <c r="C25" s="75"/>
      <c r="D25" s="28"/>
      <c r="E25" s="58"/>
      <c r="F25" s="24"/>
      <c r="G25" s="103"/>
    </row>
    <row r="26" spans="1:7" ht="12" customHeight="1" x14ac:dyDescent="0.2">
      <c r="A26" s="10"/>
      <c r="B26" s="29">
        <v>5</v>
      </c>
      <c r="C26" s="75" t="s">
        <v>115</v>
      </c>
      <c r="D26" s="28" t="s">
        <v>45</v>
      </c>
      <c r="E26" s="58">
        <v>6.6920000000000002</v>
      </c>
      <c r="F26" s="24">
        <v>40920</v>
      </c>
      <c r="G26" s="103">
        <f>F26*E26</f>
        <v>273836.64</v>
      </c>
    </row>
    <row r="27" spans="1:7" ht="12" customHeight="1" x14ac:dyDescent="0.2">
      <c r="A27" s="10"/>
      <c r="B27" s="29"/>
      <c r="C27" s="75"/>
      <c r="D27" s="28"/>
      <c r="E27" s="58"/>
      <c r="F27" s="24"/>
      <c r="G27" s="103"/>
    </row>
    <row r="28" spans="1:7" ht="12" customHeight="1" x14ac:dyDescent="0.2">
      <c r="A28" s="10"/>
      <c r="B28" s="29">
        <v>6</v>
      </c>
      <c r="C28" s="75" t="s">
        <v>145</v>
      </c>
      <c r="D28" s="28" t="s">
        <v>45</v>
      </c>
      <c r="E28" s="58">
        <v>3.21</v>
      </c>
      <c r="F28" s="24">
        <v>43560</v>
      </c>
      <c r="G28" s="103">
        <f>F28*E28</f>
        <v>139827.6</v>
      </c>
    </row>
    <row r="29" spans="1:7" ht="12" customHeight="1" x14ac:dyDescent="0.2">
      <c r="A29" s="10"/>
      <c r="B29" s="29"/>
      <c r="C29" s="75"/>
      <c r="D29" s="28"/>
      <c r="E29" s="58"/>
      <c r="F29" s="24"/>
      <c r="G29" s="103"/>
    </row>
    <row r="30" spans="1:7" ht="12" customHeight="1" x14ac:dyDescent="0.2">
      <c r="A30" s="10"/>
      <c r="B30" s="29"/>
      <c r="C30" s="81" t="s">
        <v>116</v>
      </c>
      <c r="D30" s="28"/>
      <c r="E30" s="58"/>
      <c r="F30" s="24"/>
      <c r="G30" s="103"/>
    </row>
    <row r="31" spans="1:7" ht="12" customHeight="1" x14ac:dyDescent="0.2">
      <c r="A31" s="10"/>
      <c r="B31" s="29"/>
      <c r="C31" s="81"/>
      <c r="D31" s="28"/>
      <c r="E31" s="58"/>
      <c r="F31" s="24"/>
      <c r="G31" s="103"/>
    </row>
    <row r="32" spans="1:7" ht="12" customHeight="1" x14ac:dyDescent="0.2">
      <c r="A32" s="10"/>
      <c r="B32" s="29">
        <v>7</v>
      </c>
      <c r="C32" s="82" t="s">
        <v>117</v>
      </c>
      <c r="D32" s="28" t="s">
        <v>45</v>
      </c>
      <c r="E32" s="58">
        <v>5.61</v>
      </c>
      <c r="F32" s="24">
        <v>36800</v>
      </c>
      <c r="G32" s="103">
        <f>F32*E32</f>
        <v>206448</v>
      </c>
    </row>
    <row r="33" spans="1:7" ht="12" customHeight="1" x14ac:dyDescent="0.2">
      <c r="A33" s="10"/>
      <c r="B33" s="29"/>
      <c r="C33" s="75"/>
      <c r="D33" s="28"/>
      <c r="E33" s="58"/>
      <c r="F33" s="24"/>
      <c r="G33" s="103"/>
    </row>
    <row r="34" spans="1:7" ht="12" customHeight="1" x14ac:dyDescent="0.2">
      <c r="A34" s="10"/>
      <c r="B34" s="29">
        <v>8</v>
      </c>
      <c r="C34" s="82" t="s">
        <v>118</v>
      </c>
      <c r="D34" s="28" t="s">
        <v>45</v>
      </c>
      <c r="E34" s="58">
        <v>6.49</v>
      </c>
      <c r="F34" s="24">
        <v>36800</v>
      </c>
      <c r="G34" s="103">
        <f>F34*E34</f>
        <v>238832</v>
      </c>
    </row>
    <row r="35" spans="1:7" ht="12" customHeight="1" x14ac:dyDescent="0.2">
      <c r="A35" s="10"/>
      <c r="B35" s="29"/>
      <c r="C35" s="82"/>
      <c r="D35" s="28"/>
      <c r="E35" s="58"/>
      <c r="F35" s="24"/>
      <c r="G35" s="103"/>
    </row>
    <row r="36" spans="1:7" ht="12" customHeight="1" x14ac:dyDescent="0.2">
      <c r="A36" s="28" t="s">
        <v>3</v>
      </c>
      <c r="B36" s="29"/>
      <c r="C36" s="83" t="s">
        <v>119</v>
      </c>
      <c r="D36" s="28"/>
      <c r="E36" s="33"/>
      <c r="F36" s="24"/>
      <c r="G36" s="103"/>
    </row>
    <row r="37" spans="1:7" ht="12" customHeight="1" x14ac:dyDescent="0.2">
      <c r="A37" s="28"/>
      <c r="B37" s="29"/>
      <c r="C37" s="75"/>
      <c r="D37" s="28"/>
      <c r="E37" s="33"/>
      <c r="F37" s="24"/>
      <c r="G37" s="103"/>
    </row>
    <row r="38" spans="1:7" ht="12" customHeight="1" x14ac:dyDescent="0.2">
      <c r="A38" s="28" t="s">
        <v>24</v>
      </c>
      <c r="B38" s="29">
        <v>9</v>
      </c>
      <c r="C38" s="75" t="s">
        <v>120</v>
      </c>
      <c r="D38" s="28" t="s">
        <v>45</v>
      </c>
      <c r="E38" s="59">
        <f>E20+E22+E24+E26+E32+E34+E28</f>
        <v>50.861000000000004</v>
      </c>
      <c r="F38" s="24">
        <v>1250</v>
      </c>
      <c r="G38" s="103">
        <f>F38*E38</f>
        <v>63576.250000000007</v>
      </c>
    </row>
    <row r="39" spans="1:7" ht="12" customHeight="1" x14ac:dyDescent="0.2">
      <c r="A39" s="28"/>
      <c r="B39" s="29"/>
      <c r="C39" s="75"/>
      <c r="D39" s="28"/>
      <c r="E39" s="33"/>
      <c r="F39" s="24"/>
      <c r="G39" s="103"/>
    </row>
    <row r="40" spans="1:7" ht="12" customHeight="1" x14ac:dyDescent="0.2">
      <c r="A40" s="28" t="s">
        <v>19</v>
      </c>
      <c r="B40" s="29"/>
      <c r="C40" s="83" t="s">
        <v>121</v>
      </c>
      <c r="D40" s="28"/>
      <c r="E40" s="22"/>
      <c r="F40" s="24"/>
      <c r="G40" s="103"/>
    </row>
    <row r="41" spans="1:7" ht="12" customHeight="1" x14ac:dyDescent="0.2">
      <c r="A41" s="102"/>
      <c r="B41" s="29"/>
      <c r="C41" s="84"/>
      <c r="D41" s="28"/>
      <c r="E41" s="32"/>
      <c r="F41" s="24"/>
      <c r="G41" s="101"/>
    </row>
    <row r="42" spans="1:7" ht="12" customHeight="1" x14ac:dyDescent="0.2">
      <c r="A42" s="102"/>
      <c r="B42" s="29">
        <v>10</v>
      </c>
      <c r="C42" s="82" t="s">
        <v>122</v>
      </c>
      <c r="D42" s="28" t="s">
        <v>45</v>
      </c>
      <c r="E42" s="59">
        <f>E46+E38</f>
        <v>53.149745000000003</v>
      </c>
      <c r="F42" s="24">
        <v>14250</v>
      </c>
      <c r="G42" s="103">
        <f>F42*E42</f>
        <v>757383.86625000008</v>
      </c>
    </row>
    <row r="43" spans="1:7" ht="13.2" x14ac:dyDescent="0.25">
      <c r="A43" s="28"/>
      <c r="B43" s="30"/>
      <c r="C43" s="77"/>
      <c r="D43" s="34"/>
      <c r="E43" s="16"/>
      <c r="F43" s="24"/>
      <c r="G43" s="104"/>
    </row>
    <row r="44" spans="1:7" ht="12" customHeight="1" x14ac:dyDescent="0.25">
      <c r="A44" s="28" t="s">
        <v>5</v>
      </c>
      <c r="B44" s="30"/>
      <c r="C44" s="83" t="s">
        <v>123</v>
      </c>
      <c r="D44" s="34"/>
      <c r="E44" s="16"/>
      <c r="F44" s="24"/>
      <c r="G44" s="104"/>
    </row>
    <row r="45" spans="1:7" ht="12" customHeight="1" x14ac:dyDescent="0.2">
      <c r="A45" s="105"/>
      <c r="B45" s="30"/>
      <c r="C45" s="75"/>
      <c r="D45" s="28"/>
      <c r="E45" s="22"/>
      <c r="F45" s="24"/>
      <c r="G45" s="103"/>
    </row>
    <row r="46" spans="1:7" ht="12" customHeight="1" x14ac:dyDescent="0.2">
      <c r="A46" s="106" t="s">
        <v>125</v>
      </c>
      <c r="B46" s="91">
        <v>11</v>
      </c>
      <c r="C46" s="69" t="s">
        <v>124</v>
      </c>
      <c r="D46" s="28" t="s">
        <v>45</v>
      </c>
      <c r="E46" s="60">
        <f>E38*0.045</f>
        <v>2.288745</v>
      </c>
      <c r="F46" s="24">
        <v>75750</v>
      </c>
      <c r="G46" s="103">
        <f>F46*E46</f>
        <v>173372.43375</v>
      </c>
    </row>
    <row r="47" spans="1:7" ht="12" customHeight="1" x14ac:dyDescent="0.2">
      <c r="A47" s="10"/>
      <c r="B47" s="29"/>
      <c r="C47" s="82"/>
      <c r="D47" s="28"/>
      <c r="E47" s="58"/>
      <c r="F47" s="24"/>
      <c r="G47" s="103"/>
    </row>
    <row r="48" spans="1:7" ht="12" customHeight="1" x14ac:dyDescent="0.2">
      <c r="A48" s="102" t="s">
        <v>127</v>
      </c>
      <c r="B48" s="30"/>
      <c r="C48" s="47" t="s">
        <v>126</v>
      </c>
      <c r="D48" s="28"/>
      <c r="E48" s="22"/>
      <c r="F48" s="24"/>
      <c r="G48" s="104"/>
    </row>
    <row r="49" spans="1:7" ht="13.2" x14ac:dyDescent="0.25">
      <c r="A49" s="107"/>
      <c r="B49" s="30"/>
      <c r="C49" s="75"/>
      <c r="D49" s="28"/>
      <c r="E49" s="22"/>
      <c r="F49" s="24"/>
      <c r="G49" s="103"/>
    </row>
    <row r="50" spans="1:7" ht="20.399999999999999" x14ac:dyDescent="0.2">
      <c r="A50" s="55" t="s">
        <v>18</v>
      </c>
      <c r="B50" s="61">
        <v>12</v>
      </c>
      <c r="C50" s="89" t="s">
        <v>134</v>
      </c>
      <c r="D50" s="55" t="s">
        <v>45</v>
      </c>
      <c r="E50" s="62">
        <f>E20+E22+E24+E26+E28+E32+E34</f>
        <v>50.861000000000004</v>
      </c>
      <c r="F50" s="54">
        <v>15100</v>
      </c>
      <c r="G50" s="108">
        <f>F50*E50</f>
        <v>768001.10000000009</v>
      </c>
    </row>
    <row r="51" spans="1:7" ht="12" customHeight="1" x14ac:dyDescent="0.2">
      <c r="A51" s="102"/>
      <c r="B51" s="29"/>
      <c r="C51" s="79"/>
      <c r="D51" s="28"/>
      <c r="E51" s="32"/>
      <c r="F51" s="24"/>
      <c r="G51" s="103"/>
    </row>
    <row r="52" spans="1:7" ht="12" customHeight="1" x14ac:dyDescent="0.2">
      <c r="A52" s="102"/>
      <c r="B52" s="29"/>
      <c r="C52" s="79"/>
      <c r="D52" s="28"/>
      <c r="E52" s="32"/>
      <c r="F52" s="24"/>
      <c r="G52" s="103"/>
    </row>
    <row r="53" spans="1:7" ht="25.2" customHeight="1" x14ac:dyDescent="0.2">
      <c r="A53" s="148" t="s">
        <v>99</v>
      </c>
      <c r="B53" s="149"/>
      <c r="C53" s="149"/>
      <c r="D53" s="149"/>
      <c r="E53" s="149"/>
      <c r="F53" s="150"/>
      <c r="G53" s="110">
        <f>SUM(G6:G52)</f>
        <v>3931779.98</v>
      </c>
    </row>
    <row r="54" spans="1:7" ht="12" customHeight="1" x14ac:dyDescent="0.2">
      <c r="A54" s="117"/>
      <c r="B54" s="117"/>
      <c r="C54" s="117"/>
      <c r="D54" s="117"/>
      <c r="E54" s="117"/>
      <c r="F54" s="117"/>
      <c r="G54" s="123"/>
    </row>
    <row r="55" spans="1:7" ht="12" customHeight="1" x14ac:dyDescent="0.2">
      <c r="A55" s="52"/>
      <c r="B55" s="52"/>
      <c r="C55" s="52"/>
      <c r="D55" s="52"/>
      <c r="E55" s="52"/>
      <c r="F55" s="52"/>
      <c r="G55" s="124"/>
    </row>
    <row r="56" spans="1:7" ht="20.399999999999999" x14ac:dyDescent="0.2">
      <c r="A56" s="111" t="s">
        <v>14</v>
      </c>
      <c r="B56" s="112" t="s">
        <v>13</v>
      </c>
      <c r="C56" s="113" t="s">
        <v>0</v>
      </c>
      <c r="D56" s="111" t="s">
        <v>1</v>
      </c>
      <c r="E56" s="114" t="s">
        <v>11</v>
      </c>
      <c r="F56" s="115" t="s">
        <v>2</v>
      </c>
      <c r="G56" s="116" t="s">
        <v>12</v>
      </c>
    </row>
    <row r="57" spans="1:7" ht="20.399999999999999" customHeight="1" x14ac:dyDescent="0.2">
      <c r="A57" s="148" t="s">
        <v>100</v>
      </c>
      <c r="B57" s="149"/>
      <c r="C57" s="149"/>
      <c r="D57" s="149"/>
      <c r="E57" s="149"/>
      <c r="F57" s="150"/>
      <c r="G57" s="99">
        <f>G53</f>
        <v>3931779.98</v>
      </c>
    </row>
    <row r="58" spans="1:7" x14ac:dyDescent="0.2">
      <c r="A58" s="102"/>
      <c r="B58" s="29"/>
      <c r="C58" s="79"/>
      <c r="D58" s="28"/>
      <c r="E58" s="32"/>
      <c r="F58" s="24"/>
      <c r="G58" s="103"/>
    </row>
    <row r="59" spans="1:7" ht="12" customHeight="1" x14ac:dyDescent="0.2">
      <c r="A59" s="102" t="s">
        <v>129</v>
      </c>
      <c r="B59" s="29"/>
      <c r="C59" s="47" t="s">
        <v>128</v>
      </c>
      <c r="D59" s="10"/>
      <c r="E59" s="16"/>
      <c r="F59" s="24"/>
      <c r="G59" s="109"/>
    </row>
    <row r="60" spans="1:7" ht="20.100000000000001" customHeight="1" x14ac:dyDescent="0.2">
      <c r="A60" s="28"/>
      <c r="B60" s="29"/>
      <c r="C60" s="85"/>
      <c r="D60" s="10"/>
      <c r="E60" s="16"/>
      <c r="F60" s="24"/>
      <c r="G60" s="109"/>
    </row>
    <row r="61" spans="1:7" ht="12" customHeight="1" x14ac:dyDescent="0.2">
      <c r="A61" s="28" t="s">
        <v>103</v>
      </c>
      <c r="B61" s="29"/>
      <c r="C61" s="63" t="s">
        <v>130</v>
      </c>
      <c r="D61" s="56"/>
      <c r="E61" s="57"/>
      <c r="F61" s="24"/>
      <c r="G61" s="54"/>
    </row>
    <row r="62" spans="1:7" x14ac:dyDescent="0.2">
      <c r="A62" s="28"/>
      <c r="B62" s="29"/>
      <c r="C62" s="85"/>
      <c r="D62" s="10"/>
      <c r="E62" s="16"/>
      <c r="F62" s="24"/>
      <c r="G62" s="109"/>
    </row>
    <row r="63" spans="1:7" x14ac:dyDescent="0.2">
      <c r="A63" s="28"/>
      <c r="B63" s="29"/>
      <c r="C63" s="64" t="s">
        <v>131</v>
      </c>
      <c r="D63" s="5"/>
      <c r="E63" s="53"/>
      <c r="F63" s="24"/>
      <c r="G63" s="54"/>
    </row>
    <row r="64" spans="1:7" x14ac:dyDescent="0.2">
      <c r="A64" s="28"/>
      <c r="B64" s="29"/>
      <c r="C64" s="85"/>
      <c r="D64" s="10"/>
      <c r="E64" s="16"/>
      <c r="F64" s="24"/>
      <c r="G64" s="109"/>
    </row>
    <row r="65" spans="1:7" ht="61.2" x14ac:dyDescent="0.2">
      <c r="A65" s="28"/>
      <c r="B65" s="66">
        <v>13</v>
      </c>
      <c r="C65" s="65" t="s">
        <v>135</v>
      </c>
      <c r="D65" s="5" t="s">
        <v>40</v>
      </c>
      <c r="E65" s="67">
        <v>1590</v>
      </c>
      <c r="F65" s="54">
        <v>550</v>
      </c>
      <c r="G65" s="108">
        <f>F65*E65</f>
        <v>874500</v>
      </c>
    </row>
    <row r="66" spans="1:7" ht="12" customHeight="1" x14ac:dyDescent="0.2">
      <c r="A66" s="28"/>
      <c r="B66" s="29"/>
      <c r="C66" s="85"/>
      <c r="D66" s="10"/>
      <c r="E66" s="16"/>
      <c r="F66" s="24"/>
      <c r="G66" s="109"/>
    </row>
    <row r="67" spans="1:7" ht="20.399999999999999" x14ac:dyDescent="0.2">
      <c r="A67" s="28"/>
      <c r="B67" s="66">
        <v>14</v>
      </c>
      <c r="C67" s="65" t="s">
        <v>144</v>
      </c>
      <c r="D67" s="5" t="s">
        <v>104</v>
      </c>
      <c r="E67" s="132">
        <v>200</v>
      </c>
      <c r="F67" s="54">
        <v>350</v>
      </c>
      <c r="G67" s="108">
        <f>F67*E67</f>
        <v>70000</v>
      </c>
    </row>
    <row r="68" spans="1:7" ht="12" customHeight="1" x14ac:dyDescent="0.2">
      <c r="A68" s="28"/>
      <c r="B68" s="29"/>
      <c r="C68" s="85"/>
      <c r="D68" s="10"/>
      <c r="E68" s="16"/>
      <c r="F68" s="24"/>
      <c r="G68" s="109"/>
    </row>
    <row r="69" spans="1:7" ht="12" customHeight="1" x14ac:dyDescent="0.2">
      <c r="A69" s="28"/>
      <c r="B69" s="29"/>
      <c r="C69" s="64" t="s">
        <v>132</v>
      </c>
      <c r="D69" s="10"/>
      <c r="E69" s="16"/>
      <c r="F69" s="24"/>
      <c r="G69" s="109"/>
    </row>
    <row r="70" spans="1:7" ht="12" customHeight="1" x14ac:dyDescent="0.2">
      <c r="A70" s="28"/>
      <c r="B70" s="29"/>
      <c r="C70" s="85"/>
      <c r="D70" s="10"/>
      <c r="E70" s="16"/>
      <c r="F70" s="24"/>
      <c r="G70" s="109"/>
    </row>
    <row r="71" spans="1:7" ht="61.2" x14ac:dyDescent="0.2">
      <c r="A71" s="28"/>
      <c r="B71" s="66">
        <v>15</v>
      </c>
      <c r="C71" s="65" t="s">
        <v>136</v>
      </c>
      <c r="D71" s="5" t="s">
        <v>40</v>
      </c>
      <c r="E71" s="67">
        <v>1465</v>
      </c>
      <c r="F71" s="54">
        <v>495</v>
      </c>
      <c r="G71" s="108">
        <f>F71*E71</f>
        <v>725175</v>
      </c>
    </row>
    <row r="72" spans="1:7" ht="12" customHeight="1" x14ac:dyDescent="0.2">
      <c r="A72" s="28"/>
      <c r="B72" s="29"/>
      <c r="C72" s="85"/>
      <c r="D72" s="10"/>
      <c r="E72" s="16"/>
      <c r="F72" s="24"/>
      <c r="G72" s="109"/>
    </row>
    <row r="73" spans="1:7" ht="12" customHeight="1" x14ac:dyDescent="0.2">
      <c r="A73" s="28" t="s">
        <v>3</v>
      </c>
      <c r="B73" s="29"/>
      <c r="C73" s="63" t="s">
        <v>133</v>
      </c>
      <c r="D73" s="10"/>
      <c r="E73" s="16"/>
      <c r="F73" s="24"/>
      <c r="G73" s="109"/>
    </row>
    <row r="74" spans="1:7" x14ac:dyDescent="0.2">
      <c r="A74" s="28"/>
      <c r="B74" s="29"/>
      <c r="C74" s="85"/>
      <c r="D74" s="10"/>
      <c r="E74" s="16"/>
      <c r="F74" s="24"/>
      <c r="G74" s="109"/>
    </row>
    <row r="75" spans="1:7" ht="30.6" x14ac:dyDescent="0.2">
      <c r="A75" s="28"/>
      <c r="B75" s="66">
        <v>16</v>
      </c>
      <c r="C75" s="65" t="s">
        <v>137</v>
      </c>
      <c r="D75" s="5" t="s">
        <v>104</v>
      </c>
      <c r="E75" s="67">
        <v>100</v>
      </c>
      <c r="F75" s="54">
        <v>550</v>
      </c>
      <c r="G75" s="108">
        <f>F75*E75</f>
        <v>55000</v>
      </c>
    </row>
    <row r="76" spans="1:7" ht="12" customHeight="1" x14ac:dyDescent="0.2">
      <c r="A76" s="28"/>
      <c r="B76" s="66"/>
      <c r="C76" s="85"/>
      <c r="D76" s="10"/>
      <c r="E76" s="16"/>
      <c r="F76" s="24"/>
      <c r="G76" s="109"/>
    </row>
    <row r="77" spans="1:7" ht="20.399999999999999" x14ac:dyDescent="0.2">
      <c r="A77" s="28"/>
      <c r="B77" s="66">
        <v>17</v>
      </c>
      <c r="C77" s="65" t="s">
        <v>138</v>
      </c>
      <c r="D77" s="5" t="s">
        <v>104</v>
      </c>
      <c r="E77" s="67">
        <v>32</v>
      </c>
      <c r="F77" s="54">
        <v>550</v>
      </c>
      <c r="G77" s="108">
        <f>F77*E77</f>
        <v>17600</v>
      </c>
    </row>
    <row r="78" spans="1:7" x14ac:dyDescent="0.2">
      <c r="A78" s="28"/>
      <c r="B78" s="66"/>
      <c r="C78" s="85"/>
      <c r="D78" s="10"/>
      <c r="E78" s="16"/>
      <c r="F78" s="24"/>
      <c r="G78" s="109"/>
    </row>
    <row r="79" spans="1:7" ht="20.399999999999999" x14ac:dyDescent="0.2">
      <c r="A79" s="28"/>
      <c r="B79" s="66">
        <v>18</v>
      </c>
      <c r="C79" s="65" t="s">
        <v>140</v>
      </c>
      <c r="D79" s="5" t="s">
        <v>104</v>
      </c>
      <c r="E79" s="67">
        <v>26</v>
      </c>
      <c r="F79" s="54">
        <v>550</v>
      </c>
      <c r="G79" s="108">
        <f>F79*E79</f>
        <v>14300</v>
      </c>
    </row>
    <row r="80" spans="1:7" x14ac:dyDescent="0.2">
      <c r="A80" s="28"/>
      <c r="B80" s="66"/>
      <c r="C80" s="85"/>
      <c r="D80" s="10"/>
      <c r="E80" s="16"/>
      <c r="F80" s="24"/>
      <c r="G80" s="109"/>
    </row>
    <row r="81" spans="1:7" ht="20.399999999999999" x14ac:dyDescent="0.2">
      <c r="A81" s="28"/>
      <c r="B81" s="66">
        <v>19</v>
      </c>
      <c r="C81" s="65" t="s">
        <v>139</v>
      </c>
      <c r="D81" s="5" t="s">
        <v>104</v>
      </c>
      <c r="E81" s="67">
        <v>232</v>
      </c>
      <c r="F81" s="54">
        <v>550</v>
      </c>
      <c r="G81" s="108">
        <f>F81*E81</f>
        <v>127600</v>
      </c>
    </row>
    <row r="82" spans="1:7" x14ac:dyDescent="0.2">
      <c r="A82" s="28"/>
      <c r="B82" s="66"/>
      <c r="C82" s="133"/>
      <c r="D82" s="5"/>
      <c r="E82" s="67"/>
      <c r="F82" s="54"/>
      <c r="G82" s="108"/>
    </row>
    <row r="83" spans="1:7" ht="20.399999999999999" x14ac:dyDescent="0.2">
      <c r="A83" s="28"/>
      <c r="B83" s="66">
        <v>20</v>
      </c>
      <c r="C83" s="65" t="s">
        <v>149</v>
      </c>
      <c r="D83" s="5" t="s">
        <v>104</v>
      </c>
      <c r="E83" s="67">
        <v>53</v>
      </c>
      <c r="F83" s="54">
        <v>550</v>
      </c>
      <c r="G83" s="108">
        <f>F83*E83</f>
        <v>29150</v>
      </c>
    </row>
    <row r="84" spans="1:7" x14ac:dyDescent="0.2">
      <c r="A84" s="28"/>
      <c r="B84" s="66"/>
      <c r="C84" s="133"/>
      <c r="D84" s="5"/>
      <c r="E84" s="67"/>
      <c r="F84" s="54"/>
      <c r="G84" s="108"/>
    </row>
    <row r="85" spans="1:7" ht="21" customHeight="1" x14ac:dyDescent="0.2">
      <c r="A85" s="151" t="s">
        <v>38</v>
      </c>
      <c r="B85" s="152"/>
      <c r="C85" s="152"/>
      <c r="D85" s="152"/>
      <c r="E85" s="152"/>
      <c r="F85" s="153"/>
      <c r="G85" s="110">
        <f>SUM(G57:G84)</f>
        <v>5845104.9800000004</v>
      </c>
    </row>
    <row r="87" spans="1:7" ht="12" customHeight="1" x14ac:dyDescent="0.2"/>
    <row r="89" spans="1:7" ht="12" customHeight="1" x14ac:dyDescent="0.2"/>
    <row r="90" spans="1:7" ht="20.25" customHeight="1" x14ac:dyDescent="0.2"/>
    <row r="91" spans="1:7" ht="12" customHeight="1" x14ac:dyDescent="0.2"/>
    <row r="93" spans="1:7" ht="12" customHeight="1" x14ac:dyDescent="0.2"/>
    <row r="95" spans="1:7" ht="12" customHeight="1" x14ac:dyDescent="0.2"/>
    <row r="97" ht="12" customHeight="1" x14ac:dyDescent="0.2"/>
    <row r="99" ht="12" customHeight="1" x14ac:dyDescent="0.2"/>
    <row r="101" ht="12" customHeight="1" x14ac:dyDescent="0.2"/>
    <row r="103" ht="12" customHeight="1" x14ac:dyDescent="0.2"/>
    <row r="108" ht="20.100000000000001" customHeight="1" x14ac:dyDescent="0.2"/>
    <row r="109" ht="12" customHeight="1" x14ac:dyDescent="0.2"/>
    <row r="112" ht="20.100000000000001" customHeight="1" x14ac:dyDescent="0.2"/>
    <row r="114" ht="12" customHeight="1" x14ac:dyDescent="0.2"/>
    <row r="115" ht="12" customHeight="1" x14ac:dyDescent="0.2"/>
    <row r="116" ht="12" customHeight="1" x14ac:dyDescent="0.2"/>
    <row r="117" ht="12" customHeight="1" x14ac:dyDescent="0.2"/>
    <row r="118" ht="12" customHeight="1" x14ac:dyDescent="0.2"/>
    <row r="119" ht="12" customHeight="1" x14ac:dyDescent="0.2"/>
    <row r="120" ht="12" customHeight="1" x14ac:dyDescent="0.2"/>
    <row r="121" ht="12" customHeight="1" x14ac:dyDescent="0.2"/>
    <row r="122" ht="12" customHeight="1" x14ac:dyDescent="0.2"/>
    <row r="123" ht="12" customHeight="1" x14ac:dyDescent="0.2"/>
    <row r="124" ht="12" customHeight="1" x14ac:dyDescent="0.2"/>
    <row r="126" ht="12" customHeight="1" x14ac:dyDescent="0.2"/>
    <row r="127" ht="12" customHeight="1" x14ac:dyDescent="0.2"/>
    <row r="128" ht="12" customHeight="1" x14ac:dyDescent="0.2"/>
    <row r="129" ht="12" customHeight="1" x14ac:dyDescent="0.2"/>
    <row r="130" ht="12" customHeight="1" x14ac:dyDescent="0.2"/>
    <row r="131" ht="12" customHeight="1" x14ac:dyDescent="0.2"/>
    <row r="132" ht="12" customHeight="1" x14ac:dyDescent="0.2"/>
    <row r="134" ht="12" customHeight="1" x14ac:dyDescent="0.2"/>
    <row r="135" ht="12" customHeight="1" x14ac:dyDescent="0.2"/>
    <row r="136" ht="12" customHeight="1" x14ac:dyDescent="0.2"/>
    <row r="137" ht="12" customHeight="1" x14ac:dyDescent="0.2"/>
    <row r="138" ht="12" customHeight="1" x14ac:dyDescent="0.2"/>
    <row r="139" ht="12" customHeight="1" x14ac:dyDescent="0.2"/>
    <row r="140" ht="12" customHeight="1" x14ac:dyDescent="0.2"/>
    <row r="161" ht="22.2" customHeight="1" x14ac:dyDescent="0.2"/>
  </sheetData>
  <mergeCells count="3">
    <mergeCell ref="A57:F57"/>
    <mergeCell ref="A53:F53"/>
    <mergeCell ref="A85:F85"/>
  </mergeCells>
  <pageMargins left="0.70866141732283472" right="0.23622047244094491" top="0.74803149606299213" bottom="0.74803149606299213" header="0.31496062992125984" footer="0.31496062992125984"/>
  <pageSetup paperSize="9" orientation="portrait" r:id="rId1"/>
  <headerFooter alignWithMargins="0"/>
  <rowBreaks count="1" manualBreakCount="1">
    <brk id="54" max="6"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E3179-9BE3-46AE-8EF9-5C6C58969C7A}">
  <dimension ref="A1:G161"/>
  <sheetViews>
    <sheetView showGridLines="0" view="pageBreakPreview" topLeftCell="A3" zoomScaleNormal="85" zoomScaleSheetLayoutView="100" workbookViewId="0">
      <selection activeCell="F51" sqref="F51"/>
    </sheetView>
  </sheetViews>
  <sheetFormatPr defaultColWidth="9.109375" defaultRowHeight="10.199999999999999" x14ac:dyDescent="0.2"/>
  <cols>
    <col min="1" max="1" width="9.88671875" style="17" customWidth="1"/>
    <col min="2" max="2" width="5.6640625" style="23" customWidth="1"/>
    <col min="3" max="3" width="43.33203125" style="15" customWidth="1"/>
    <col min="4" max="4" width="6.44140625" style="15" customWidth="1"/>
    <col min="5" max="5" width="8.6640625" style="25" customWidth="1"/>
    <col min="6" max="6" width="8.88671875" style="21" bestFit="1" customWidth="1"/>
    <col min="7" max="7" width="11.6640625" style="25" customWidth="1"/>
    <col min="8" max="16384" width="9.109375" style="15"/>
  </cols>
  <sheetData>
    <row r="1" spans="1:7" ht="12" customHeight="1" x14ac:dyDescent="0.2">
      <c r="A1" s="118" t="str">
        <f>'Section 1 - P&amp;G'!A1</f>
        <v>NAFASI WATER - ARNOT WASTE TREATMENT PLANT</v>
      </c>
      <c r="C1" s="75"/>
      <c r="D1" s="17"/>
      <c r="G1" s="88" t="str">
        <f>'Section 1 - P&amp;G'!G1</f>
        <v>Revision T1</v>
      </c>
    </row>
    <row r="2" spans="1:7" ht="12" customHeight="1" x14ac:dyDescent="0.2">
      <c r="A2" s="43" t="str">
        <f>'Section 1 - P&amp;G'!A2</f>
        <v>STRUCTURAL STEELWORK SCHEDULE OF QUANTITIES</v>
      </c>
      <c r="C2" s="75"/>
      <c r="D2" s="17"/>
      <c r="G2" s="90"/>
    </row>
    <row r="3" spans="1:7" ht="12" customHeight="1" x14ac:dyDescent="0.2">
      <c r="A3" s="43" t="s">
        <v>150</v>
      </c>
      <c r="C3" s="75"/>
      <c r="D3" s="17"/>
      <c r="G3" s="92">
        <f>'Section 1 - P&amp;G'!G3</f>
        <v>45183</v>
      </c>
    </row>
    <row r="4" spans="1:7" ht="12" customHeight="1" x14ac:dyDescent="0.2">
      <c r="C4" s="75"/>
      <c r="D4" s="17"/>
      <c r="G4" s="93"/>
    </row>
    <row r="5" spans="1:7" ht="22.5" customHeight="1" x14ac:dyDescent="0.2">
      <c r="A5" s="94" t="s">
        <v>14</v>
      </c>
      <c r="B5" s="95" t="s">
        <v>13</v>
      </c>
      <c r="C5" s="96" t="s">
        <v>0</v>
      </c>
      <c r="D5" s="94" t="s">
        <v>1</v>
      </c>
      <c r="E5" s="97" t="s">
        <v>11</v>
      </c>
      <c r="F5" s="98" t="s">
        <v>2</v>
      </c>
      <c r="G5" s="99" t="s">
        <v>12</v>
      </c>
    </row>
    <row r="6" spans="1:7" ht="12" customHeight="1" x14ac:dyDescent="0.2">
      <c r="A6" s="100"/>
      <c r="B6" s="29"/>
      <c r="C6" s="75"/>
      <c r="D6" s="28"/>
      <c r="E6" s="31"/>
      <c r="F6" s="24"/>
      <c r="G6" s="101"/>
    </row>
    <row r="7" spans="1:7" ht="12" customHeight="1" x14ac:dyDescent="0.2">
      <c r="A7" s="28"/>
      <c r="B7" s="29"/>
      <c r="C7" s="76" t="str">
        <f>A3</f>
        <v>SECTION 3: CHEMICAL STORE</v>
      </c>
      <c r="D7" s="28"/>
      <c r="E7" s="31"/>
      <c r="F7" s="24"/>
      <c r="G7" s="101"/>
    </row>
    <row r="8" spans="1:7" ht="12" customHeight="1" x14ac:dyDescent="0.2">
      <c r="A8" s="28"/>
      <c r="B8" s="29"/>
      <c r="C8" s="75"/>
      <c r="D8" s="28"/>
      <c r="E8" s="31"/>
      <c r="F8" s="24"/>
      <c r="G8" s="101"/>
    </row>
    <row r="9" spans="1:7" ht="12" customHeight="1" x14ac:dyDescent="0.2">
      <c r="A9" s="102" t="s">
        <v>4</v>
      </c>
      <c r="B9" s="29"/>
      <c r="C9" s="47" t="s">
        <v>107</v>
      </c>
      <c r="D9" s="28"/>
      <c r="E9" s="32"/>
      <c r="F9" s="24"/>
      <c r="G9" s="101"/>
    </row>
    <row r="10" spans="1:7" ht="12" customHeight="1" x14ac:dyDescent="0.2">
      <c r="A10" s="102" t="s">
        <v>106</v>
      </c>
      <c r="B10" s="29"/>
      <c r="C10" s="75"/>
      <c r="D10" s="28"/>
      <c r="E10" s="33"/>
      <c r="F10" s="24"/>
      <c r="G10" s="103"/>
    </row>
    <row r="11" spans="1:7" ht="12" customHeight="1" x14ac:dyDescent="0.2">
      <c r="A11" s="28" t="s">
        <v>47</v>
      </c>
      <c r="B11" s="29"/>
      <c r="C11" s="76" t="s">
        <v>108</v>
      </c>
      <c r="D11" s="28"/>
      <c r="E11" s="33"/>
      <c r="F11" s="24"/>
      <c r="G11" s="103"/>
    </row>
    <row r="12" spans="1:7" ht="12" customHeight="1" x14ac:dyDescent="0.2">
      <c r="A12" s="28"/>
      <c r="B12" s="29"/>
      <c r="C12" s="77"/>
      <c r="D12" s="28"/>
      <c r="E12" s="33"/>
      <c r="F12" s="24"/>
      <c r="G12" s="103"/>
    </row>
    <row r="13" spans="1:7" ht="12" customHeight="1" x14ac:dyDescent="0.2">
      <c r="A13" s="28" t="s">
        <v>109</v>
      </c>
      <c r="B13" s="29">
        <v>1</v>
      </c>
      <c r="C13" s="75" t="s">
        <v>110</v>
      </c>
      <c r="D13" s="28" t="s">
        <v>45</v>
      </c>
      <c r="E13" s="60">
        <f>SUM(E20:E34)</f>
        <v>10.298</v>
      </c>
      <c r="F13" s="24">
        <v>1050</v>
      </c>
      <c r="G13" s="103">
        <f>F13*E13</f>
        <v>10812.9</v>
      </c>
    </row>
    <row r="14" spans="1:7" ht="12" customHeight="1" x14ac:dyDescent="0.2">
      <c r="A14" s="28"/>
      <c r="B14" s="29"/>
      <c r="C14" s="75"/>
      <c r="D14" s="28"/>
      <c r="E14" s="16"/>
      <c r="F14" s="24"/>
      <c r="G14" s="103"/>
    </row>
    <row r="15" spans="1:7" ht="12" customHeight="1" x14ac:dyDescent="0.2">
      <c r="A15" s="10" t="s">
        <v>111</v>
      </c>
      <c r="B15" s="29"/>
      <c r="C15" s="78" t="s">
        <v>112</v>
      </c>
      <c r="D15" s="28"/>
      <c r="E15" s="32"/>
      <c r="F15" s="24"/>
      <c r="G15" s="101"/>
    </row>
    <row r="16" spans="1:7" ht="12" customHeight="1" x14ac:dyDescent="0.2">
      <c r="A16" s="102"/>
      <c r="B16" s="29"/>
      <c r="C16" s="75" t="s">
        <v>113</v>
      </c>
      <c r="D16" s="28"/>
      <c r="E16" s="32"/>
      <c r="F16" s="24"/>
      <c r="G16" s="101"/>
    </row>
    <row r="17" spans="1:7" ht="12" customHeight="1" x14ac:dyDescent="0.2">
      <c r="A17" s="102"/>
      <c r="B17" s="29"/>
      <c r="C17" s="79"/>
      <c r="D17" s="28"/>
      <c r="E17" s="32"/>
      <c r="F17" s="24"/>
      <c r="G17" s="101"/>
    </row>
    <row r="18" spans="1:7" ht="12" customHeight="1" x14ac:dyDescent="0.2">
      <c r="A18" s="102"/>
      <c r="B18" s="29"/>
      <c r="C18" s="80" t="s">
        <v>114</v>
      </c>
      <c r="D18" s="28"/>
      <c r="E18" s="32"/>
      <c r="F18" s="24"/>
      <c r="G18" s="103"/>
    </row>
    <row r="19" spans="1:7" ht="12" customHeight="1" x14ac:dyDescent="0.2">
      <c r="A19" s="102"/>
      <c r="B19" s="29"/>
      <c r="C19" s="79"/>
      <c r="D19" s="28"/>
      <c r="E19" s="32"/>
      <c r="F19" s="24"/>
      <c r="G19" s="103"/>
    </row>
    <row r="20" spans="1:7" ht="12" customHeight="1" x14ac:dyDescent="0.2">
      <c r="A20" s="102"/>
      <c r="B20" s="29">
        <v>2</v>
      </c>
      <c r="C20" s="75" t="s">
        <v>142</v>
      </c>
      <c r="D20" s="28" t="s">
        <v>45</v>
      </c>
      <c r="E20" s="58">
        <v>2.29</v>
      </c>
      <c r="F20" s="24">
        <v>43560</v>
      </c>
      <c r="G20" s="103">
        <f>F20*E20</f>
        <v>99752.400000000009</v>
      </c>
    </row>
    <row r="21" spans="1:7" ht="12" customHeight="1" x14ac:dyDescent="0.2">
      <c r="A21" s="102"/>
      <c r="B21" s="29"/>
      <c r="C21" s="79"/>
      <c r="D21" s="28"/>
      <c r="E21" s="32"/>
      <c r="F21" s="24"/>
      <c r="G21" s="103"/>
    </row>
    <row r="22" spans="1:7" ht="12" customHeight="1" x14ac:dyDescent="0.2">
      <c r="A22" s="10"/>
      <c r="B22" s="29">
        <v>3</v>
      </c>
      <c r="C22" s="75" t="s">
        <v>148</v>
      </c>
      <c r="D22" s="28" t="s">
        <v>45</v>
      </c>
      <c r="E22" s="58">
        <v>0.49</v>
      </c>
      <c r="F22" s="24">
        <v>43560</v>
      </c>
      <c r="G22" s="103">
        <f>F22*E22</f>
        <v>21344.399999999998</v>
      </c>
    </row>
    <row r="23" spans="1:7" ht="12" customHeight="1" x14ac:dyDescent="0.2">
      <c r="A23" s="10"/>
      <c r="B23" s="29"/>
      <c r="C23" s="75"/>
      <c r="D23" s="28"/>
      <c r="E23" s="58"/>
      <c r="F23" s="24"/>
      <c r="G23" s="103"/>
    </row>
    <row r="24" spans="1:7" ht="12" customHeight="1" x14ac:dyDescent="0.2">
      <c r="A24" s="10"/>
      <c r="B24" s="29">
        <v>4</v>
      </c>
      <c r="C24" s="75" t="s">
        <v>143</v>
      </c>
      <c r="D24" s="28" t="s">
        <v>45</v>
      </c>
      <c r="E24" s="131">
        <v>2.17</v>
      </c>
      <c r="F24" s="24">
        <v>43560</v>
      </c>
      <c r="G24" s="103">
        <f>F24*E24</f>
        <v>94525.2</v>
      </c>
    </row>
    <row r="25" spans="1:7" ht="12" customHeight="1" x14ac:dyDescent="0.2">
      <c r="A25" s="10"/>
      <c r="B25" s="29"/>
      <c r="C25" s="75"/>
      <c r="D25" s="28"/>
      <c r="E25" s="58"/>
      <c r="F25" s="24"/>
      <c r="G25" s="103"/>
    </row>
    <row r="26" spans="1:7" ht="12" customHeight="1" x14ac:dyDescent="0.2">
      <c r="A26" s="10"/>
      <c r="B26" s="29">
        <v>5</v>
      </c>
      <c r="C26" s="75" t="s">
        <v>115</v>
      </c>
      <c r="D26" s="28" t="s">
        <v>45</v>
      </c>
      <c r="E26" s="58">
        <v>1.85</v>
      </c>
      <c r="F26" s="24">
        <v>40920</v>
      </c>
      <c r="G26" s="103">
        <f>F26*E26</f>
        <v>75702</v>
      </c>
    </row>
    <row r="27" spans="1:7" ht="12" customHeight="1" x14ac:dyDescent="0.2">
      <c r="A27" s="10"/>
      <c r="B27" s="29"/>
      <c r="C27" s="75"/>
      <c r="D27" s="28"/>
      <c r="E27" s="58"/>
      <c r="F27" s="24"/>
      <c r="G27" s="103"/>
    </row>
    <row r="28" spans="1:7" ht="12" customHeight="1" x14ac:dyDescent="0.2">
      <c r="A28" s="10"/>
      <c r="B28" s="29">
        <v>6</v>
      </c>
      <c r="C28" s="75" t="s">
        <v>145</v>
      </c>
      <c r="D28" s="28" t="s">
        <v>45</v>
      </c>
      <c r="E28" s="58">
        <v>1.28</v>
      </c>
      <c r="F28" s="24">
        <v>43560</v>
      </c>
      <c r="G28" s="103">
        <f>F28*E28</f>
        <v>55756.800000000003</v>
      </c>
    </row>
    <row r="29" spans="1:7" ht="12" customHeight="1" x14ac:dyDescent="0.2">
      <c r="A29" s="10"/>
      <c r="B29" s="29"/>
      <c r="C29" s="75"/>
      <c r="D29" s="28"/>
      <c r="E29" s="58"/>
      <c r="F29" s="24"/>
      <c r="G29" s="103"/>
    </row>
    <row r="30" spans="1:7" ht="12" customHeight="1" x14ac:dyDescent="0.2">
      <c r="A30" s="10"/>
      <c r="B30" s="29"/>
      <c r="C30" s="81" t="s">
        <v>116</v>
      </c>
      <c r="D30" s="28"/>
      <c r="E30" s="58"/>
      <c r="F30" s="24"/>
      <c r="G30" s="103"/>
    </row>
    <row r="31" spans="1:7" ht="12" customHeight="1" x14ac:dyDescent="0.2">
      <c r="A31" s="10"/>
      <c r="B31" s="29"/>
      <c r="C31" s="81"/>
      <c r="D31" s="28"/>
      <c r="E31" s="58"/>
      <c r="F31" s="24"/>
      <c r="G31" s="103"/>
    </row>
    <row r="32" spans="1:7" ht="12" customHeight="1" x14ac:dyDescent="0.2">
      <c r="A32" s="10"/>
      <c r="B32" s="29">
        <v>7</v>
      </c>
      <c r="C32" s="82" t="s">
        <v>117</v>
      </c>
      <c r="D32" s="28" t="s">
        <v>45</v>
      </c>
      <c r="E32" s="58">
        <v>0.71799999999999997</v>
      </c>
      <c r="F32" s="24">
        <v>36800</v>
      </c>
      <c r="G32" s="103">
        <f>F32*E32</f>
        <v>26422.399999999998</v>
      </c>
    </row>
    <row r="33" spans="1:7" ht="12" customHeight="1" x14ac:dyDescent="0.2">
      <c r="A33" s="10"/>
      <c r="B33" s="29"/>
      <c r="C33" s="75"/>
      <c r="D33" s="28"/>
      <c r="E33" s="58"/>
      <c r="F33" s="24"/>
      <c r="G33" s="103"/>
    </row>
    <row r="34" spans="1:7" ht="12" customHeight="1" x14ac:dyDescent="0.2">
      <c r="A34" s="10"/>
      <c r="B34" s="29">
        <v>8</v>
      </c>
      <c r="C34" s="82" t="s">
        <v>118</v>
      </c>
      <c r="D34" s="28" t="s">
        <v>45</v>
      </c>
      <c r="E34" s="58">
        <v>1.5</v>
      </c>
      <c r="F34" s="24">
        <v>36800</v>
      </c>
      <c r="G34" s="103">
        <f>F34*E34</f>
        <v>55200</v>
      </c>
    </row>
    <row r="35" spans="1:7" ht="12" customHeight="1" x14ac:dyDescent="0.2">
      <c r="A35" s="10"/>
      <c r="B35" s="29"/>
      <c r="C35" s="82"/>
      <c r="D35" s="28"/>
      <c r="E35" s="58"/>
      <c r="F35" s="24"/>
      <c r="G35" s="103"/>
    </row>
    <row r="36" spans="1:7" ht="12" customHeight="1" x14ac:dyDescent="0.2">
      <c r="A36" s="28" t="s">
        <v>3</v>
      </c>
      <c r="B36" s="29"/>
      <c r="C36" s="83" t="s">
        <v>119</v>
      </c>
      <c r="D36" s="28"/>
      <c r="E36" s="33"/>
      <c r="F36" s="24"/>
      <c r="G36" s="103"/>
    </row>
    <row r="37" spans="1:7" ht="12" customHeight="1" x14ac:dyDescent="0.2">
      <c r="A37" s="28"/>
      <c r="B37" s="29"/>
      <c r="C37" s="75"/>
      <c r="D37" s="28"/>
      <c r="E37" s="33"/>
      <c r="F37" s="24"/>
      <c r="G37" s="103"/>
    </row>
    <row r="38" spans="1:7" ht="12" customHeight="1" x14ac:dyDescent="0.2">
      <c r="A38" s="28" t="s">
        <v>24</v>
      </c>
      <c r="B38" s="29">
        <v>9</v>
      </c>
      <c r="C38" s="75" t="s">
        <v>120</v>
      </c>
      <c r="D38" s="28" t="s">
        <v>45</v>
      </c>
      <c r="E38" s="59">
        <f>E20+E22+E24+E26+E32+E34+E28</f>
        <v>10.298</v>
      </c>
      <c r="F38" s="24">
        <v>1250</v>
      </c>
      <c r="G38" s="103">
        <f>F38*E38</f>
        <v>12872.5</v>
      </c>
    </row>
    <row r="39" spans="1:7" ht="12" customHeight="1" x14ac:dyDescent="0.2">
      <c r="A39" s="28"/>
      <c r="B39" s="29"/>
      <c r="C39" s="75"/>
      <c r="D39" s="28"/>
      <c r="E39" s="33"/>
      <c r="F39" s="24"/>
      <c r="G39" s="103"/>
    </row>
    <row r="40" spans="1:7" ht="12" customHeight="1" x14ac:dyDescent="0.2">
      <c r="A40" s="28" t="s">
        <v>19</v>
      </c>
      <c r="B40" s="29"/>
      <c r="C40" s="83" t="s">
        <v>121</v>
      </c>
      <c r="D40" s="28"/>
      <c r="E40" s="22"/>
      <c r="F40" s="24"/>
      <c r="G40" s="103"/>
    </row>
    <row r="41" spans="1:7" ht="12" customHeight="1" x14ac:dyDescent="0.2">
      <c r="A41" s="102"/>
      <c r="B41" s="29"/>
      <c r="C41" s="84"/>
      <c r="D41" s="28"/>
      <c r="E41" s="32"/>
      <c r="F41" s="24"/>
      <c r="G41" s="101"/>
    </row>
    <row r="42" spans="1:7" ht="12" customHeight="1" x14ac:dyDescent="0.2">
      <c r="A42" s="102"/>
      <c r="B42" s="29">
        <v>10</v>
      </c>
      <c r="C42" s="82" t="s">
        <v>122</v>
      </c>
      <c r="D42" s="28" t="s">
        <v>45</v>
      </c>
      <c r="E42" s="59">
        <f>E46+E38</f>
        <v>10.76141</v>
      </c>
      <c r="F42" s="24">
        <v>14250</v>
      </c>
      <c r="G42" s="103">
        <f>F42*E42</f>
        <v>153350.0925</v>
      </c>
    </row>
    <row r="43" spans="1:7" ht="13.2" x14ac:dyDescent="0.25">
      <c r="A43" s="28"/>
      <c r="B43" s="30"/>
      <c r="C43" s="77"/>
      <c r="D43" s="34"/>
      <c r="E43" s="16"/>
      <c r="F43" s="24"/>
      <c r="G43" s="104"/>
    </row>
    <row r="44" spans="1:7" ht="12" customHeight="1" x14ac:dyDescent="0.25">
      <c r="A44" s="28" t="s">
        <v>5</v>
      </c>
      <c r="B44" s="30"/>
      <c r="C44" s="83" t="s">
        <v>123</v>
      </c>
      <c r="D44" s="34"/>
      <c r="E44" s="16"/>
      <c r="F44" s="24"/>
      <c r="G44" s="104"/>
    </row>
    <row r="45" spans="1:7" ht="12" customHeight="1" x14ac:dyDescent="0.2">
      <c r="A45" s="105"/>
      <c r="B45" s="30"/>
      <c r="C45" s="75"/>
      <c r="D45" s="28"/>
      <c r="E45" s="22"/>
      <c r="F45" s="24"/>
      <c r="G45" s="103"/>
    </row>
    <row r="46" spans="1:7" ht="12" customHeight="1" x14ac:dyDescent="0.2">
      <c r="A46" s="106" t="s">
        <v>125</v>
      </c>
      <c r="B46" s="91">
        <v>11</v>
      </c>
      <c r="C46" s="69" t="s">
        <v>124</v>
      </c>
      <c r="D46" s="28" t="s">
        <v>45</v>
      </c>
      <c r="E46" s="60">
        <f>E38*0.045</f>
        <v>0.46340999999999999</v>
      </c>
      <c r="F46" s="24">
        <v>75750</v>
      </c>
      <c r="G46" s="103">
        <f>F46*E46</f>
        <v>35103.307500000003</v>
      </c>
    </row>
    <row r="47" spans="1:7" ht="12" customHeight="1" x14ac:dyDescent="0.2">
      <c r="A47" s="10"/>
      <c r="B47" s="29"/>
      <c r="C47" s="82"/>
      <c r="D47" s="28"/>
      <c r="E47" s="58"/>
      <c r="F47" s="24"/>
      <c r="G47" s="103"/>
    </row>
    <row r="48" spans="1:7" ht="12" customHeight="1" x14ac:dyDescent="0.2">
      <c r="A48" s="102" t="s">
        <v>127</v>
      </c>
      <c r="B48" s="30"/>
      <c r="C48" s="47" t="s">
        <v>126</v>
      </c>
      <c r="D48" s="28"/>
      <c r="E48" s="22"/>
      <c r="F48" s="24"/>
      <c r="G48" s="104"/>
    </row>
    <row r="49" spans="1:7" ht="13.2" x14ac:dyDescent="0.25">
      <c r="A49" s="107"/>
      <c r="B49" s="30"/>
      <c r="C49" s="75"/>
      <c r="D49" s="28"/>
      <c r="E49" s="22"/>
      <c r="F49" s="24"/>
      <c r="G49" s="103"/>
    </row>
    <row r="50" spans="1:7" ht="20.399999999999999" x14ac:dyDescent="0.2">
      <c r="A50" s="55" t="s">
        <v>18</v>
      </c>
      <c r="B50" s="61">
        <v>12</v>
      </c>
      <c r="C50" s="89" t="s">
        <v>134</v>
      </c>
      <c r="D50" s="55" t="s">
        <v>45</v>
      </c>
      <c r="E50" s="62">
        <f>E20+E22+E24+E26+E28+E32+E34</f>
        <v>10.298</v>
      </c>
      <c r="F50" s="54">
        <v>15100</v>
      </c>
      <c r="G50" s="108">
        <f>F50*E50</f>
        <v>155499.79999999999</v>
      </c>
    </row>
    <row r="51" spans="1:7" ht="12" customHeight="1" x14ac:dyDescent="0.2">
      <c r="A51" s="102"/>
      <c r="B51" s="29"/>
      <c r="C51" s="79"/>
      <c r="D51" s="28"/>
      <c r="E51" s="32"/>
      <c r="F51" s="24"/>
      <c r="G51" s="103"/>
    </row>
    <row r="52" spans="1:7" ht="12" customHeight="1" x14ac:dyDescent="0.2">
      <c r="A52" s="102"/>
      <c r="B52" s="29"/>
      <c r="C52" s="79"/>
      <c r="D52" s="28"/>
      <c r="E52" s="32"/>
      <c r="F52" s="24"/>
      <c r="G52" s="103"/>
    </row>
    <row r="53" spans="1:7" ht="21" customHeight="1" x14ac:dyDescent="0.2">
      <c r="A53" s="148" t="s">
        <v>99</v>
      </c>
      <c r="B53" s="149"/>
      <c r="C53" s="149"/>
      <c r="D53" s="149"/>
      <c r="E53" s="149"/>
      <c r="F53" s="150"/>
      <c r="G53" s="110">
        <f>SUM(G6:G52)</f>
        <v>796341.8</v>
      </c>
    </row>
    <row r="54" spans="1:7" ht="12" customHeight="1" x14ac:dyDescent="0.2">
      <c r="A54" s="117"/>
      <c r="B54" s="117"/>
      <c r="C54" s="117"/>
      <c r="D54" s="117"/>
      <c r="E54" s="117"/>
      <c r="F54" s="117"/>
      <c r="G54" s="123"/>
    </row>
    <row r="55" spans="1:7" ht="12" customHeight="1" x14ac:dyDescent="0.2">
      <c r="A55" s="52"/>
      <c r="B55" s="52"/>
      <c r="C55" s="52"/>
      <c r="D55" s="52"/>
      <c r="E55" s="52"/>
      <c r="F55" s="52"/>
      <c r="G55" s="124"/>
    </row>
    <row r="56" spans="1:7" ht="20.399999999999999" x14ac:dyDescent="0.2">
      <c r="A56" s="111" t="s">
        <v>14</v>
      </c>
      <c r="B56" s="112" t="s">
        <v>13</v>
      </c>
      <c r="C56" s="113" t="s">
        <v>0</v>
      </c>
      <c r="D56" s="111" t="s">
        <v>1</v>
      </c>
      <c r="E56" s="114" t="s">
        <v>11</v>
      </c>
      <c r="F56" s="115" t="s">
        <v>2</v>
      </c>
      <c r="G56" s="116" t="s">
        <v>12</v>
      </c>
    </row>
    <row r="57" spans="1:7" ht="23.4" customHeight="1" x14ac:dyDescent="0.2">
      <c r="A57" s="148" t="s">
        <v>100</v>
      </c>
      <c r="B57" s="149"/>
      <c r="C57" s="149"/>
      <c r="D57" s="149"/>
      <c r="E57" s="149"/>
      <c r="F57" s="150"/>
      <c r="G57" s="99">
        <f>G53</f>
        <v>796341.8</v>
      </c>
    </row>
    <row r="58" spans="1:7" x14ac:dyDescent="0.2">
      <c r="A58" s="102"/>
      <c r="B58" s="29"/>
      <c r="C58" s="79"/>
      <c r="D58" s="28"/>
      <c r="E58" s="32"/>
      <c r="F58" s="24"/>
      <c r="G58" s="103"/>
    </row>
    <row r="59" spans="1:7" ht="12" customHeight="1" x14ac:dyDescent="0.2">
      <c r="A59" s="102" t="s">
        <v>129</v>
      </c>
      <c r="B59" s="29"/>
      <c r="C59" s="47" t="s">
        <v>128</v>
      </c>
      <c r="D59" s="10"/>
      <c r="E59" s="16"/>
      <c r="F59" s="24"/>
      <c r="G59" s="109"/>
    </row>
    <row r="60" spans="1:7" ht="20.100000000000001" customHeight="1" x14ac:dyDescent="0.2">
      <c r="A60" s="28"/>
      <c r="B60" s="29"/>
      <c r="C60" s="85"/>
      <c r="D60" s="10"/>
      <c r="E60" s="16"/>
      <c r="F60" s="24"/>
      <c r="G60" s="109"/>
    </row>
    <row r="61" spans="1:7" ht="12" customHeight="1" x14ac:dyDescent="0.2">
      <c r="A61" s="28" t="s">
        <v>103</v>
      </c>
      <c r="B61" s="29"/>
      <c r="C61" s="63" t="s">
        <v>130</v>
      </c>
      <c r="D61" s="56"/>
      <c r="E61" s="57"/>
      <c r="F61" s="24"/>
      <c r="G61" s="54"/>
    </row>
    <row r="62" spans="1:7" x14ac:dyDescent="0.2">
      <c r="A62" s="28"/>
      <c r="B62" s="29"/>
      <c r="C62" s="85"/>
      <c r="D62" s="10"/>
      <c r="E62" s="16"/>
      <c r="F62" s="24"/>
      <c r="G62" s="109"/>
    </row>
    <row r="63" spans="1:7" x14ac:dyDescent="0.2">
      <c r="A63" s="28"/>
      <c r="B63" s="29"/>
      <c r="C63" s="64" t="s">
        <v>131</v>
      </c>
      <c r="D63" s="5"/>
      <c r="E63" s="53"/>
      <c r="F63" s="24"/>
      <c r="G63" s="54"/>
    </row>
    <row r="64" spans="1:7" x14ac:dyDescent="0.2">
      <c r="A64" s="28"/>
      <c r="B64" s="29"/>
      <c r="C64" s="85"/>
      <c r="D64" s="10"/>
      <c r="E64" s="16"/>
      <c r="F64" s="24"/>
      <c r="G64" s="109"/>
    </row>
    <row r="65" spans="1:7" ht="61.2" x14ac:dyDescent="0.2">
      <c r="A65" s="28"/>
      <c r="B65" s="66">
        <v>13</v>
      </c>
      <c r="C65" s="65" t="s">
        <v>135</v>
      </c>
      <c r="D65" s="5" t="s">
        <v>40</v>
      </c>
      <c r="E65" s="67">
        <v>175</v>
      </c>
      <c r="F65" s="54">
        <v>550</v>
      </c>
      <c r="G65" s="108">
        <f>F65*E65</f>
        <v>96250</v>
      </c>
    </row>
    <row r="66" spans="1:7" ht="12" customHeight="1" x14ac:dyDescent="0.2">
      <c r="A66" s="28"/>
      <c r="B66" s="29"/>
      <c r="C66" s="85"/>
      <c r="D66" s="10"/>
      <c r="E66" s="16"/>
      <c r="F66" s="24"/>
      <c r="G66" s="109"/>
    </row>
    <row r="67" spans="1:7" ht="20.399999999999999" x14ac:dyDescent="0.2">
      <c r="A67" s="28"/>
      <c r="B67" s="66">
        <v>14</v>
      </c>
      <c r="C67" s="65" t="s">
        <v>144</v>
      </c>
      <c r="D67" s="5" t="s">
        <v>104</v>
      </c>
      <c r="E67" s="132">
        <v>32</v>
      </c>
      <c r="F67" s="54">
        <v>350</v>
      </c>
      <c r="G67" s="108">
        <f>F67*E67</f>
        <v>11200</v>
      </c>
    </row>
    <row r="68" spans="1:7" ht="12" customHeight="1" x14ac:dyDescent="0.2">
      <c r="A68" s="28"/>
      <c r="B68" s="29"/>
      <c r="C68" s="85"/>
      <c r="D68" s="10"/>
      <c r="E68" s="16"/>
      <c r="F68" s="24"/>
      <c r="G68" s="109"/>
    </row>
    <row r="69" spans="1:7" ht="12" customHeight="1" x14ac:dyDescent="0.2">
      <c r="A69" s="28"/>
      <c r="B69" s="29"/>
      <c r="C69" s="64" t="s">
        <v>132</v>
      </c>
      <c r="D69" s="10"/>
      <c r="E69" s="16"/>
      <c r="F69" s="24"/>
      <c r="G69" s="109"/>
    </row>
    <row r="70" spans="1:7" ht="12" customHeight="1" x14ac:dyDescent="0.2">
      <c r="A70" s="28"/>
      <c r="B70" s="29"/>
      <c r="C70" s="85"/>
      <c r="D70" s="10"/>
      <c r="E70" s="16"/>
      <c r="F70" s="24"/>
      <c r="G70" s="109"/>
    </row>
    <row r="71" spans="1:7" ht="61.2" x14ac:dyDescent="0.2">
      <c r="A71" s="28"/>
      <c r="B71" s="66">
        <v>15</v>
      </c>
      <c r="C71" s="65" t="s">
        <v>136</v>
      </c>
      <c r="D71" s="5" t="s">
        <v>40</v>
      </c>
      <c r="E71" s="67">
        <v>344</v>
      </c>
      <c r="F71" s="54">
        <v>495</v>
      </c>
      <c r="G71" s="108">
        <f>F71*E71</f>
        <v>170280</v>
      </c>
    </row>
    <row r="72" spans="1:7" ht="12" customHeight="1" x14ac:dyDescent="0.2">
      <c r="A72" s="28"/>
      <c r="B72" s="29"/>
      <c r="C72" s="85"/>
      <c r="D72" s="10"/>
      <c r="E72" s="16"/>
      <c r="F72" s="24"/>
      <c r="G72" s="109"/>
    </row>
    <row r="73" spans="1:7" ht="12" customHeight="1" x14ac:dyDescent="0.2">
      <c r="A73" s="28" t="s">
        <v>3</v>
      </c>
      <c r="B73" s="29"/>
      <c r="C73" s="63" t="s">
        <v>133</v>
      </c>
      <c r="D73" s="10"/>
      <c r="E73" s="16"/>
      <c r="F73" s="24"/>
      <c r="G73" s="109"/>
    </row>
    <row r="74" spans="1:7" x14ac:dyDescent="0.2">
      <c r="A74" s="28"/>
      <c r="B74" s="29"/>
      <c r="C74" s="85"/>
      <c r="D74" s="10"/>
      <c r="E74" s="16"/>
      <c r="F74" s="24"/>
      <c r="G74" s="109"/>
    </row>
    <row r="75" spans="1:7" ht="30.6" x14ac:dyDescent="0.2">
      <c r="A75" s="28"/>
      <c r="B75" s="66">
        <v>16</v>
      </c>
      <c r="C75" s="65" t="s">
        <v>137</v>
      </c>
      <c r="D75" s="5" t="s">
        <v>104</v>
      </c>
      <c r="E75" s="67">
        <v>16</v>
      </c>
      <c r="F75" s="54">
        <v>550</v>
      </c>
      <c r="G75" s="108">
        <f>F75*E75</f>
        <v>8800</v>
      </c>
    </row>
    <row r="76" spans="1:7" ht="12" customHeight="1" x14ac:dyDescent="0.2">
      <c r="A76" s="28"/>
      <c r="B76" s="66"/>
      <c r="C76" s="85"/>
      <c r="D76" s="10"/>
      <c r="E76" s="16"/>
      <c r="F76" s="24"/>
      <c r="G76" s="109"/>
    </row>
    <row r="77" spans="1:7" ht="20.399999999999999" x14ac:dyDescent="0.2">
      <c r="A77" s="28"/>
      <c r="B77" s="66">
        <v>17</v>
      </c>
      <c r="C77" s="65" t="s">
        <v>138</v>
      </c>
      <c r="D77" s="5" t="s">
        <v>104</v>
      </c>
      <c r="E77" s="67">
        <v>22</v>
      </c>
      <c r="F77" s="54">
        <v>550</v>
      </c>
      <c r="G77" s="108">
        <f>F77*E77</f>
        <v>12100</v>
      </c>
    </row>
    <row r="78" spans="1:7" x14ac:dyDescent="0.2">
      <c r="A78" s="28"/>
      <c r="B78" s="66"/>
      <c r="C78" s="85"/>
      <c r="D78" s="10"/>
      <c r="E78" s="16"/>
      <c r="F78" s="24"/>
      <c r="G78" s="109"/>
    </row>
    <row r="79" spans="1:7" ht="20.399999999999999" x14ac:dyDescent="0.2">
      <c r="A79" s="28"/>
      <c r="B79" s="66">
        <v>18</v>
      </c>
      <c r="C79" s="65" t="s">
        <v>140</v>
      </c>
      <c r="D79" s="5" t="s">
        <v>104</v>
      </c>
      <c r="E79" s="67">
        <v>26</v>
      </c>
      <c r="F79" s="54">
        <v>550</v>
      </c>
      <c r="G79" s="108">
        <f>F79*E79</f>
        <v>14300</v>
      </c>
    </row>
    <row r="80" spans="1:7" x14ac:dyDescent="0.2">
      <c r="A80" s="28"/>
      <c r="B80" s="66"/>
      <c r="C80" s="85"/>
      <c r="D80" s="10"/>
      <c r="E80" s="16"/>
      <c r="F80" s="24"/>
      <c r="G80" s="109"/>
    </row>
    <row r="81" spans="1:7" ht="20.399999999999999" x14ac:dyDescent="0.2">
      <c r="A81" s="28"/>
      <c r="B81" s="66">
        <v>19</v>
      </c>
      <c r="C81" s="65" t="s">
        <v>139</v>
      </c>
      <c r="D81" s="5" t="s">
        <v>104</v>
      </c>
      <c r="E81" s="67">
        <v>53</v>
      </c>
      <c r="F81" s="54">
        <v>550</v>
      </c>
      <c r="G81" s="108">
        <f>F81*E81</f>
        <v>29150</v>
      </c>
    </row>
    <row r="82" spans="1:7" x14ac:dyDescent="0.2">
      <c r="A82" s="28"/>
      <c r="B82" s="66"/>
      <c r="C82" s="133"/>
      <c r="D82" s="5"/>
      <c r="E82" s="67"/>
      <c r="F82" s="54"/>
      <c r="G82" s="108"/>
    </row>
    <row r="83" spans="1:7" ht="20.399999999999999" x14ac:dyDescent="0.2">
      <c r="A83" s="28"/>
      <c r="B83" s="66">
        <v>20</v>
      </c>
      <c r="C83" s="65" t="s">
        <v>149</v>
      </c>
      <c r="D83" s="5" t="s">
        <v>104</v>
      </c>
      <c r="E83" s="67">
        <v>14</v>
      </c>
      <c r="F83" s="54">
        <v>550</v>
      </c>
      <c r="G83" s="108">
        <f>F83*E83</f>
        <v>7700</v>
      </c>
    </row>
    <row r="84" spans="1:7" x14ac:dyDescent="0.2">
      <c r="A84" s="28"/>
      <c r="B84" s="66"/>
      <c r="C84" s="133"/>
      <c r="D84" s="5"/>
      <c r="E84" s="67"/>
      <c r="F84" s="54"/>
      <c r="G84" s="108"/>
    </row>
    <row r="85" spans="1:7" ht="23.4" customHeight="1" x14ac:dyDescent="0.2">
      <c r="A85" s="151" t="s">
        <v>151</v>
      </c>
      <c r="B85" s="152"/>
      <c r="C85" s="152"/>
      <c r="D85" s="152"/>
      <c r="E85" s="152"/>
      <c r="F85" s="153"/>
      <c r="G85" s="110">
        <f>SUM(G57:G84)</f>
        <v>1146121.8</v>
      </c>
    </row>
    <row r="87" spans="1:7" ht="12" customHeight="1" x14ac:dyDescent="0.2"/>
    <row r="89" spans="1:7" ht="12" customHeight="1" x14ac:dyDescent="0.2"/>
    <row r="90" spans="1:7" ht="20.25" customHeight="1" x14ac:dyDescent="0.2"/>
    <row r="91" spans="1:7" ht="12" customHeight="1" x14ac:dyDescent="0.2"/>
    <row r="93" spans="1:7" ht="12" customHeight="1" x14ac:dyDescent="0.2"/>
    <row r="95" spans="1:7" ht="12" customHeight="1" x14ac:dyDescent="0.2"/>
    <row r="97" ht="12" customHeight="1" x14ac:dyDescent="0.2"/>
    <row r="99" ht="12" customHeight="1" x14ac:dyDescent="0.2"/>
    <row r="101" ht="12" customHeight="1" x14ac:dyDescent="0.2"/>
    <row r="103" ht="12" customHeight="1" x14ac:dyDescent="0.2"/>
    <row r="108" ht="20.100000000000001" customHeight="1" x14ac:dyDescent="0.2"/>
    <row r="109" ht="12" customHeight="1" x14ac:dyDescent="0.2"/>
    <row r="112" ht="20.100000000000001" customHeight="1" x14ac:dyDescent="0.2"/>
    <row r="114" ht="12" customHeight="1" x14ac:dyDescent="0.2"/>
    <row r="115" ht="12" customHeight="1" x14ac:dyDescent="0.2"/>
    <row r="116" ht="12" customHeight="1" x14ac:dyDescent="0.2"/>
    <row r="117" ht="12" customHeight="1" x14ac:dyDescent="0.2"/>
    <row r="118" ht="12" customHeight="1" x14ac:dyDescent="0.2"/>
    <row r="119" ht="12" customHeight="1" x14ac:dyDescent="0.2"/>
    <row r="120" ht="12" customHeight="1" x14ac:dyDescent="0.2"/>
    <row r="121" ht="12" customHeight="1" x14ac:dyDescent="0.2"/>
    <row r="122" ht="12" customHeight="1" x14ac:dyDescent="0.2"/>
    <row r="123" ht="12" customHeight="1" x14ac:dyDescent="0.2"/>
    <row r="124" ht="12" customHeight="1" x14ac:dyDescent="0.2"/>
    <row r="126" ht="12" customHeight="1" x14ac:dyDescent="0.2"/>
    <row r="127" ht="12" customHeight="1" x14ac:dyDescent="0.2"/>
    <row r="128" ht="12" customHeight="1" x14ac:dyDescent="0.2"/>
    <row r="129" ht="12" customHeight="1" x14ac:dyDescent="0.2"/>
    <row r="130" ht="12" customHeight="1" x14ac:dyDescent="0.2"/>
    <row r="131" ht="12" customHeight="1" x14ac:dyDescent="0.2"/>
    <row r="132" ht="12" customHeight="1" x14ac:dyDescent="0.2"/>
    <row r="134" ht="12" customHeight="1" x14ac:dyDescent="0.2"/>
    <row r="135" ht="12" customHeight="1" x14ac:dyDescent="0.2"/>
    <row r="136" ht="12" customHeight="1" x14ac:dyDescent="0.2"/>
    <row r="137" ht="12" customHeight="1" x14ac:dyDescent="0.2"/>
    <row r="138" ht="12" customHeight="1" x14ac:dyDescent="0.2"/>
    <row r="139" ht="12" customHeight="1" x14ac:dyDescent="0.2"/>
    <row r="140" ht="12" customHeight="1" x14ac:dyDescent="0.2"/>
    <row r="161" ht="22.2" customHeight="1" x14ac:dyDescent="0.2"/>
  </sheetData>
  <mergeCells count="3">
    <mergeCell ref="A53:F53"/>
    <mergeCell ref="A57:F57"/>
    <mergeCell ref="A85:F85"/>
  </mergeCells>
  <pageMargins left="0.70866141732283472" right="0.23622047244094491" top="0.74803149606299213" bottom="0.74803149606299213" header="0.31496062992125984" footer="0.31496062992125984"/>
  <pageSetup paperSize="9" orientation="portrait" r:id="rId1"/>
  <headerFooter alignWithMargins="0"/>
  <rowBreaks count="1" manualBreakCount="1">
    <brk id="54" max="6"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7E7166-69ED-4E5B-94F8-9EFDFD393E29}">
  <dimension ref="A1:G161"/>
  <sheetViews>
    <sheetView showGridLines="0" view="pageBreakPreview" topLeftCell="A68" zoomScaleNormal="85" zoomScaleSheetLayoutView="100" workbookViewId="0">
      <selection activeCell="E29" sqref="E29"/>
    </sheetView>
  </sheetViews>
  <sheetFormatPr defaultColWidth="9.109375" defaultRowHeight="10.199999999999999" x14ac:dyDescent="0.2"/>
  <cols>
    <col min="1" max="1" width="9.88671875" style="17" customWidth="1"/>
    <col min="2" max="2" width="5.6640625" style="23" customWidth="1"/>
    <col min="3" max="3" width="43.33203125" style="15" customWidth="1"/>
    <col min="4" max="4" width="6.44140625" style="15" customWidth="1"/>
    <col min="5" max="5" width="8.6640625" style="25" customWidth="1"/>
    <col min="6" max="6" width="8.88671875" style="21" bestFit="1" customWidth="1"/>
    <col min="7" max="7" width="11.6640625" style="25" customWidth="1"/>
    <col min="8" max="16384" width="9.109375" style="15"/>
  </cols>
  <sheetData>
    <row r="1" spans="1:7" ht="12" customHeight="1" x14ac:dyDescent="0.2">
      <c r="A1" s="118" t="str">
        <f>'Section 1 - P&amp;G'!A1</f>
        <v>NAFASI WATER - ARNOT WASTE TREATMENT PLANT</v>
      </c>
      <c r="C1" s="75"/>
      <c r="D1" s="17"/>
      <c r="G1" s="88" t="str">
        <f>'Section 1 - P&amp;G'!G1</f>
        <v>Revision T1</v>
      </c>
    </row>
    <row r="2" spans="1:7" ht="12" customHeight="1" x14ac:dyDescent="0.2">
      <c r="A2" s="43" t="str">
        <f>'Section 1 - P&amp;G'!A2</f>
        <v>STRUCTURAL STEELWORK SCHEDULE OF QUANTITIES</v>
      </c>
      <c r="C2" s="75"/>
      <c r="D2" s="17"/>
      <c r="G2" s="90"/>
    </row>
    <row r="3" spans="1:7" ht="12" customHeight="1" x14ac:dyDescent="0.2">
      <c r="A3" s="43" t="s">
        <v>152</v>
      </c>
      <c r="C3" s="75"/>
      <c r="D3" s="17"/>
      <c r="G3" s="92">
        <f>'Section 1 - P&amp;G'!G3</f>
        <v>45183</v>
      </c>
    </row>
    <row r="4" spans="1:7" ht="12" customHeight="1" x14ac:dyDescent="0.2">
      <c r="C4" s="75"/>
      <c r="D4" s="17"/>
      <c r="G4" s="93"/>
    </row>
    <row r="5" spans="1:7" ht="22.5" customHeight="1" x14ac:dyDescent="0.2">
      <c r="A5" s="94" t="s">
        <v>14</v>
      </c>
      <c r="B5" s="95" t="s">
        <v>13</v>
      </c>
      <c r="C5" s="96" t="s">
        <v>0</v>
      </c>
      <c r="D5" s="94" t="s">
        <v>1</v>
      </c>
      <c r="E5" s="97" t="s">
        <v>11</v>
      </c>
      <c r="F5" s="98" t="s">
        <v>2</v>
      </c>
      <c r="G5" s="99" t="s">
        <v>12</v>
      </c>
    </row>
    <row r="6" spans="1:7" ht="12" customHeight="1" x14ac:dyDescent="0.2">
      <c r="A6" s="100"/>
      <c r="B6" s="29"/>
      <c r="C6" s="75"/>
      <c r="D6" s="28"/>
      <c r="E6" s="31"/>
      <c r="F6" s="24"/>
      <c r="G6" s="101"/>
    </row>
    <row r="7" spans="1:7" ht="12" customHeight="1" x14ac:dyDescent="0.2">
      <c r="A7" s="28"/>
      <c r="B7" s="29"/>
      <c r="C7" s="76" t="str">
        <f>A3</f>
        <v>SECTION 4: WORKSHOP</v>
      </c>
      <c r="D7" s="28"/>
      <c r="E7" s="31"/>
      <c r="F7" s="24"/>
      <c r="G7" s="101"/>
    </row>
    <row r="8" spans="1:7" ht="12" customHeight="1" x14ac:dyDescent="0.2">
      <c r="A8" s="28"/>
      <c r="B8" s="29"/>
      <c r="C8" s="75"/>
      <c r="D8" s="28"/>
      <c r="E8" s="31"/>
      <c r="F8" s="24"/>
      <c r="G8" s="101"/>
    </row>
    <row r="9" spans="1:7" ht="12" customHeight="1" x14ac:dyDescent="0.2">
      <c r="A9" s="102" t="s">
        <v>4</v>
      </c>
      <c r="B9" s="29"/>
      <c r="C9" s="47" t="s">
        <v>107</v>
      </c>
      <c r="D9" s="28"/>
      <c r="E9" s="32"/>
      <c r="F9" s="24"/>
      <c r="G9" s="101"/>
    </row>
    <row r="10" spans="1:7" ht="12" customHeight="1" x14ac:dyDescent="0.2">
      <c r="A10" s="102" t="s">
        <v>106</v>
      </c>
      <c r="B10" s="29"/>
      <c r="C10" s="75"/>
      <c r="D10" s="28"/>
      <c r="E10" s="33"/>
      <c r="F10" s="24"/>
      <c r="G10" s="103"/>
    </row>
    <row r="11" spans="1:7" ht="12" customHeight="1" x14ac:dyDescent="0.2">
      <c r="A11" s="28" t="s">
        <v>47</v>
      </c>
      <c r="B11" s="29"/>
      <c r="C11" s="76" t="s">
        <v>108</v>
      </c>
      <c r="D11" s="28"/>
      <c r="E11" s="33"/>
      <c r="F11" s="24"/>
      <c r="G11" s="103"/>
    </row>
    <row r="12" spans="1:7" ht="12" customHeight="1" x14ac:dyDescent="0.2">
      <c r="A12" s="28"/>
      <c r="B12" s="29"/>
      <c r="C12" s="77"/>
      <c r="D12" s="28"/>
      <c r="E12" s="33"/>
      <c r="F12" s="24"/>
      <c r="G12" s="103"/>
    </row>
    <row r="13" spans="1:7" ht="12" customHeight="1" x14ac:dyDescent="0.2">
      <c r="A13" s="28" t="s">
        <v>109</v>
      </c>
      <c r="B13" s="29">
        <v>1</v>
      </c>
      <c r="C13" s="75" t="s">
        <v>110</v>
      </c>
      <c r="D13" s="28" t="s">
        <v>45</v>
      </c>
      <c r="E13" s="60">
        <f>SUM(E20:E34)</f>
        <v>12.11</v>
      </c>
      <c r="F13" s="24">
        <v>1050</v>
      </c>
      <c r="G13" s="103">
        <f>F13*E13</f>
        <v>12715.5</v>
      </c>
    </row>
    <row r="14" spans="1:7" ht="12" customHeight="1" x14ac:dyDescent="0.2">
      <c r="A14" s="28"/>
      <c r="B14" s="29"/>
      <c r="C14" s="75"/>
      <c r="D14" s="28"/>
      <c r="E14" s="16"/>
      <c r="F14" s="24"/>
      <c r="G14" s="103"/>
    </row>
    <row r="15" spans="1:7" ht="12" customHeight="1" x14ac:dyDescent="0.2">
      <c r="A15" s="10" t="s">
        <v>111</v>
      </c>
      <c r="B15" s="29"/>
      <c r="C15" s="78" t="s">
        <v>112</v>
      </c>
      <c r="D15" s="28"/>
      <c r="E15" s="32"/>
      <c r="F15" s="24"/>
      <c r="G15" s="101"/>
    </row>
    <row r="16" spans="1:7" ht="12" customHeight="1" x14ac:dyDescent="0.2">
      <c r="A16" s="102"/>
      <c r="B16" s="29"/>
      <c r="C16" s="75" t="s">
        <v>113</v>
      </c>
      <c r="D16" s="28"/>
      <c r="E16" s="32"/>
      <c r="F16" s="24"/>
      <c r="G16" s="101"/>
    </row>
    <row r="17" spans="1:7" ht="12" customHeight="1" x14ac:dyDescent="0.2">
      <c r="A17" s="102"/>
      <c r="B17" s="29"/>
      <c r="C17" s="79"/>
      <c r="D17" s="28"/>
      <c r="E17" s="32"/>
      <c r="F17" s="24"/>
      <c r="G17" s="101"/>
    </row>
    <row r="18" spans="1:7" ht="12" customHeight="1" x14ac:dyDescent="0.2">
      <c r="A18" s="102"/>
      <c r="B18" s="29"/>
      <c r="C18" s="80" t="s">
        <v>114</v>
      </c>
      <c r="D18" s="28"/>
      <c r="E18" s="32"/>
      <c r="F18" s="24"/>
      <c r="G18" s="103"/>
    </row>
    <row r="19" spans="1:7" ht="12" customHeight="1" x14ac:dyDescent="0.2">
      <c r="A19" s="102"/>
      <c r="B19" s="29"/>
      <c r="C19" s="79"/>
      <c r="D19" s="28"/>
      <c r="E19" s="32"/>
      <c r="F19" s="24"/>
      <c r="G19" s="103"/>
    </row>
    <row r="20" spans="1:7" ht="12" customHeight="1" x14ac:dyDescent="0.2">
      <c r="A20" s="102"/>
      <c r="B20" s="29">
        <v>2</v>
      </c>
      <c r="C20" s="75" t="s">
        <v>142</v>
      </c>
      <c r="D20" s="28" t="s">
        <v>45</v>
      </c>
      <c r="E20" s="58">
        <v>2.86</v>
      </c>
      <c r="F20" s="24">
        <v>43560</v>
      </c>
      <c r="G20" s="103">
        <f>F20*E20</f>
        <v>124581.59999999999</v>
      </c>
    </row>
    <row r="21" spans="1:7" ht="12" customHeight="1" x14ac:dyDescent="0.2">
      <c r="A21" s="102"/>
      <c r="B21" s="29"/>
      <c r="C21" s="79"/>
      <c r="D21" s="28"/>
      <c r="E21" s="32"/>
      <c r="F21" s="24"/>
      <c r="G21" s="103"/>
    </row>
    <row r="22" spans="1:7" ht="12" customHeight="1" x14ac:dyDescent="0.2">
      <c r="A22" s="10"/>
      <c r="B22" s="29">
        <v>3</v>
      </c>
      <c r="C22" s="75" t="s">
        <v>148</v>
      </c>
      <c r="D22" s="28" t="s">
        <v>45</v>
      </c>
      <c r="E22" s="58">
        <v>0.49</v>
      </c>
      <c r="F22" s="24">
        <v>43560</v>
      </c>
      <c r="G22" s="103">
        <f>F22*E22</f>
        <v>21344.399999999998</v>
      </c>
    </row>
    <row r="23" spans="1:7" ht="12" customHeight="1" x14ac:dyDescent="0.2">
      <c r="A23" s="10"/>
      <c r="B23" s="29"/>
      <c r="C23" s="75"/>
      <c r="D23" s="28"/>
      <c r="E23" s="58"/>
      <c r="F23" s="24"/>
      <c r="G23" s="103"/>
    </row>
    <row r="24" spans="1:7" ht="12" customHeight="1" x14ac:dyDescent="0.2">
      <c r="A24" s="10"/>
      <c r="B24" s="29">
        <v>4</v>
      </c>
      <c r="C24" s="75" t="s">
        <v>143</v>
      </c>
      <c r="D24" s="28" t="s">
        <v>45</v>
      </c>
      <c r="E24" s="131">
        <v>2.72</v>
      </c>
      <c r="F24" s="24">
        <v>43560</v>
      </c>
      <c r="G24" s="103">
        <f>F24*E24</f>
        <v>118483.20000000001</v>
      </c>
    </row>
    <row r="25" spans="1:7" ht="12" customHeight="1" x14ac:dyDescent="0.2">
      <c r="A25" s="10"/>
      <c r="B25" s="29"/>
      <c r="C25" s="75"/>
      <c r="D25" s="28"/>
      <c r="E25" s="58"/>
      <c r="F25" s="24"/>
      <c r="G25" s="103"/>
    </row>
    <row r="26" spans="1:7" ht="12" customHeight="1" x14ac:dyDescent="0.2">
      <c r="A26" s="10"/>
      <c r="B26" s="29">
        <v>5</v>
      </c>
      <c r="C26" s="75" t="s">
        <v>115</v>
      </c>
      <c r="D26" s="28" t="s">
        <v>45</v>
      </c>
      <c r="E26" s="58">
        <v>2.0350000000000001</v>
      </c>
      <c r="F26" s="24">
        <v>40920</v>
      </c>
      <c r="G26" s="103">
        <f>F26*E26</f>
        <v>83272.200000000012</v>
      </c>
    </row>
    <row r="27" spans="1:7" ht="12" customHeight="1" x14ac:dyDescent="0.2">
      <c r="A27" s="10"/>
      <c r="B27" s="29"/>
      <c r="C27" s="75"/>
      <c r="D27" s="28"/>
      <c r="E27" s="58"/>
      <c r="F27" s="24"/>
      <c r="G27" s="103"/>
    </row>
    <row r="28" spans="1:7" ht="12" customHeight="1" x14ac:dyDescent="0.2">
      <c r="A28" s="10"/>
      <c r="B28" s="29">
        <v>6</v>
      </c>
      <c r="C28" s="75" t="s">
        <v>145</v>
      </c>
      <c r="D28" s="28" t="s">
        <v>45</v>
      </c>
      <c r="E28" s="58">
        <v>1.28</v>
      </c>
      <c r="F28" s="24">
        <v>43560</v>
      </c>
      <c r="G28" s="103">
        <f>F28*E28</f>
        <v>55756.800000000003</v>
      </c>
    </row>
    <row r="29" spans="1:7" ht="12" customHeight="1" x14ac:dyDescent="0.2">
      <c r="A29" s="10"/>
      <c r="B29" s="29"/>
      <c r="C29" s="75"/>
      <c r="D29" s="28"/>
      <c r="E29" s="58"/>
      <c r="F29" s="24"/>
      <c r="G29" s="103"/>
    </row>
    <row r="30" spans="1:7" ht="12" customHeight="1" x14ac:dyDescent="0.2">
      <c r="A30" s="10"/>
      <c r="B30" s="29"/>
      <c r="C30" s="81" t="s">
        <v>116</v>
      </c>
      <c r="D30" s="28"/>
      <c r="E30" s="58"/>
      <c r="F30" s="24"/>
      <c r="G30" s="103"/>
    </row>
    <row r="31" spans="1:7" ht="12" customHeight="1" x14ac:dyDescent="0.2">
      <c r="A31" s="10"/>
      <c r="B31" s="29"/>
      <c r="C31" s="81"/>
      <c r="D31" s="28"/>
      <c r="E31" s="58"/>
      <c r="F31" s="24"/>
      <c r="G31" s="103"/>
    </row>
    <row r="32" spans="1:7" ht="12" customHeight="1" x14ac:dyDescent="0.2">
      <c r="A32" s="10"/>
      <c r="B32" s="29">
        <v>7</v>
      </c>
      <c r="C32" s="82" t="s">
        <v>117</v>
      </c>
      <c r="D32" s="28" t="s">
        <v>45</v>
      </c>
      <c r="E32" s="58">
        <v>0.94499999999999995</v>
      </c>
      <c r="F32" s="24">
        <v>36800</v>
      </c>
      <c r="G32" s="103">
        <f>F32*E32</f>
        <v>34776</v>
      </c>
    </row>
    <row r="33" spans="1:7" ht="12" customHeight="1" x14ac:dyDescent="0.2">
      <c r="A33" s="10"/>
      <c r="B33" s="29"/>
      <c r="C33" s="75"/>
      <c r="D33" s="28"/>
      <c r="E33" s="58"/>
      <c r="F33" s="24"/>
      <c r="G33" s="103"/>
    </row>
    <row r="34" spans="1:7" ht="12" customHeight="1" x14ac:dyDescent="0.2">
      <c r="A34" s="10"/>
      <c r="B34" s="29">
        <v>8</v>
      </c>
      <c r="C34" s="82" t="s">
        <v>118</v>
      </c>
      <c r="D34" s="28" t="s">
        <v>45</v>
      </c>
      <c r="E34" s="58">
        <v>1.78</v>
      </c>
      <c r="F34" s="24">
        <v>36800</v>
      </c>
      <c r="G34" s="103">
        <f>F34*E34</f>
        <v>65504</v>
      </c>
    </row>
    <row r="35" spans="1:7" ht="12" customHeight="1" x14ac:dyDescent="0.2">
      <c r="A35" s="10"/>
      <c r="B35" s="29"/>
      <c r="C35" s="82"/>
      <c r="D35" s="28"/>
      <c r="E35" s="58"/>
      <c r="F35" s="24"/>
      <c r="G35" s="103"/>
    </row>
    <row r="36" spans="1:7" ht="12" customHeight="1" x14ac:dyDescent="0.2">
      <c r="A36" s="28" t="s">
        <v>3</v>
      </c>
      <c r="B36" s="29"/>
      <c r="C36" s="83" t="s">
        <v>119</v>
      </c>
      <c r="D36" s="28"/>
      <c r="E36" s="33"/>
      <c r="F36" s="24"/>
      <c r="G36" s="103"/>
    </row>
    <row r="37" spans="1:7" ht="12" customHeight="1" x14ac:dyDescent="0.2">
      <c r="A37" s="28"/>
      <c r="B37" s="29"/>
      <c r="C37" s="75"/>
      <c r="D37" s="28"/>
      <c r="E37" s="33"/>
      <c r="F37" s="24"/>
      <c r="G37" s="103"/>
    </row>
    <row r="38" spans="1:7" ht="12" customHeight="1" x14ac:dyDescent="0.2">
      <c r="A38" s="28" t="s">
        <v>24</v>
      </c>
      <c r="B38" s="29">
        <v>9</v>
      </c>
      <c r="C38" s="75" t="s">
        <v>120</v>
      </c>
      <c r="D38" s="28" t="s">
        <v>45</v>
      </c>
      <c r="E38" s="59">
        <f>E20+E22+E24+E26+E32+E34+E28</f>
        <v>12.11</v>
      </c>
      <c r="F38" s="24">
        <v>1250</v>
      </c>
      <c r="G38" s="103">
        <f>F38*E38</f>
        <v>15137.5</v>
      </c>
    </row>
    <row r="39" spans="1:7" ht="12" customHeight="1" x14ac:dyDescent="0.2">
      <c r="A39" s="28"/>
      <c r="B39" s="29"/>
      <c r="C39" s="75"/>
      <c r="D39" s="28"/>
      <c r="E39" s="33"/>
      <c r="F39" s="24"/>
      <c r="G39" s="103"/>
    </row>
    <row r="40" spans="1:7" ht="12" customHeight="1" x14ac:dyDescent="0.2">
      <c r="A40" s="28" t="s">
        <v>19</v>
      </c>
      <c r="B40" s="29"/>
      <c r="C40" s="83" t="s">
        <v>121</v>
      </c>
      <c r="D40" s="28"/>
      <c r="E40" s="22"/>
      <c r="F40" s="24"/>
      <c r="G40" s="103"/>
    </row>
    <row r="41" spans="1:7" ht="12" customHeight="1" x14ac:dyDescent="0.2">
      <c r="A41" s="102"/>
      <c r="B41" s="29"/>
      <c r="C41" s="84"/>
      <c r="D41" s="28"/>
      <c r="E41" s="32"/>
      <c r="F41" s="24"/>
      <c r="G41" s="101"/>
    </row>
    <row r="42" spans="1:7" ht="12" customHeight="1" x14ac:dyDescent="0.2">
      <c r="A42" s="102"/>
      <c r="B42" s="29">
        <v>10</v>
      </c>
      <c r="C42" s="82" t="s">
        <v>122</v>
      </c>
      <c r="D42" s="28" t="s">
        <v>45</v>
      </c>
      <c r="E42" s="59">
        <f>E46+E38</f>
        <v>12.654949999999999</v>
      </c>
      <c r="F42" s="24">
        <v>14250</v>
      </c>
      <c r="G42" s="103">
        <f>F42*E42</f>
        <v>180333.03750000001</v>
      </c>
    </row>
    <row r="43" spans="1:7" ht="13.2" x14ac:dyDescent="0.25">
      <c r="A43" s="28"/>
      <c r="B43" s="30"/>
      <c r="C43" s="77"/>
      <c r="D43" s="34"/>
      <c r="E43" s="16"/>
      <c r="F43" s="24"/>
      <c r="G43" s="104"/>
    </row>
    <row r="44" spans="1:7" ht="12" customHeight="1" x14ac:dyDescent="0.25">
      <c r="A44" s="28" t="s">
        <v>5</v>
      </c>
      <c r="B44" s="30"/>
      <c r="C44" s="83" t="s">
        <v>123</v>
      </c>
      <c r="D44" s="34"/>
      <c r="E44" s="16"/>
      <c r="F44" s="24"/>
      <c r="G44" s="104"/>
    </row>
    <row r="45" spans="1:7" ht="12" customHeight="1" x14ac:dyDescent="0.2">
      <c r="A45" s="105"/>
      <c r="B45" s="30"/>
      <c r="C45" s="75"/>
      <c r="D45" s="28"/>
      <c r="E45" s="22"/>
      <c r="F45" s="24"/>
      <c r="G45" s="103"/>
    </row>
    <row r="46" spans="1:7" ht="12" customHeight="1" x14ac:dyDescent="0.2">
      <c r="A46" s="106" t="s">
        <v>125</v>
      </c>
      <c r="B46" s="91">
        <v>11</v>
      </c>
      <c r="C46" s="69" t="s">
        <v>124</v>
      </c>
      <c r="D46" s="28" t="s">
        <v>45</v>
      </c>
      <c r="E46" s="60">
        <f>E38*0.045</f>
        <v>0.54494999999999993</v>
      </c>
      <c r="F46" s="24">
        <v>75750</v>
      </c>
      <c r="G46" s="103">
        <f>F46*E46</f>
        <v>41279.962499999994</v>
      </c>
    </row>
    <row r="47" spans="1:7" ht="12" customHeight="1" x14ac:dyDescent="0.2">
      <c r="A47" s="10"/>
      <c r="B47" s="29"/>
      <c r="C47" s="82"/>
      <c r="D47" s="28"/>
      <c r="E47" s="58"/>
      <c r="F47" s="24"/>
      <c r="G47" s="103"/>
    </row>
    <row r="48" spans="1:7" ht="12" customHeight="1" x14ac:dyDescent="0.2">
      <c r="A48" s="102" t="s">
        <v>127</v>
      </c>
      <c r="B48" s="30"/>
      <c r="C48" s="47" t="s">
        <v>126</v>
      </c>
      <c r="D48" s="28"/>
      <c r="E48" s="22"/>
      <c r="F48" s="24"/>
      <c r="G48" s="104"/>
    </row>
    <row r="49" spans="1:7" ht="13.2" x14ac:dyDescent="0.25">
      <c r="A49" s="107"/>
      <c r="B49" s="30"/>
      <c r="C49" s="75"/>
      <c r="D49" s="28"/>
      <c r="E49" s="22"/>
      <c r="F49" s="24"/>
      <c r="G49" s="103"/>
    </row>
    <row r="50" spans="1:7" ht="20.399999999999999" x14ac:dyDescent="0.2">
      <c r="A50" s="55" t="s">
        <v>18</v>
      </c>
      <c r="B50" s="61">
        <v>12</v>
      </c>
      <c r="C50" s="89" t="s">
        <v>134</v>
      </c>
      <c r="D50" s="55" t="s">
        <v>45</v>
      </c>
      <c r="E50" s="62">
        <f>E20+E22+E24+E26+E28+E32+E34</f>
        <v>12.11</v>
      </c>
      <c r="F50" s="54">
        <v>15100</v>
      </c>
      <c r="G50" s="108">
        <f>F50*E50</f>
        <v>182861</v>
      </c>
    </row>
    <row r="51" spans="1:7" ht="12" customHeight="1" x14ac:dyDescent="0.2">
      <c r="A51" s="102"/>
      <c r="B51" s="29"/>
      <c r="C51" s="79"/>
      <c r="D51" s="28"/>
      <c r="E51" s="32"/>
      <c r="F51" s="24"/>
      <c r="G51" s="103"/>
    </row>
    <row r="52" spans="1:7" ht="12" customHeight="1" x14ac:dyDescent="0.2">
      <c r="A52" s="102"/>
      <c r="B52" s="29"/>
      <c r="C52" s="79"/>
      <c r="D52" s="28"/>
      <c r="E52" s="32"/>
      <c r="F52" s="24"/>
      <c r="G52" s="103"/>
    </row>
    <row r="53" spans="1:7" ht="22.8" customHeight="1" x14ac:dyDescent="0.2">
      <c r="A53" s="148" t="s">
        <v>99</v>
      </c>
      <c r="B53" s="149"/>
      <c r="C53" s="149"/>
      <c r="D53" s="149"/>
      <c r="E53" s="149"/>
      <c r="F53" s="150"/>
      <c r="G53" s="110">
        <f>SUM(G6:G52)</f>
        <v>936045.2</v>
      </c>
    </row>
    <row r="54" spans="1:7" ht="12" customHeight="1" x14ac:dyDescent="0.2">
      <c r="A54" s="117"/>
      <c r="B54" s="117"/>
      <c r="C54" s="117"/>
      <c r="D54" s="117"/>
      <c r="E54" s="117"/>
      <c r="F54" s="117"/>
      <c r="G54" s="123"/>
    </row>
    <row r="55" spans="1:7" ht="12" customHeight="1" x14ac:dyDescent="0.2">
      <c r="A55" s="52"/>
      <c r="B55" s="52"/>
      <c r="C55" s="52"/>
      <c r="D55" s="52"/>
      <c r="E55" s="52"/>
      <c r="F55" s="52"/>
      <c r="G55" s="124"/>
    </row>
    <row r="56" spans="1:7" ht="20.399999999999999" x14ac:dyDescent="0.2">
      <c r="A56" s="111" t="s">
        <v>14</v>
      </c>
      <c r="B56" s="112" t="s">
        <v>13</v>
      </c>
      <c r="C56" s="113" t="s">
        <v>0</v>
      </c>
      <c r="D56" s="111" t="s">
        <v>1</v>
      </c>
      <c r="E56" s="114" t="s">
        <v>11</v>
      </c>
      <c r="F56" s="115" t="s">
        <v>2</v>
      </c>
      <c r="G56" s="116" t="s">
        <v>12</v>
      </c>
    </row>
    <row r="57" spans="1:7" ht="24" customHeight="1" x14ac:dyDescent="0.2">
      <c r="A57" s="148" t="s">
        <v>100</v>
      </c>
      <c r="B57" s="149"/>
      <c r="C57" s="149"/>
      <c r="D57" s="149"/>
      <c r="E57" s="149"/>
      <c r="F57" s="150"/>
      <c r="G57" s="99">
        <f>G53</f>
        <v>936045.2</v>
      </c>
    </row>
    <row r="58" spans="1:7" x14ac:dyDescent="0.2">
      <c r="A58" s="102"/>
      <c r="B58" s="29"/>
      <c r="C58" s="79"/>
      <c r="D58" s="28"/>
      <c r="E58" s="32"/>
      <c r="F58" s="24"/>
      <c r="G58" s="103"/>
    </row>
    <row r="59" spans="1:7" ht="12" customHeight="1" x14ac:dyDescent="0.2">
      <c r="A59" s="102" t="s">
        <v>129</v>
      </c>
      <c r="B59" s="29"/>
      <c r="C59" s="47" t="s">
        <v>128</v>
      </c>
      <c r="D59" s="10"/>
      <c r="E59" s="16"/>
      <c r="F59" s="24"/>
      <c r="G59" s="109"/>
    </row>
    <row r="60" spans="1:7" ht="20.100000000000001" customHeight="1" x14ac:dyDescent="0.2">
      <c r="A60" s="28"/>
      <c r="B60" s="29"/>
      <c r="C60" s="85"/>
      <c r="D60" s="10"/>
      <c r="E60" s="16"/>
      <c r="F60" s="24"/>
      <c r="G60" s="109"/>
    </row>
    <row r="61" spans="1:7" ht="12" customHeight="1" x14ac:dyDescent="0.2">
      <c r="A61" s="28" t="s">
        <v>103</v>
      </c>
      <c r="B61" s="29"/>
      <c r="C61" s="63" t="s">
        <v>130</v>
      </c>
      <c r="D61" s="56"/>
      <c r="E61" s="57"/>
      <c r="F61" s="24"/>
      <c r="G61" s="54"/>
    </row>
    <row r="62" spans="1:7" x14ac:dyDescent="0.2">
      <c r="A62" s="28"/>
      <c r="B62" s="29"/>
      <c r="C62" s="85"/>
      <c r="D62" s="10"/>
      <c r="E62" s="16"/>
      <c r="F62" s="24"/>
      <c r="G62" s="109"/>
    </row>
    <row r="63" spans="1:7" x14ac:dyDescent="0.2">
      <c r="A63" s="28"/>
      <c r="B63" s="29"/>
      <c r="C63" s="64" t="s">
        <v>131</v>
      </c>
      <c r="D63" s="5"/>
      <c r="E63" s="53"/>
      <c r="F63" s="24"/>
      <c r="G63" s="54"/>
    </row>
    <row r="64" spans="1:7" x14ac:dyDescent="0.2">
      <c r="A64" s="28"/>
      <c r="B64" s="29"/>
      <c r="C64" s="85"/>
      <c r="D64" s="10"/>
      <c r="E64" s="16"/>
      <c r="F64" s="24"/>
      <c r="G64" s="109"/>
    </row>
    <row r="65" spans="1:7" ht="61.2" x14ac:dyDescent="0.2">
      <c r="A65" s="28"/>
      <c r="B65" s="66">
        <v>13</v>
      </c>
      <c r="C65" s="65" t="s">
        <v>135</v>
      </c>
      <c r="D65" s="5" t="s">
        <v>40</v>
      </c>
      <c r="E65" s="67">
        <v>230</v>
      </c>
      <c r="F65" s="54">
        <v>550</v>
      </c>
      <c r="G65" s="108">
        <f>F65*E65</f>
        <v>126500</v>
      </c>
    </row>
    <row r="66" spans="1:7" ht="12" customHeight="1" x14ac:dyDescent="0.2">
      <c r="A66" s="28"/>
      <c r="B66" s="29"/>
      <c r="C66" s="85"/>
      <c r="D66" s="10"/>
      <c r="E66" s="16"/>
      <c r="F66" s="24"/>
      <c r="G66" s="109"/>
    </row>
    <row r="67" spans="1:7" ht="20.399999999999999" x14ac:dyDescent="0.2">
      <c r="A67" s="28"/>
      <c r="B67" s="66">
        <v>14</v>
      </c>
      <c r="C67" s="65" t="s">
        <v>144</v>
      </c>
      <c r="D67" s="5" t="s">
        <v>104</v>
      </c>
      <c r="E67" s="132">
        <v>42</v>
      </c>
      <c r="F67" s="54">
        <v>350</v>
      </c>
      <c r="G67" s="108">
        <f>F67*E67</f>
        <v>14700</v>
      </c>
    </row>
    <row r="68" spans="1:7" ht="12" customHeight="1" x14ac:dyDescent="0.2">
      <c r="A68" s="28"/>
      <c r="B68" s="29"/>
      <c r="C68" s="85"/>
      <c r="D68" s="10"/>
      <c r="E68" s="16"/>
      <c r="F68" s="24"/>
      <c r="G68" s="109"/>
    </row>
    <row r="69" spans="1:7" ht="12" customHeight="1" x14ac:dyDescent="0.2">
      <c r="A69" s="28"/>
      <c r="B69" s="29"/>
      <c r="C69" s="64" t="s">
        <v>132</v>
      </c>
      <c r="D69" s="10"/>
      <c r="E69" s="16"/>
      <c r="F69" s="24"/>
      <c r="G69" s="109"/>
    </row>
    <row r="70" spans="1:7" ht="12" customHeight="1" x14ac:dyDescent="0.2">
      <c r="A70" s="28"/>
      <c r="B70" s="29"/>
      <c r="C70" s="85"/>
      <c r="D70" s="10"/>
      <c r="E70" s="16"/>
      <c r="F70" s="24"/>
      <c r="G70" s="109"/>
    </row>
    <row r="71" spans="1:7" ht="61.2" x14ac:dyDescent="0.2">
      <c r="A71" s="28"/>
      <c r="B71" s="66">
        <v>15</v>
      </c>
      <c r="C71" s="65" t="s">
        <v>136</v>
      </c>
      <c r="D71" s="5" t="s">
        <v>40</v>
      </c>
      <c r="E71" s="67">
        <v>409</v>
      </c>
      <c r="F71" s="54">
        <v>495</v>
      </c>
      <c r="G71" s="108">
        <f>F71*E71</f>
        <v>202455</v>
      </c>
    </row>
    <row r="72" spans="1:7" ht="12" customHeight="1" x14ac:dyDescent="0.2">
      <c r="A72" s="28"/>
      <c r="B72" s="29"/>
      <c r="C72" s="85"/>
      <c r="D72" s="10"/>
      <c r="E72" s="16"/>
      <c r="F72" s="24"/>
      <c r="G72" s="109"/>
    </row>
    <row r="73" spans="1:7" ht="12" customHeight="1" x14ac:dyDescent="0.2">
      <c r="A73" s="28" t="s">
        <v>3</v>
      </c>
      <c r="B73" s="29"/>
      <c r="C73" s="63" t="s">
        <v>133</v>
      </c>
      <c r="D73" s="10"/>
      <c r="E73" s="16"/>
      <c r="F73" s="24"/>
      <c r="G73" s="109"/>
    </row>
    <row r="74" spans="1:7" x14ac:dyDescent="0.2">
      <c r="A74" s="28"/>
      <c r="B74" s="29"/>
      <c r="C74" s="85"/>
      <c r="D74" s="10"/>
      <c r="E74" s="16"/>
      <c r="F74" s="24"/>
      <c r="G74" s="109"/>
    </row>
    <row r="75" spans="1:7" ht="30.6" x14ac:dyDescent="0.2">
      <c r="A75" s="28"/>
      <c r="B75" s="66">
        <v>16</v>
      </c>
      <c r="C75" s="65" t="s">
        <v>137</v>
      </c>
      <c r="D75" s="5" t="s">
        <v>104</v>
      </c>
      <c r="E75" s="67">
        <v>22</v>
      </c>
      <c r="F75" s="54">
        <v>550</v>
      </c>
      <c r="G75" s="108">
        <f>F75*E75</f>
        <v>12100</v>
      </c>
    </row>
    <row r="76" spans="1:7" ht="12" customHeight="1" x14ac:dyDescent="0.2">
      <c r="A76" s="28"/>
      <c r="B76" s="66"/>
      <c r="C76" s="85"/>
      <c r="D76" s="10"/>
      <c r="E76" s="16"/>
      <c r="F76" s="24"/>
      <c r="G76" s="109"/>
    </row>
    <row r="77" spans="1:7" ht="20.399999999999999" x14ac:dyDescent="0.2">
      <c r="A77" s="28"/>
      <c r="B77" s="66">
        <v>17</v>
      </c>
      <c r="C77" s="65" t="s">
        <v>138</v>
      </c>
      <c r="D77" s="5" t="s">
        <v>104</v>
      </c>
      <c r="E77" s="67">
        <v>22</v>
      </c>
      <c r="F77" s="54">
        <v>550</v>
      </c>
      <c r="G77" s="108">
        <f>F77*E77</f>
        <v>12100</v>
      </c>
    </row>
    <row r="78" spans="1:7" x14ac:dyDescent="0.2">
      <c r="A78" s="28"/>
      <c r="B78" s="66"/>
      <c r="C78" s="85"/>
      <c r="D78" s="10"/>
      <c r="E78" s="16"/>
      <c r="F78" s="24"/>
      <c r="G78" s="109"/>
    </row>
    <row r="79" spans="1:7" ht="20.399999999999999" x14ac:dyDescent="0.2">
      <c r="A79" s="28"/>
      <c r="B79" s="66">
        <v>18</v>
      </c>
      <c r="C79" s="65" t="s">
        <v>140</v>
      </c>
      <c r="D79" s="5" t="s">
        <v>104</v>
      </c>
      <c r="E79" s="67">
        <v>26</v>
      </c>
      <c r="F79" s="54">
        <v>550</v>
      </c>
      <c r="G79" s="108">
        <f>F79*E79</f>
        <v>14300</v>
      </c>
    </row>
    <row r="80" spans="1:7" x14ac:dyDescent="0.2">
      <c r="A80" s="28"/>
      <c r="B80" s="66"/>
      <c r="C80" s="85"/>
      <c r="D80" s="10"/>
      <c r="E80" s="16"/>
      <c r="F80" s="24"/>
      <c r="G80" s="109"/>
    </row>
    <row r="81" spans="1:7" ht="20.399999999999999" x14ac:dyDescent="0.2">
      <c r="A81" s="28"/>
      <c r="B81" s="66">
        <v>19</v>
      </c>
      <c r="C81" s="65" t="s">
        <v>139</v>
      </c>
      <c r="D81" s="5" t="s">
        <v>104</v>
      </c>
      <c r="E81" s="67">
        <v>64</v>
      </c>
      <c r="F81" s="54">
        <v>550</v>
      </c>
      <c r="G81" s="108">
        <f>F81*E81</f>
        <v>35200</v>
      </c>
    </row>
    <row r="82" spans="1:7" x14ac:dyDescent="0.2">
      <c r="A82" s="28"/>
      <c r="B82" s="66"/>
      <c r="C82" s="133"/>
      <c r="D82" s="5"/>
      <c r="E82" s="67"/>
      <c r="F82" s="54"/>
      <c r="G82" s="108"/>
    </row>
    <row r="83" spans="1:7" ht="20.399999999999999" x14ac:dyDescent="0.2">
      <c r="A83" s="28"/>
      <c r="B83" s="66">
        <v>20</v>
      </c>
      <c r="C83" s="65" t="s">
        <v>149</v>
      </c>
      <c r="D83" s="5" t="s">
        <v>104</v>
      </c>
      <c r="E83" s="67">
        <v>14</v>
      </c>
      <c r="F83" s="54">
        <v>550</v>
      </c>
      <c r="G83" s="108">
        <f>F83*E83</f>
        <v>7700</v>
      </c>
    </row>
    <row r="84" spans="1:7" x14ac:dyDescent="0.2">
      <c r="A84" s="28"/>
      <c r="B84" s="66"/>
      <c r="C84" s="133"/>
      <c r="D84" s="5"/>
      <c r="E84" s="67"/>
      <c r="F84" s="54"/>
      <c r="G84" s="108"/>
    </row>
    <row r="85" spans="1:7" ht="24" customHeight="1" x14ac:dyDescent="0.2">
      <c r="A85" s="151" t="s">
        <v>153</v>
      </c>
      <c r="B85" s="152"/>
      <c r="C85" s="152"/>
      <c r="D85" s="152"/>
      <c r="E85" s="152"/>
      <c r="F85" s="153"/>
      <c r="G85" s="110">
        <f>SUM(G57:G84)</f>
        <v>1361100.2</v>
      </c>
    </row>
    <row r="87" spans="1:7" ht="12" customHeight="1" x14ac:dyDescent="0.2"/>
    <row r="89" spans="1:7" ht="12" customHeight="1" x14ac:dyDescent="0.2"/>
    <row r="90" spans="1:7" ht="20.25" customHeight="1" x14ac:dyDescent="0.2"/>
    <row r="91" spans="1:7" ht="12" customHeight="1" x14ac:dyDescent="0.2"/>
    <row r="93" spans="1:7" ht="12" customHeight="1" x14ac:dyDescent="0.2"/>
    <row r="95" spans="1:7" ht="12" customHeight="1" x14ac:dyDescent="0.2"/>
    <row r="97" ht="12" customHeight="1" x14ac:dyDescent="0.2"/>
    <row r="99" ht="12" customHeight="1" x14ac:dyDescent="0.2"/>
    <row r="101" ht="12" customHeight="1" x14ac:dyDescent="0.2"/>
    <row r="103" ht="12" customHeight="1" x14ac:dyDescent="0.2"/>
    <row r="108" ht="20.100000000000001" customHeight="1" x14ac:dyDescent="0.2"/>
    <row r="109" ht="12" customHeight="1" x14ac:dyDescent="0.2"/>
    <row r="112" ht="20.100000000000001" customHeight="1" x14ac:dyDescent="0.2"/>
    <row r="114" ht="12" customHeight="1" x14ac:dyDescent="0.2"/>
    <row r="115" ht="12" customHeight="1" x14ac:dyDescent="0.2"/>
    <row r="116" ht="12" customHeight="1" x14ac:dyDescent="0.2"/>
    <row r="117" ht="12" customHeight="1" x14ac:dyDescent="0.2"/>
    <row r="118" ht="12" customHeight="1" x14ac:dyDescent="0.2"/>
    <row r="119" ht="12" customHeight="1" x14ac:dyDescent="0.2"/>
    <row r="120" ht="12" customHeight="1" x14ac:dyDescent="0.2"/>
    <row r="121" ht="12" customHeight="1" x14ac:dyDescent="0.2"/>
    <row r="122" ht="12" customHeight="1" x14ac:dyDescent="0.2"/>
    <row r="123" ht="12" customHeight="1" x14ac:dyDescent="0.2"/>
    <row r="124" ht="12" customHeight="1" x14ac:dyDescent="0.2"/>
    <row r="126" ht="12" customHeight="1" x14ac:dyDescent="0.2"/>
    <row r="127" ht="12" customHeight="1" x14ac:dyDescent="0.2"/>
    <row r="128" ht="12" customHeight="1" x14ac:dyDescent="0.2"/>
    <row r="129" ht="12" customHeight="1" x14ac:dyDescent="0.2"/>
    <row r="130" ht="12" customHeight="1" x14ac:dyDescent="0.2"/>
    <row r="131" ht="12" customHeight="1" x14ac:dyDescent="0.2"/>
    <row r="132" ht="12" customHeight="1" x14ac:dyDescent="0.2"/>
    <row r="134" ht="12" customHeight="1" x14ac:dyDescent="0.2"/>
    <row r="135" ht="12" customHeight="1" x14ac:dyDescent="0.2"/>
    <row r="136" ht="12" customHeight="1" x14ac:dyDescent="0.2"/>
    <row r="137" ht="12" customHeight="1" x14ac:dyDescent="0.2"/>
    <row r="138" ht="12" customHeight="1" x14ac:dyDescent="0.2"/>
    <row r="139" ht="12" customHeight="1" x14ac:dyDescent="0.2"/>
    <row r="140" ht="12" customHeight="1" x14ac:dyDescent="0.2"/>
    <row r="161" ht="22.2" customHeight="1" x14ac:dyDescent="0.2"/>
  </sheetData>
  <mergeCells count="3">
    <mergeCell ref="A53:F53"/>
    <mergeCell ref="A57:F57"/>
    <mergeCell ref="A85:F85"/>
  </mergeCells>
  <pageMargins left="0.70866141732283472" right="0.23622047244094491" top="0.74803149606299213" bottom="0.74803149606299213" header="0.31496062992125984" footer="0.31496062992125984"/>
  <pageSetup paperSize="9" orientation="portrait" r:id="rId1"/>
  <headerFooter alignWithMargins="0"/>
  <rowBreaks count="1" manualBreakCount="1">
    <brk id="54" max="6"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47A3EA-E107-4489-8D23-AF8F44FD783C}">
  <dimension ref="A1:G163"/>
  <sheetViews>
    <sheetView showGridLines="0" view="pageBreakPreview" topLeftCell="A90" zoomScaleNormal="85" zoomScaleSheetLayoutView="100" workbookViewId="0">
      <selection activeCell="F63" sqref="F63"/>
    </sheetView>
  </sheetViews>
  <sheetFormatPr defaultColWidth="9.109375" defaultRowHeight="10.199999999999999" x14ac:dyDescent="0.2"/>
  <cols>
    <col min="1" max="1" width="9.88671875" style="17" customWidth="1"/>
    <col min="2" max="2" width="5.6640625" style="23" customWidth="1"/>
    <col min="3" max="3" width="43.33203125" style="15" customWidth="1"/>
    <col min="4" max="4" width="6.44140625" style="15" customWidth="1"/>
    <col min="5" max="5" width="8.6640625" style="25" customWidth="1"/>
    <col min="6" max="6" width="8.88671875" style="21" bestFit="1" customWidth="1"/>
    <col min="7" max="7" width="11.6640625" style="25" customWidth="1"/>
    <col min="8" max="16384" width="9.109375" style="15"/>
  </cols>
  <sheetData>
    <row r="1" spans="1:7" ht="12" customHeight="1" x14ac:dyDescent="0.2">
      <c r="A1" s="118" t="str">
        <f>'Section 1 - P&amp;G'!A1</f>
        <v>NAFASI WATER - ARNOT WASTE TREATMENT PLANT</v>
      </c>
      <c r="C1" s="75"/>
      <c r="D1" s="17"/>
      <c r="G1" s="88" t="str">
        <f>'Section 1 - P&amp;G'!G1</f>
        <v>Revision T1</v>
      </c>
    </row>
    <row r="2" spans="1:7" ht="12" customHeight="1" x14ac:dyDescent="0.2">
      <c r="A2" s="43" t="str">
        <f>'Section 1 - P&amp;G'!A2</f>
        <v>STRUCTURAL STEELWORK SCHEDULE OF QUANTITIES</v>
      </c>
      <c r="C2" s="75"/>
      <c r="D2" s="17"/>
      <c r="G2" s="90"/>
    </row>
    <row r="3" spans="1:7" ht="12" customHeight="1" x14ac:dyDescent="0.2">
      <c r="A3" s="43" t="s">
        <v>154</v>
      </c>
      <c r="C3" s="75"/>
      <c r="D3" s="17"/>
      <c r="G3" s="92">
        <f>'Section 1 - P&amp;G'!G3</f>
        <v>45183</v>
      </c>
    </row>
    <row r="4" spans="1:7" ht="12" customHeight="1" x14ac:dyDescent="0.2">
      <c r="C4" s="75"/>
      <c r="D4" s="17"/>
      <c r="G4" s="93"/>
    </row>
    <row r="5" spans="1:7" ht="22.5" customHeight="1" x14ac:dyDescent="0.2">
      <c r="A5" s="94" t="s">
        <v>14</v>
      </c>
      <c r="B5" s="95" t="s">
        <v>13</v>
      </c>
      <c r="C5" s="96" t="s">
        <v>0</v>
      </c>
      <c r="D5" s="94" t="s">
        <v>1</v>
      </c>
      <c r="E5" s="97" t="s">
        <v>11</v>
      </c>
      <c r="F5" s="98" t="s">
        <v>2</v>
      </c>
      <c r="G5" s="99" t="s">
        <v>12</v>
      </c>
    </row>
    <row r="6" spans="1:7" ht="12" customHeight="1" x14ac:dyDescent="0.2">
      <c r="A6" s="100"/>
      <c r="B6" s="29"/>
      <c r="C6" s="75"/>
      <c r="D6" s="28"/>
      <c r="E6" s="31"/>
      <c r="F6" s="24"/>
      <c r="G6" s="101"/>
    </row>
    <row r="7" spans="1:7" ht="12" customHeight="1" x14ac:dyDescent="0.2">
      <c r="A7" s="28"/>
      <c r="B7" s="29"/>
      <c r="C7" s="76" t="str">
        <f>A3</f>
        <v>SECTION 5: PIPERACKS AND STAICASES</v>
      </c>
      <c r="D7" s="28"/>
      <c r="E7" s="31"/>
      <c r="F7" s="24"/>
      <c r="G7" s="101"/>
    </row>
    <row r="8" spans="1:7" ht="12" customHeight="1" x14ac:dyDescent="0.2">
      <c r="A8" s="28"/>
      <c r="B8" s="29"/>
      <c r="C8" s="75"/>
      <c r="D8" s="28"/>
      <c r="E8" s="31"/>
      <c r="F8" s="24"/>
      <c r="G8" s="101"/>
    </row>
    <row r="9" spans="1:7" ht="12" customHeight="1" x14ac:dyDescent="0.2">
      <c r="A9" s="102" t="s">
        <v>4</v>
      </c>
      <c r="B9" s="29"/>
      <c r="C9" s="47" t="s">
        <v>107</v>
      </c>
      <c r="D9" s="28"/>
      <c r="E9" s="32"/>
      <c r="F9" s="24"/>
      <c r="G9" s="101"/>
    </row>
    <row r="10" spans="1:7" ht="12" customHeight="1" x14ac:dyDescent="0.2">
      <c r="A10" s="102" t="s">
        <v>106</v>
      </c>
      <c r="B10" s="29"/>
      <c r="C10" s="75"/>
      <c r="D10" s="28"/>
      <c r="E10" s="33"/>
      <c r="F10" s="24"/>
      <c r="G10" s="103"/>
    </row>
    <row r="11" spans="1:7" ht="12" customHeight="1" x14ac:dyDescent="0.2">
      <c r="A11" s="28" t="s">
        <v>47</v>
      </c>
      <c r="B11" s="29"/>
      <c r="C11" s="76" t="s">
        <v>108</v>
      </c>
      <c r="D11" s="28"/>
      <c r="E11" s="33"/>
      <c r="F11" s="24"/>
      <c r="G11" s="103"/>
    </row>
    <row r="12" spans="1:7" ht="12" customHeight="1" x14ac:dyDescent="0.2">
      <c r="A12" s="28"/>
      <c r="B12" s="29"/>
      <c r="C12" s="77"/>
      <c r="D12" s="28"/>
      <c r="E12" s="33"/>
      <c r="F12" s="24"/>
      <c r="G12" s="103"/>
    </row>
    <row r="13" spans="1:7" ht="12" customHeight="1" x14ac:dyDescent="0.2">
      <c r="A13" s="28" t="s">
        <v>109</v>
      </c>
      <c r="B13" s="29">
        <v>1</v>
      </c>
      <c r="C13" s="75" t="s">
        <v>110</v>
      </c>
      <c r="D13" s="28" t="s">
        <v>45</v>
      </c>
      <c r="E13" s="60">
        <f>SUM(E20:E28)</f>
        <v>121.30500000000001</v>
      </c>
      <c r="F13" s="24">
        <v>1050</v>
      </c>
      <c r="G13" s="103">
        <f>F13*E13</f>
        <v>127370.25</v>
      </c>
    </row>
    <row r="14" spans="1:7" ht="12" customHeight="1" x14ac:dyDescent="0.2">
      <c r="A14" s="28"/>
      <c r="B14" s="29"/>
      <c r="C14" s="75"/>
      <c r="D14" s="28"/>
      <c r="E14" s="16"/>
      <c r="F14" s="24"/>
      <c r="G14" s="103"/>
    </row>
    <row r="15" spans="1:7" ht="12" customHeight="1" x14ac:dyDescent="0.2">
      <c r="A15" s="10" t="s">
        <v>111</v>
      </c>
      <c r="B15" s="29"/>
      <c r="C15" s="78" t="s">
        <v>112</v>
      </c>
      <c r="D15" s="28"/>
      <c r="E15" s="32"/>
      <c r="F15" s="24"/>
      <c r="G15" s="101"/>
    </row>
    <row r="16" spans="1:7" ht="12" customHeight="1" x14ac:dyDescent="0.2">
      <c r="A16" s="102"/>
      <c r="B16" s="29"/>
      <c r="C16" s="75" t="s">
        <v>113</v>
      </c>
      <c r="D16" s="28"/>
      <c r="E16" s="32"/>
      <c r="F16" s="24"/>
      <c r="G16" s="101"/>
    </row>
    <row r="17" spans="1:7" ht="12" customHeight="1" x14ac:dyDescent="0.2">
      <c r="A17" s="102"/>
      <c r="B17" s="29"/>
      <c r="C17" s="79"/>
      <c r="D17" s="28"/>
      <c r="E17" s="32"/>
      <c r="F17" s="24"/>
      <c r="G17" s="101"/>
    </row>
    <row r="18" spans="1:7" ht="12" customHeight="1" x14ac:dyDescent="0.2">
      <c r="A18" s="102"/>
      <c r="B18" s="29"/>
      <c r="C18" s="80" t="s">
        <v>114</v>
      </c>
      <c r="D18" s="28"/>
      <c r="E18" s="32"/>
      <c r="F18" s="24"/>
      <c r="G18" s="103"/>
    </row>
    <row r="19" spans="1:7" ht="12" customHeight="1" x14ac:dyDescent="0.2">
      <c r="A19" s="102"/>
      <c r="B19" s="29"/>
      <c r="C19" s="79"/>
      <c r="D19" s="28"/>
      <c r="E19" s="32"/>
      <c r="F19" s="24"/>
      <c r="G19" s="103"/>
    </row>
    <row r="20" spans="1:7" ht="12" customHeight="1" x14ac:dyDescent="0.2">
      <c r="A20" s="102"/>
      <c r="B20" s="29">
        <v>2</v>
      </c>
      <c r="C20" s="75" t="s">
        <v>142</v>
      </c>
      <c r="D20" s="28" t="s">
        <v>45</v>
      </c>
      <c r="E20" s="58">
        <v>38.506999999999998</v>
      </c>
      <c r="F20" s="24">
        <v>43560</v>
      </c>
      <c r="G20" s="103">
        <f>F20*E20</f>
        <v>1677364.92</v>
      </c>
    </row>
    <row r="21" spans="1:7" ht="12" customHeight="1" x14ac:dyDescent="0.2">
      <c r="A21" s="102"/>
      <c r="B21" s="29"/>
      <c r="C21" s="79"/>
      <c r="D21" s="28"/>
      <c r="E21" s="32"/>
      <c r="F21" s="24"/>
      <c r="G21" s="103"/>
    </row>
    <row r="22" spans="1:7" ht="12" customHeight="1" x14ac:dyDescent="0.2">
      <c r="A22" s="10"/>
      <c r="B22" s="29">
        <v>3</v>
      </c>
      <c r="C22" s="75" t="s">
        <v>143</v>
      </c>
      <c r="D22" s="28" t="s">
        <v>45</v>
      </c>
      <c r="E22" s="131">
        <v>65</v>
      </c>
      <c r="F22" s="24">
        <v>43560</v>
      </c>
      <c r="G22" s="103">
        <f>F22*E22</f>
        <v>2831400</v>
      </c>
    </row>
    <row r="23" spans="1:7" ht="12" customHeight="1" x14ac:dyDescent="0.2">
      <c r="A23" s="10"/>
      <c r="B23" s="29"/>
      <c r="C23" s="75"/>
      <c r="D23" s="28"/>
      <c r="E23" s="58"/>
      <c r="F23" s="24"/>
      <c r="G23" s="103"/>
    </row>
    <row r="24" spans="1:7" ht="12" customHeight="1" x14ac:dyDescent="0.2">
      <c r="A24" s="10"/>
      <c r="B24" s="29">
        <v>4</v>
      </c>
      <c r="C24" s="75" t="s">
        <v>115</v>
      </c>
      <c r="D24" s="28" t="s">
        <v>45</v>
      </c>
      <c r="E24" s="58">
        <v>11.278</v>
      </c>
      <c r="F24" s="24">
        <v>40920</v>
      </c>
      <c r="G24" s="103">
        <f>F24*E24</f>
        <v>461495.76</v>
      </c>
    </row>
    <row r="25" spans="1:7" ht="12" customHeight="1" x14ac:dyDescent="0.2">
      <c r="A25" s="10"/>
      <c r="B25" s="29"/>
      <c r="C25" s="75"/>
      <c r="D25" s="28"/>
      <c r="E25" s="58"/>
      <c r="F25" s="24"/>
      <c r="G25" s="103"/>
    </row>
    <row r="26" spans="1:7" ht="12" customHeight="1" x14ac:dyDescent="0.2">
      <c r="A26" s="10"/>
      <c r="B26" s="29"/>
      <c r="C26" s="81" t="s">
        <v>116</v>
      </c>
      <c r="D26" s="28"/>
      <c r="E26" s="58"/>
      <c r="F26" s="24"/>
      <c r="G26" s="103"/>
    </row>
    <row r="27" spans="1:7" ht="12" customHeight="1" x14ac:dyDescent="0.2">
      <c r="A27" s="10"/>
      <c r="B27" s="29"/>
      <c r="C27" s="81"/>
      <c r="D27" s="28"/>
      <c r="E27" s="58"/>
      <c r="F27" s="24"/>
      <c r="G27" s="103"/>
    </row>
    <row r="28" spans="1:7" ht="12" customHeight="1" x14ac:dyDescent="0.2">
      <c r="A28" s="10"/>
      <c r="B28" s="29">
        <v>5</v>
      </c>
      <c r="C28" s="82" t="s">
        <v>155</v>
      </c>
      <c r="D28" s="28" t="s">
        <v>45</v>
      </c>
      <c r="E28" s="58">
        <v>6.52</v>
      </c>
      <c r="F28" s="24">
        <v>36800</v>
      </c>
      <c r="G28" s="103">
        <f>F28*E28</f>
        <v>239935.99999999997</v>
      </c>
    </row>
    <row r="29" spans="1:7" ht="12" customHeight="1" x14ac:dyDescent="0.2">
      <c r="A29" s="10"/>
      <c r="B29" s="29"/>
      <c r="C29" s="82"/>
      <c r="D29" s="28"/>
      <c r="E29" s="58"/>
      <c r="F29" s="24"/>
      <c r="G29" s="103"/>
    </row>
    <row r="30" spans="1:7" ht="12" customHeight="1" x14ac:dyDescent="0.2">
      <c r="A30" s="28" t="s">
        <v>3</v>
      </c>
      <c r="B30" s="29"/>
      <c r="C30" s="83" t="s">
        <v>119</v>
      </c>
      <c r="D30" s="28"/>
      <c r="E30" s="33"/>
      <c r="F30" s="24"/>
      <c r="G30" s="103"/>
    </row>
    <row r="31" spans="1:7" ht="12" customHeight="1" x14ac:dyDescent="0.2">
      <c r="A31" s="28"/>
      <c r="B31" s="29"/>
      <c r="C31" s="75"/>
      <c r="D31" s="28"/>
      <c r="E31" s="33"/>
      <c r="F31" s="24"/>
      <c r="G31" s="103"/>
    </row>
    <row r="32" spans="1:7" ht="12" customHeight="1" x14ac:dyDescent="0.2">
      <c r="A32" s="28" t="s">
        <v>24</v>
      </c>
      <c r="B32" s="29">
        <v>6</v>
      </c>
      <c r="C32" s="75" t="s">
        <v>120</v>
      </c>
      <c r="D32" s="28" t="s">
        <v>45</v>
      </c>
      <c r="E32" s="59">
        <f>E20+E22+E24+E28</f>
        <v>121.30500000000001</v>
      </c>
      <c r="F32" s="24">
        <v>1250</v>
      </c>
      <c r="G32" s="103">
        <f>F32*E32</f>
        <v>151631.25</v>
      </c>
    </row>
    <row r="33" spans="1:7" ht="12" customHeight="1" x14ac:dyDescent="0.2">
      <c r="A33" s="28"/>
      <c r="B33" s="29"/>
      <c r="C33" s="75"/>
      <c r="D33" s="28"/>
      <c r="E33" s="33"/>
      <c r="F33" s="24"/>
      <c r="G33" s="103"/>
    </row>
    <row r="34" spans="1:7" ht="12" customHeight="1" x14ac:dyDescent="0.2">
      <c r="A34" s="28" t="s">
        <v>19</v>
      </c>
      <c r="B34" s="29"/>
      <c r="C34" s="83" t="s">
        <v>121</v>
      </c>
      <c r="D34" s="28"/>
      <c r="E34" s="22"/>
      <c r="F34" s="24"/>
      <c r="G34" s="103"/>
    </row>
    <row r="35" spans="1:7" ht="12" customHeight="1" x14ac:dyDescent="0.2">
      <c r="A35" s="102"/>
      <c r="B35" s="29"/>
      <c r="C35" s="84"/>
      <c r="D35" s="28"/>
      <c r="E35" s="32"/>
      <c r="F35" s="24"/>
      <c r="G35" s="101"/>
    </row>
    <row r="36" spans="1:7" ht="12" customHeight="1" x14ac:dyDescent="0.2">
      <c r="A36" s="102"/>
      <c r="B36" s="29">
        <v>7</v>
      </c>
      <c r="C36" s="82" t="s">
        <v>122</v>
      </c>
      <c r="D36" s="28" t="s">
        <v>45</v>
      </c>
      <c r="E36" s="59">
        <f>E40+E32</f>
        <v>126.76372500000001</v>
      </c>
      <c r="F36" s="24">
        <v>14250</v>
      </c>
      <c r="G36" s="103">
        <f>F36*E36</f>
        <v>1806383.08125</v>
      </c>
    </row>
    <row r="37" spans="1:7" ht="12" customHeight="1" x14ac:dyDescent="0.25">
      <c r="A37" s="28"/>
      <c r="B37" s="30"/>
      <c r="C37" s="77"/>
      <c r="D37" s="34"/>
      <c r="E37" s="16"/>
      <c r="F37" s="24"/>
      <c r="G37" s="104"/>
    </row>
    <row r="38" spans="1:7" ht="12" customHeight="1" x14ac:dyDescent="0.25">
      <c r="A38" s="28" t="s">
        <v>5</v>
      </c>
      <c r="B38" s="30"/>
      <c r="C38" s="83" t="s">
        <v>123</v>
      </c>
      <c r="D38" s="34"/>
      <c r="E38" s="16"/>
      <c r="F38" s="24"/>
      <c r="G38" s="104"/>
    </row>
    <row r="39" spans="1:7" ht="12" customHeight="1" x14ac:dyDescent="0.2">
      <c r="A39" s="105"/>
      <c r="B39" s="30"/>
      <c r="C39" s="75"/>
      <c r="D39" s="28"/>
      <c r="E39" s="22"/>
      <c r="F39" s="24"/>
      <c r="G39" s="103"/>
    </row>
    <row r="40" spans="1:7" ht="12" customHeight="1" x14ac:dyDescent="0.2">
      <c r="A40" s="106" t="s">
        <v>125</v>
      </c>
      <c r="B40" s="91">
        <v>8</v>
      </c>
      <c r="C40" s="69" t="s">
        <v>124</v>
      </c>
      <c r="D40" s="28" t="s">
        <v>45</v>
      </c>
      <c r="E40" s="60">
        <f>E32*0.045</f>
        <v>5.4587250000000003</v>
      </c>
      <c r="F40" s="24">
        <v>75750</v>
      </c>
      <c r="G40" s="103">
        <f>F40*E40</f>
        <v>413498.41875000001</v>
      </c>
    </row>
    <row r="41" spans="1:7" ht="12" customHeight="1" x14ac:dyDescent="0.2">
      <c r="A41" s="10"/>
      <c r="B41" s="29"/>
      <c r="C41" s="82"/>
      <c r="D41" s="28"/>
      <c r="E41" s="58"/>
      <c r="F41" s="24"/>
      <c r="G41" s="103"/>
    </row>
    <row r="42" spans="1:7" ht="12" customHeight="1" x14ac:dyDescent="0.2">
      <c r="A42" s="102" t="s">
        <v>127</v>
      </c>
      <c r="B42" s="30"/>
      <c r="C42" s="47" t="s">
        <v>126</v>
      </c>
      <c r="D42" s="28"/>
      <c r="E42" s="22"/>
      <c r="F42" s="24"/>
      <c r="G42" s="104"/>
    </row>
    <row r="43" spans="1:7" ht="13.2" x14ac:dyDescent="0.25">
      <c r="A43" s="107"/>
      <c r="B43" s="30"/>
      <c r="C43" s="75"/>
      <c r="D43" s="28"/>
      <c r="E43" s="22"/>
      <c r="F43" s="24"/>
      <c r="G43" s="103"/>
    </row>
    <row r="44" spans="1:7" ht="20.399999999999999" x14ac:dyDescent="0.2">
      <c r="A44" s="55" t="s">
        <v>18</v>
      </c>
      <c r="B44" s="61">
        <v>9</v>
      </c>
      <c r="C44" s="89" t="s">
        <v>134</v>
      </c>
      <c r="D44" s="55" t="s">
        <v>45</v>
      </c>
      <c r="E44" s="62">
        <f>E20+E22+E24+E28</f>
        <v>121.30500000000001</v>
      </c>
      <c r="F44" s="54">
        <v>15100</v>
      </c>
      <c r="G44" s="108">
        <f>F44*E44</f>
        <v>1831705.5</v>
      </c>
    </row>
    <row r="45" spans="1:7" ht="12" customHeight="1" x14ac:dyDescent="0.2">
      <c r="A45" s="102"/>
      <c r="B45" s="29"/>
      <c r="C45" s="79"/>
      <c r="D45" s="28"/>
      <c r="E45" s="32"/>
      <c r="F45" s="24"/>
      <c r="G45" s="103"/>
    </row>
    <row r="46" spans="1:7" ht="12" customHeight="1" x14ac:dyDescent="0.2">
      <c r="A46" s="102"/>
      <c r="B46" s="29"/>
      <c r="C46" s="79"/>
      <c r="D46" s="28"/>
      <c r="E46" s="32"/>
      <c r="F46" s="24"/>
      <c r="G46" s="103"/>
    </row>
    <row r="47" spans="1:7" ht="17.399999999999999" customHeight="1" x14ac:dyDescent="0.2">
      <c r="A47" s="148" t="s">
        <v>99</v>
      </c>
      <c r="B47" s="149"/>
      <c r="C47" s="149"/>
      <c r="D47" s="149"/>
      <c r="E47" s="149"/>
      <c r="F47" s="150"/>
      <c r="G47" s="110">
        <f>SUM(G6:G46)</f>
        <v>9540785.1799999997</v>
      </c>
    </row>
    <row r="48" spans="1:7" ht="12" customHeight="1" x14ac:dyDescent="0.2">
      <c r="A48" s="117"/>
      <c r="B48" s="117"/>
      <c r="C48" s="117"/>
      <c r="D48" s="117"/>
      <c r="E48" s="117"/>
      <c r="F48" s="117"/>
      <c r="G48" s="123"/>
    </row>
    <row r="49" spans="1:7" x14ac:dyDescent="0.2">
      <c r="A49" s="52"/>
      <c r="B49" s="52"/>
      <c r="C49" s="52"/>
      <c r="D49" s="52"/>
      <c r="E49" s="52"/>
      <c r="F49" s="52"/>
      <c r="G49" s="124"/>
    </row>
    <row r="50" spans="1:7" ht="20.399999999999999" x14ac:dyDescent="0.2">
      <c r="A50" s="111" t="s">
        <v>14</v>
      </c>
      <c r="B50" s="112" t="s">
        <v>13</v>
      </c>
      <c r="C50" s="113" t="s">
        <v>0</v>
      </c>
      <c r="D50" s="111" t="s">
        <v>1</v>
      </c>
      <c r="E50" s="114" t="s">
        <v>11</v>
      </c>
      <c r="F50" s="115" t="s">
        <v>2</v>
      </c>
      <c r="G50" s="116" t="s">
        <v>12</v>
      </c>
    </row>
    <row r="51" spans="1:7" ht="21.6" customHeight="1" x14ac:dyDescent="0.2">
      <c r="A51" s="148" t="s">
        <v>100</v>
      </c>
      <c r="B51" s="149"/>
      <c r="C51" s="149"/>
      <c r="D51" s="149"/>
      <c r="E51" s="149"/>
      <c r="F51" s="150"/>
      <c r="G51" s="99">
        <f>G47</f>
        <v>9540785.1799999997</v>
      </c>
    </row>
    <row r="52" spans="1:7" ht="12" customHeight="1" x14ac:dyDescent="0.2">
      <c r="A52" s="102"/>
      <c r="B52" s="29"/>
      <c r="C52" s="79"/>
      <c r="D52" s="28"/>
      <c r="E52" s="32"/>
      <c r="F52" s="24"/>
      <c r="G52" s="103"/>
    </row>
    <row r="53" spans="1:7" x14ac:dyDescent="0.2">
      <c r="A53" s="102" t="s">
        <v>129</v>
      </c>
      <c r="B53" s="29"/>
      <c r="C53" s="47" t="s">
        <v>166</v>
      </c>
      <c r="D53" s="10"/>
      <c r="E53" s="16"/>
      <c r="F53" s="24"/>
      <c r="G53" s="109"/>
    </row>
    <row r="54" spans="1:7" x14ac:dyDescent="0.2">
      <c r="A54" s="28"/>
      <c r="B54" s="29"/>
      <c r="C54" s="85"/>
      <c r="D54" s="10"/>
      <c r="E54" s="16"/>
      <c r="F54" s="24"/>
      <c r="G54" s="109"/>
    </row>
    <row r="55" spans="1:7" x14ac:dyDescent="0.2">
      <c r="A55" s="39" t="s">
        <v>3</v>
      </c>
      <c r="B55" s="29"/>
      <c r="C55" s="63" t="s">
        <v>167</v>
      </c>
      <c r="D55" s="39"/>
      <c r="E55" s="142"/>
      <c r="F55" s="139"/>
      <c r="G55" s="137"/>
    </row>
    <row r="56" spans="1:7" x14ac:dyDescent="0.2">
      <c r="A56" s="39"/>
      <c r="B56" s="29"/>
      <c r="C56" s="140" t="s">
        <v>168</v>
      </c>
      <c r="D56" s="39"/>
      <c r="E56" s="142"/>
      <c r="F56" s="139"/>
      <c r="G56" s="137"/>
    </row>
    <row r="57" spans="1:7" ht="30.6" x14ac:dyDescent="0.2">
      <c r="A57" s="39" t="s">
        <v>24</v>
      </c>
      <c r="B57" s="29"/>
      <c r="C57" s="136" t="s">
        <v>169</v>
      </c>
      <c r="D57" s="39"/>
      <c r="E57" s="142"/>
      <c r="F57" s="135"/>
      <c r="G57" s="137"/>
    </row>
    <row r="58" spans="1:7" x14ac:dyDescent="0.2">
      <c r="A58" s="143"/>
      <c r="B58" s="29"/>
      <c r="C58" s="69"/>
      <c r="D58" s="39"/>
      <c r="E58" s="142"/>
      <c r="F58" s="135"/>
      <c r="G58" s="137"/>
    </row>
    <row r="59" spans="1:7" x14ac:dyDescent="0.2">
      <c r="A59" s="143" t="s">
        <v>26</v>
      </c>
      <c r="B59" s="66">
        <v>10</v>
      </c>
      <c r="C59" s="69" t="s">
        <v>170</v>
      </c>
      <c r="D59" s="5" t="s">
        <v>104</v>
      </c>
      <c r="E59" s="67">
        <v>830</v>
      </c>
      <c r="F59" s="54">
        <v>675</v>
      </c>
      <c r="G59" s="108">
        <f>E59*F59</f>
        <v>560250</v>
      </c>
    </row>
    <row r="60" spans="1:7" x14ac:dyDescent="0.2">
      <c r="A60" s="143"/>
      <c r="B60" s="66"/>
      <c r="C60" s="69"/>
      <c r="D60" s="5"/>
      <c r="E60" s="67"/>
      <c r="F60" s="54"/>
      <c r="G60" s="108"/>
    </row>
    <row r="61" spans="1:7" ht="12" customHeight="1" x14ac:dyDescent="0.2">
      <c r="A61" s="143"/>
      <c r="B61" s="66">
        <v>11</v>
      </c>
      <c r="C61" s="69" t="s">
        <v>173</v>
      </c>
      <c r="D61" s="5" t="s">
        <v>104</v>
      </c>
      <c r="E61" s="67">
        <v>225</v>
      </c>
      <c r="F61" s="144">
        <v>675</v>
      </c>
      <c r="G61" s="108">
        <f>E61*F61</f>
        <v>151875</v>
      </c>
    </row>
    <row r="62" spans="1:7" x14ac:dyDescent="0.2">
      <c r="A62" s="143"/>
      <c r="B62" s="66"/>
      <c r="C62" s="69"/>
      <c r="D62" s="5"/>
      <c r="E62" s="67"/>
      <c r="F62" s="135"/>
      <c r="G62" s="108"/>
    </row>
    <row r="63" spans="1:7" ht="12" customHeight="1" x14ac:dyDescent="0.2">
      <c r="A63" s="143" t="s">
        <v>51</v>
      </c>
      <c r="B63" s="66">
        <v>12</v>
      </c>
      <c r="C63" s="69" t="s">
        <v>171</v>
      </c>
      <c r="D63" s="5" t="s">
        <v>172</v>
      </c>
      <c r="E63" s="67">
        <v>24</v>
      </c>
      <c r="F63" s="54">
        <v>1320</v>
      </c>
      <c r="G63" s="108">
        <f>E63*F63</f>
        <v>31680</v>
      </c>
    </row>
    <row r="64" spans="1:7" x14ac:dyDescent="0.2">
      <c r="A64" s="28"/>
      <c r="B64" s="66"/>
      <c r="C64" s="133"/>
      <c r="D64" s="5"/>
      <c r="E64" s="67"/>
      <c r="F64" s="54"/>
      <c r="G64" s="108"/>
    </row>
    <row r="65" spans="1:7" ht="12" customHeight="1" x14ac:dyDescent="0.2">
      <c r="A65" s="39" t="s">
        <v>5</v>
      </c>
      <c r="B65" s="66"/>
      <c r="C65" s="134" t="s">
        <v>156</v>
      </c>
      <c r="D65" s="5"/>
      <c r="E65" s="67"/>
      <c r="F65" s="135"/>
      <c r="G65" s="108"/>
    </row>
    <row r="66" spans="1:7" x14ac:dyDescent="0.2">
      <c r="A66" s="39"/>
      <c r="B66" s="66"/>
      <c r="C66" s="136"/>
      <c r="D66" s="5"/>
      <c r="E66" s="67"/>
      <c r="F66" s="135"/>
      <c r="G66" s="137"/>
    </row>
    <row r="67" spans="1:7" ht="12" customHeight="1" x14ac:dyDescent="0.2">
      <c r="A67" s="39"/>
      <c r="B67" s="66"/>
      <c r="C67" s="138" t="s">
        <v>157</v>
      </c>
      <c r="D67" s="5"/>
      <c r="E67" s="67"/>
      <c r="F67" s="139"/>
      <c r="G67" s="137"/>
    </row>
    <row r="68" spans="1:7" x14ac:dyDescent="0.2">
      <c r="A68" s="39"/>
      <c r="B68" s="66"/>
      <c r="C68" s="140"/>
      <c r="D68" s="5"/>
      <c r="E68" s="67"/>
      <c r="F68" s="139"/>
      <c r="G68" s="137"/>
    </row>
    <row r="69" spans="1:7" ht="12" customHeight="1" x14ac:dyDescent="0.2">
      <c r="A69" s="39" t="s">
        <v>125</v>
      </c>
      <c r="B69" s="66">
        <v>13</v>
      </c>
      <c r="C69" s="136" t="s">
        <v>158</v>
      </c>
      <c r="D69" s="5" t="s">
        <v>40</v>
      </c>
      <c r="E69" s="67">
        <v>490</v>
      </c>
      <c r="F69" s="54">
        <v>2500</v>
      </c>
      <c r="G69" s="108">
        <f>F69*E69</f>
        <v>1225000</v>
      </c>
    </row>
    <row r="70" spans="1:7" x14ac:dyDescent="0.2">
      <c r="A70" s="39"/>
      <c r="B70" s="66"/>
      <c r="C70" s="69"/>
      <c r="D70" s="5"/>
      <c r="E70" s="67"/>
      <c r="F70" s="135"/>
      <c r="G70" s="137"/>
    </row>
    <row r="71" spans="1:7" ht="12" customHeight="1" x14ac:dyDescent="0.2">
      <c r="A71" s="39" t="s">
        <v>5</v>
      </c>
      <c r="B71" s="66"/>
      <c r="C71" s="138" t="s">
        <v>159</v>
      </c>
      <c r="D71" s="5"/>
      <c r="E71" s="67"/>
      <c r="F71" s="135"/>
      <c r="G71" s="137"/>
    </row>
    <row r="72" spans="1:7" x14ac:dyDescent="0.2">
      <c r="A72" s="39"/>
      <c r="B72" s="66"/>
      <c r="C72" s="69"/>
      <c r="D72" s="5"/>
      <c r="E72" s="67"/>
      <c r="F72" s="135"/>
      <c r="G72" s="137"/>
    </row>
    <row r="73" spans="1:7" ht="12" customHeight="1" x14ac:dyDescent="0.2">
      <c r="A73" s="39" t="s">
        <v>125</v>
      </c>
      <c r="B73" s="66">
        <v>14</v>
      </c>
      <c r="C73" s="141" t="s">
        <v>160</v>
      </c>
      <c r="D73" s="5" t="s">
        <v>104</v>
      </c>
      <c r="E73" s="67">
        <v>1055</v>
      </c>
      <c r="F73" s="54">
        <v>650</v>
      </c>
      <c r="G73" s="108">
        <f>E73*F73</f>
        <v>685750</v>
      </c>
    </row>
    <row r="74" spans="1:7" x14ac:dyDescent="0.2">
      <c r="A74" s="39"/>
      <c r="B74" s="66"/>
      <c r="C74" s="69"/>
      <c r="D74" s="5"/>
      <c r="E74" s="67"/>
      <c r="F74" s="54"/>
      <c r="G74" s="108"/>
    </row>
    <row r="75" spans="1:7" ht="12" customHeight="1" x14ac:dyDescent="0.2">
      <c r="A75" s="39"/>
      <c r="B75" s="156">
        <v>15</v>
      </c>
      <c r="C75" s="161" t="s">
        <v>174</v>
      </c>
      <c r="D75" s="158" t="s">
        <v>165</v>
      </c>
      <c r="E75" s="159">
        <v>336</v>
      </c>
      <c r="F75" s="144">
        <v>1190</v>
      </c>
      <c r="G75" s="108">
        <f>E75*F75</f>
        <v>399840</v>
      </c>
    </row>
    <row r="76" spans="1:7" x14ac:dyDescent="0.2">
      <c r="A76" s="39"/>
      <c r="B76" s="66"/>
      <c r="C76" s="69"/>
      <c r="D76" s="5"/>
      <c r="E76" s="67"/>
      <c r="F76" s="135"/>
      <c r="G76" s="108"/>
    </row>
    <row r="77" spans="1:7" ht="12" customHeight="1" x14ac:dyDescent="0.2">
      <c r="A77" s="39" t="s">
        <v>161</v>
      </c>
      <c r="B77" s="66"/>
      <c r="C77" s="138" t="s">
        <v>162</v>
      </c>
      <c r="D77" s="5"/>
      <c r="E77" s="67"/>
      <c r="F77" s="135"/>
      <c r="G77" s="137"/>
    </row>
    <row r="78" spans="1:7" x14ac:dyDescent="0.2">
      <c r="A78" s="39"/>
      <c r="B78" s="66"/>
      <c r="C78" s="69"/>
      <c r="D78" s="5"/>
      <c r="E78" s="67"/>
      <c r="F78" s="135"/>
      <c r="G78" s="137"/>
    </row>
    <row r="79" spans="1:7" ht="12" customHeight="1" x14ac:dyDescent="0.2">
      <c r="A79" s="155" t="s">
        <v>163</v>
      </c>
      <c r="B79" s="156">
        <v>16</v>
      </c>
      <c r="C79" s="157" t="s">
        <v>164</v>
      </c>
      <c r="D79" s="158" t="s">
        <v>165</v>
      </c>
      <c r="E79" s="159">
        <v>3</v>
      </c>
      <c r="F79" s="144">
        <v>26500</v>
      </c>
      <c r="G79" s="160">
        <f>E79*F79</f>
        <v>79500</v>
      </c>
    </row>
    <row r="80" spans="1:7" ht="12" customHeight="1" x14ac:dyDescent="0.2">
      <c r="A80" s="155"/>
      <c r="B80" s="156"/>
      <c r="C80" s="162"/>
      <c r="D80" s="158"/>
      <c r="E80" s="159"/>
      <c r="F80" s="144"/>
      <c r="G80" s="160"/>
    </row>
    <row r="81" spans="1:7" ht="12" customHeight="1" x14ac:dyDescent="0.2">
      <c r="A81" s="155"/>
      <c r="B81" s="156"/>
      <c r="C81" s="162"/>
      <c r="D81" s="158"/>
      <c r="E81" s="159"/>
      <c r="F81" s="144"/>
      <c r="G81" s="160"/>
    </row>
    <row r="82" spans="1:7" ht="12" customHeight="1" x14ac:dyDescent="0.2">
      <c r="A82" s="155"/>
      <c r="B82" s="156"/>
      <c r="C82" s="162"/>
      <c r="D82" s="158"/>
      <c r="E82" s="159"/>
      <c r="F82" s="144"/>
      <c r="G82" s="160"/>
    </row>
    <row r="83" spans="1:7" ht="12" customHeight="1" x14ac:dyDescent="0.2">
      <c r="A83" s="155"/>
      <c r="B83" s="156"/>
      <c r="C83" s="162"/>
      <c r="D83" s="158"/>
      <c r="E83" s="159"/>
      <c r="F83" s="144"/>
      <c r="G83" s="160"/>
    </row>
    <row r="84" spans="1:7" ht="12" customHeight="1" x14ac:dyDescent="0.2">
      <c r="A84" s="155"/>
      <c r="B84" s="156"/>
      <c r="C84" s="162"/>
      <c r="D84" s="158"/>
      <c r="E84" s="159"/>
      <c r="F84" s="144"/>
      <c r="G84" s="160"/>
    </row>
    <row r="85" spans="1:7" ht="12" customHeight="1" x14ac:dyDescent="0.2">
      <c r="A85" s="155"/>
      <c r="B85" s="156"/>
      <c r="C85" s="162"/>
      <c r="D85" s="158"/>
      <c r="E85" s="159"/>
      <c r="F85" s="144"/>
      <c r="G85" s="160"/>
    </row>
    <row r="86" spans="1:7" ht="12" customHeight="1" x14ac:dyDescent="0.2">
      <c r="A86" s="155"/>
      <c r="B86" s="156"/>
      <c r="C86" s="162"/>
      <c r="D86" s="158"/>
      <c r="E86" s="159"/>
      <c r="F86" s="144"/>
      <c r="G86" s="160"/>
    </row>
    <row r="87" spans="1:7" ht="12" customHeight="1" x14ac:dyDescent="0.2">
      <c r="A87" s="155"/>
      <c r="B87" s="156"/>
      <c r="C87" s="162"/>
      <c r="D87" s="158"/>
      <c r="E87" s="159"/>
      <c r="F87" s="144"/>
      <c r="G87" s="160"/>
    </row>
    <row r="88" spans="1:7" ht="12" customHeight="1" x14ac:dyDescent="0.2">
      <c r="A88" s="155"/>
      <c r="B88" s="156"/>
      <c r="C88" s="162"/>
      <c r="D88" s="158"/>
      <c r="E88" s="159"/>
      <c r="F88" s="144"/>
      <c r="G88" s="160"/>
    </row>
    <row r="89" spans="1:7" ht="12" customHeight="1" x14ac:dyDescent="0.2">
      <c r="A89" s="155"/>
      <c r="B89" s="156"/>
      <c r="C89" s="162"/>
      <c r="D89" s="158"/>
      <c r="E89" s="159"/>
      <c r="F89" s="144"/>
      <c r="G89" s="160"/>
    </row>
    <row r="90" spans="1:7" ht="12" customHeight="1" x14ac:dyDescent="0.2">
      <c r="A90" s="155"/>
      <c r="B90" s="156"/>
      <c r="C90" s="162"/>
      <c r="D90" s="158"/>
      <c r="E90" s="159"/>
      <c r="F90" s="144"/>
      <c r="G90" s="160"/>
    </row>
    <row r="91" spans="1:7" ht="12" customHeight="1" x14ac:dyDescent="0.2">
      <c r="A91" s="155"/>
      <c r="B91" s="156"/>
      <c r="C91" s="162"/>
      <c r="D91" s="158"/>
      <c r="E91" s="159"/>
      <c r="F91" s="144"/>
      <c r="G91" s="160"/>
    </row>
    <row r="92" spans="1:7" ht="12" customHeight="1" x14ac:dyDescent="0.2">
      <c r="A92" s="155"/>
      <c r="B92" s="156"/>
      <c r="C92" s="162"/>
      <c r="D92" s="158"/>
      <c r="E92" s="159"/>
      <c r="F92" s="144"/>
      <c r="G92" s="160"/>
    </row>
    <row r="93" spans="1:7" ht="12" customHeight="1" x14ac:dyDescent="0.2">
      <c r="A93" s="155"/>
      <c r="B93" s="156"/>
      <c r="C93" s="162"/>
      <c r="D93" s="158"/>
      <c r="E93" s="159"/>
      <c r="F93" s="144"/>
      <c r="G93" s="160"/>
    </row>
    <row r="94" spans="1:7" ht="12" customHeight="1" x14ac:dyDescent="0.2">
      <c r="A94" s="155"/>
      <c r="B94" s="156"/>
      <c r="C94" s="162"/>
      <c r="D94" s="158"/>
      <c r="E94" s="159"/>
      <c r="F94" s="144"/>
      <c r="G94" s="160"/>
    </row>
    <row r="95" spans="1:7" ht="12" customHeight="1" x14ac:dyDescent="0.2">
      <c r="A95" s="155"/>
      <c r="B95" s="156"/>
      <c r="C95" s="162"/>
      <c r="D95" s="158"/>
      <c r="E95" s="159"/>
      <c r="F95" s="144"/>
      <c r="G95" s="160"/>
    </row>
    <row r="96" spans="1:7" ht="12" customHeight="1" x14ac:dyDescent="0.2">
      <c r="A96" s="155"/>
      <c r="B96" s="156"/>
      <c r="C96" s="162"/>
      <c r="D96" s="158"/>
      <c r="E96" s="159"/>
      <c r="F96" s="144"/>
      <c r="G96" s="160"/>
    </row>
    <row r="97" spans="1:7" ht="12" customHeight="1" x14ac:dyDescent="0.2">
      <c r="A97" s="155"/>
      <c r="B97" s="156"/>
      <c r="C97" s="162"/>
      <c r="D97" s="158"/>
      <c r="E97" s="159"/>
      <c r="F97" s="144"/>
      <c r="G97" s="160"/>
    </row>
    <row r="98" spans="1:7" ht="12" customHeight="1" x14ac:dyDescent="0.2">
      <c r="A98" s="155"/>
      <c r="B98" s="156"/>
      <c r="C98" s="162"/>
      <c r="D98" s="158"/>
      <c r="E98" s="159"/>
      <c r="F98" s="144"/>
      <c r="G98" s="160"/>
    </row>
    <row r="99" spans="1:7" ht="12" customHeight="1" x14ac:dyDescent="0.2">
      <c r="A99" s="155"/>
      <c r="B99" s="156"/>
      <c r="C99" s="162"/>
      <c r="D99" s="158"/>
      <c r="E99" s="159"/>
      <c r="F99" s="144"/>
      <c r="G99" s="160"/>
    </row>
    <row r="100" spans="1:7" ht="12" customHeight="1" x14ac:dyDescent="0.2">
      <c r="A100" s="155"/>
      <c r="B100" s="156"/>
      <c r="C100" s="162"/>
      <c r="D100" s="158"/>
      <c r="E100" s="159"/>
      <c r="F100" s="144"/>
      <c r="G100" s="160"/>
    </row>
    <row r="101" spans="1:7" ht="12" customHeight="1" x14ac:dyDescent="0.2">
      <c r="A101" s="155"/>
      <c r="B101" s="156"/>
      <c r="C101" s="162"/>
      <c r="D101" s="158"/>
      <c r="E101" s="159"/>
      <c r="F101" s="144"/>
      <c r="G101" s="160"/>
    </row>
    <row r="102" spans="1:7" ht="12" customHeight="1" x14ac:dyDescent="0.2">
      <c r="A102" s="155"/>
      <c r="B102" s="156"/>
      <c r="C102" s="162"/>
      <c r="D102" s="158"/>
      <c r="E102" s="159"/>
      <c r="F102" s="144"/>
      <c r="G102" s="160"/>
    </row>
    <row r="103" spans="1:7" ht="12" customHeight="1" x14ac:dyDescent="0.2">
      <c r="A103" s="155"/>
      <c r="B103" s="156"/>
      <c r="C103" s="162"/>
      <c r="D103" s="158"/>
      <c r="E103" s="159"/>
      <c r="F103" s="144"/>
      <c r="G103" s="160"/>
    </row>
    <row r="104" spans="1:7" ht="12" customHeight="1" x14ac:dyDescent="0.2">
      <c r="A104" s="155"/>
      <c r="B104" s="156"/>
      <c r="C104" s="162"/>
      <c r="D104" s="158"/>
      <c r="E104" s="159"/>
      <c r="F104" s="144"/>
      <c r="G104" s="160"/>
    </row>
    <row r="105" spans="1:7" ht="12" customHeight="1" x14ac:dyDescent="0.2">
      <c r="A105" s="155"/>
      <c r="B105" s="156"/>
      <c r="C105" s="162"/>
      <c r="D105" s="158"/>
      <c r="E105" s="159"/>
      <c r="F105" s="144"/>
      <c r="G105" s="160"/>
    </row>
    <row r="106" spans="1:7" ht="12" customHeight="1" x14ac:dyDescent="0.2">
      <c r="A106" s="155"/>
      <c r="B106" s="156"/>
      <c r="C106" s="162"/>
      <c r="D106" s="158"/>
      <c r="E106" s="159"/>
      <c r="F106" s="144"/>
      <c r="G106" s="160"/>
    </row>
    <row r="107" spans="1:7" ht="12" customHeight="1" x14ac:dyDescent="0.2">
      <c r="A107" s="155"/>
      <c r="B107" s="156"/>
      <c r="C107" s="162"/>
      <c r="D107" s="158"/>
      <c r="E107" s="159"/>
      <c r="F107" s="144"/>
      <c r="G107" s="160"/>
    </row>
    <row r="108" spans="1:7" ht="12" customHeight="1" x14ac:dyDescent="0.2">
      <c r="A108" s="155"/>
      <c r="B108" s="156"/>
      <c r="C108" s="162"/>
      <c r="D108" s="158"/>
      <c r="E108" s="159"/>
      <c r="F108" s="144"/>
      <c r="G108" s="160"/>
    </row>
    <row r="109" spans="1:7" ht="12" customHeight="1" x14ac:dyDescent="0.2">
      <c r="A109" s="155"/>
      <c r="B109" s="156"/>
      <c r="C109" s="162"/>
      <c r="D109" s="158"/>
      <c r="E109" s="159"/>
      <c r="F109" s="144"/>
      <c r="G109" s="160"/>
    </row>
    <row r="110" spans="1:7" x14ac:dyDescent="0.2">
      <c r="A110" s="39"/>
      <c r="B110" s="66"/>
      <c r="C110" s="69"/>
      <c r="D110" s="5"/>
      <c r="E110" s="67"/>
      <c r="F110" s="54"/>
      <c r="G110" s="108"/>
    </row>
    <row r="111" spans="1:7" ht="12" customHeight="1" x14ac:dyDescent="0.2">
      <c r="A111" s="28"/>
      <c r="B111" s="66"/>
      <c r="C111" s="133"/>
      <c r="D111" s="5"/>
      <c r="E111" s="67"/>
      <c r="F111" s="54"/>
      <c r="G111" s="108"/>
    </row>
    <row r="112" spans="1:7" ht="18.600000000000001" customHeight="1" x14ac:dyDescent="0.2">
      <c r="A112" s="151" t="s">
        <v>153</v>
      </c>
      <c r="B112" s="152"/>
      <c r="C112" s="152"/>
      <c r="D112" s="152"/>
      <c r="E112" s="152"/>
      <c r="F112" s="153"/>
      <c r="G112" s="110">
        <f>SUM(G51:G111)</f>
        <v>12674680.18</v>
      </c>
    </row>
    <row r="114" ht="20.100000000000001" customHeight="1" x14ac:dyDescent="0.2"/>
    <row r="116" ht="12" customHeight="1" x14ac:dyDescent="0.2"/>
    <row r="117" ht="12" customHeight="1" x14ac:dyDescent="0.2"/>
    <row r="118" ht="12" customHeight="1" x14ac:dyDescent="0.2"/>
    <row r="119" ht="12" customHeight="1" x14ac:dyDescent="0.2"/>
    <row r="120" ht="12" customHeight="1" x14ac:dyDescent="0.2"/>
    <row r="121" ht="12" customHeight="1" x14ac:dyDescent="0.2"/>
    <row r="122" ht="12" customHeight="1" x14ac:dyDescent="0.2"/>
    <row r="123" ht="12" customHeight="1" x14ac:dyDescent="0.2"/>
    <row r="124" ht="12" customHeight="1" x14ac:dyDescent="0.2"/>
    <row r="125" ht="12" customHeight="1" x14ac:dyDescent="0.2"/>
    <row r="126" ht="12" customHeight="1" x14ac:dyDescent="0.2"/>
    <row r="128" ht="12" customHeight="1" x14ac:dyDescent="0.2"/>
    <row r="129" ht="12" customHeight="1" x14ac:dyDescent="0.2"/>
    <row r="130" ht="12" customHeight="1" x14ac:dyDescent="0.2"/>
    <row r="131" ht="12" customHeight="1" x14ac:dyDescent="0.2"/>
    <row r="132" ht="12" customHeight="1" x14ac:dyDescent="0.2"/>
    <row r="133" ht="12" customHeight="1" x14ac:dyDescent="0.2"/>
    <row r="134" ht="12" customHeight="1" x14ac:dyDescent="0.2"/>
    <row r="136" ht="12" customHeight="1" x14ac:dyDescent="0.2"/>
    <row r="137" ht="12" customHeight="1" x14ac:dyDescent="0.2"/>
    <row r="138" ht="12" customHeight="1" x14ac:dyDescent="0.2"/>
    <row r="139" ht="12" customHeight="1" x14ac:dyDescent="0.2"/>
    <row r="140" ht="12" customHeight="1" x14ac:dyDescent="0.2"/>
    <row r="141" ht="12" customHeight="1" x14ac:dyDescent="0.2"/>
    <row r="142" ht="12" customHeight="1" x14ac:dyDescent="0.2"/>
    <row r="163" ht="22.2" customHeight="1" x14ac:dyDescent="0.2"/>
  </sheetData>
  <mergeCells count="3">
    <mergeCell ref="A47:F47"/>
    <mergeCell ref="A51:F51"/>
    <mergeCell ref="A112:F112"/>
  </mergeCells>
  <pageMargins left="0.70866141732283472" right="0.23622047244094491" top="0.74803149606299213" bottom="0.74803149606299213" header="0.31496062992125984" footer="0.31496062992125984"/>
  <pageSetup paperSize="9" orientation="portrait" r:id="rId1"/>
  <headerFooter alignWithMargins="0"/>
  <rowBreaks count="1" manualBreakCount="1">
    <brk id="48" max="6"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60"/>
  <sheetViews>
    <sheetView showGridLines="0" tabSelected="1" view="pageBreakPreview" zoomScaleSheetLayoutView="100" workbookViewId="0">
      <selection activeCell="C20" sqref="C20"/>
    </sheetView>
  </sheetViews>
  <sheetFormatPr defaultColWidth="9.109375" defaultRowHeight="10.199999999999999" x14ac:dyDescent="0.2"/>
  <cols>
    <col min="1" max="1" width="9.5546875" style="13" customWidth="1"/>
    <col min="2" max="2" width="63.33203125" style="13" customWidth="1"/>
    <col min="3" max="3" width="15.6640625" style="13" bestFit="1" customWidth="1"/>
    <col min="4" max="4" width="3.6640625" style="13" customWidth="1"/>
    <col min="5" max="5" width="35.5546875" style="13" customWidth="1"/>
    <col min="6" max="6" width="7.5546875" style="13" customWidth="1"/>
    <col min="7" max="7" width="13.6640625" style="13" customWidth="1"/>
    <col min="8" max="8" width="9.6640625" style="13" customWidth="1"/>
    <col min="9" max="9" width="14.88671875" style="13" customWidth="1"/>
    <col min="10" max="16384" width="9.109375" style="13"/>
  </cols>
  <sheetData>
    <row r="1" spans="1:5" ht="18" customHeight="1" x14ac:dyDescent="0.2">
      <c r="A1" s="43" t="str">
        <f>'Section 1 - P&amp;G'!A1</f>
        <v>NAFASI WATER - ARNOT WASTE TREATMENT PLANT</v>
      </c>
      <c r="B1" s="18"/>
      <c r="C1" s="1" t="str">
        <f>'Section 1 - P&amp;G'!G1</f>
        <v>Revision T1</v>
      </c>
    </row>
    <row r="2" spans="1:5" ht="17.399999999999999" customHeight="1" x14ac:dyDescent="0.2">
      <c r="A2" s="43" t="str">
        <f>'Section 1 - P&amp;G'!A2</f>
        <v>STRUCTURAL STEELWORK SCHEDULE OF QUANTITIES</v>
      </c>
      <c r="B2" s="18"/>
      <c r="C2" s="19"/>
    </row>
    <row r="3" spans="1:5" ht="16.2" customHeight="1" x14ac:dyDescent="0.2">
      <c r="A3" s="43" t="s">
        <v>9</v>
      </c>
      <c r="B3" s="18"/>
      <c r="C3" s="92">
        <f>'Section 1 - P&amp;G'!G3</f>
        <v>45183</v>
      </c>
    </row>
    <row r="4" spans="1:5" x14ac:dyDescent="0.2">
      <c r="A4" s="2"/>
      <c r="B4" s="3"/>
      <c r="C4" s="14"/>
    </row>
    <row r="5" spans="1:5" ht="27" customHeight="1" x14ac:dyDescent="0.2">
      <c r="A5" s="119" t="s">
        <v>6</v>
      </c>
      <c r="B5" s="119" t="s">
        <v>0</v>
      </c>
      <c r="C5" s="125" t="s">
        <v>7</v>
      </c>
    </row>
    <row r="6" spans="1:5" x14ac:dyDescent="0.2">
      <c r="A6" s="4"/>
      <c r="B6" s="4"/>
      <c r="C6" s="126"/>
    </row>
    <row r="7" spans="1:5" x14ac:dyDescent="0.2">
      <c r="A7" s="5">
        <v>1</v>
      </c>
      <c r="B7" s="6" t="str">
        <f>'Section 1 - P&amp;G'!A3</f>
        <v>SECTION 1 : PRELIMINARY AND GENERAL</v>
      </c>
      <c r="C7" s="109">
        <f>'Section 1 - P&amp;G'!G121</f>
        <v>4205401.432</v>
      </c>
      <c r="E7" s="27"/>
    </row>
    <row r="8" spans="1:5" x14ac:dyDescent="0.2">
      <c r="A8" s="5"/>
      <c r="B8" s="6"/>
      <c r="C8" s="127"/>
    </row>
    <row r="9" spans="1:5" x14ac:dyDescent="0.2">
      <c r="A9" s="5">
        <v>2</v>
      </c>
      <c r="B9" s="7" t="str">
        <f>'Section 2 - RO Building'!A3</f>
        <v>SECTION 2: RO BUILDING</v>
      </c>
      <c r="C9" s="109">
        <f>'Section 2 - RO Building'!G85</f>
        <v>5845104.9800000004</v>
      </c>
      <c r="E9" s="26"/>
    </row>
    <row r="10" spans="1:5" x14ac:dyDescent="0.2">
      <c r="A10" s="5"/>
      <c r="B10" s="7"/>
      <c r="C10" s="127"/>
    </row>
    <row r="11" spans="1:5" x14ac:dyDescent="0.2">
      <c r="A11" s="5">
        <v>3</v>
      </c>
      <c r="B11" s="7" t="str">
        <f>'Section 3 - Chemical Store'!A3</f>
        <v>SECTION 3: CHEMICAL STORE</v>
      </c>
      <c r="C11" s="109">
        <f>'Section 3 - Chemical Store'!G85</f>
        <v>1146121.8</v>
      </c>
    </row>
    <row r="12" spans="1:5" x14ac:dyDescent="0.2">
      <c r="A12" s="5"/>
      <c r="B12" s="7"/>
      <c r="C12" s="127"/>
    </row>
    <row r="13" spans="1:5" x14ac:dyDescent="0.2">
      <c r="A13" s="5">
        <v>4</v>
      </c>
      <c r="B13" s="7" t="str">
        <f>'Section 4 - Workshop'!A3</f>
        <v>SECTION 4: WORKSHOP</v>
      </c>
      <c r="C13" s="109">
        <f>'Section 4 - Workshop'!G85</f>
        <v>1361100.2</v>
      </c>
    </row>
    <row r="14" spans="1:5" x14ac:dyDescent="0.2">
      <c r="A14" s="5"/>
      <c r="B14" s="8"/>
      <c r="C14" s="127"/>
    </row>
    <row r="15" spans="1:5" x14ac:dyDescent="0.2">
      <c r="A15" s="5">
        <v>5</v>
      </c>
      <c r="B15" s="7" t="str">
        <f>'Section 5 - Piperacks and Stair'!C7</f>
        <v>SECTION 5: PIPERACKS AND STAICASES</v>
      </c>
      <c r="C15" s="109">
        <f>'Section 5 - Piperacks and Stair'!G112</f>
        <v>12674680.18</v>
      </c>
    </row>
    <row r="16" spans="1:5" x14ac:dyDescent="0.2">
      <c r="A16" s="5"/>
      <c r="B16" s="7"/>
      <c r="C16" s="127"/>
    </row>
    <row r="17" spans="1:3" x14ac:dyDescent="0.2">
      <c r="A17" s="5"/>
      <c r="B17" s="7"/>
      <c r="C17" s="127"/>
    </row>
    <row r="18" spans="1:3" x14ac:dyDescent="0.2">
      <c r="A18" s="5"/>
      <c r="B18" s="7"/>
      <c r="C18" s="127"/>
    </row>
    <row r="19" spans="1:3" x14ac:dyDescent="0.2">
      <c r="A19" s="5"/>
      <c r="B19" s="7"/>
      <c r="C19" s="127"/>
    </row>
    <row r="20" spans="1:3" x14ac:dyDescent="0.2">
      <c r="A20" s="5"/>
      <c r="B20" s="7"/>
      <c r="C20" s="127"/>
    </row>
    <row r="21" spans="1:3" x14ac:dyDescent="0.2">
      <c r="A21" s="5"/>
      <c r="B21" s="7"/>
      <c r="C21" s="127"/>
    </row>
    <row r="22" spans="1:3" x14ac:dyDescent="0.2">
      <c r="A22" s="5"/>
      <c r="B22" s="7"/>
      <c r="C22" s="127"/>
    </row>
    <row r="23" spans="1:3" x14ac:dyDescent="0.2">
      <c r="A23" s="5"/>
      <c r="B23" s="7"/>
      <c r="C23" s="127"/>
    </row>
    <row r="24" spans="1:3" x14ac:dyDescent="0.2">
      <c r="A24" s="5"/>
      <c r="B24" s="7"/>
      <c r="C24" s="127"/>
    </row>
    <row r="25" spans="1:3" x14ac:dyDescent="0.2">
      <c r="A25" s="5"/>
      <c r="B25" s="7"/>
      <c r="C25" s="127"/>
    </row>
    <row r="26" spans="1:3" x14ac:dyDescent="0.2">
      <c r="A26" s="5"/>
      <c r="B26" s="7"/>
      <c r="C26" s="127"/>
    </row>
    <row r="27" spans="1:3" x14ac:dyDescent="0.2">
      <c r="A27" s="5"/>
      <c r="B27" s="7"/>
      <c r="C27" s="127"/>
    </row>
    <row r="28" spans="1:3" x14ac:dyDescent="0.2">
      <c r="A28" s="5"/>
      <c r="B28" s="7"/>
      <c r="C28" s="127"/>
    </row>
    <row r="29" spans="1:3" x14ac:dyDescent="0.2">
      <c r="A29" s="5"/>
      <c r="B29" s="7"/>
      <c r="C29" s="127"/>
    </row>
    <row r="30" spans="1:3" x14ac:dyDescent="0.2">
      <c r="A30" s="5"/>
      <c r="B30" s="7"/>
      <c r="C30" s="127"/>
    </row>
    <row r="31" spans="1:3" x14ac:dyDescent="0.2">
      <c r="A31" s="5"/>
      <c r="B31" s="7"/>
      <c r="C31" s="127"/>
    </row>
    <row r="32" spans="1:3" x14ac:dyDescent="0.2">
      <c r="A32" s="5"/>
      <c r="B32" s="7"/>
      <c r="C32" s="127"/>
    </row>
    <row r="33" spans="1:5" x14ac:dyDescent="0.2">
      <c r="A33" s="5"/>
      <c r="B33" s="7"/>
      <c r="C33" s="127"/>
    </row>
    <row r="34" spans="1:5" x14ac:dyDescent="0.2">
      <c r="A34" s="5"/>
      <c r="B34" s="7"/>
      <c r="C34" s="127"/>
      <c r="E34" s="92"/>
    </row>
    <row r="35" spans="1:5" x14ac:dyDescent="0.2">
      <c r="A35" s="5"/>
      <c r="B35" s="7"/>
      <c r="C35" s="127"/>
    </row>
    <row r="36" spans="1:5" x14ac:dyDescent="0.2">
      <c r="A36" s="5"/>
      <c r="B36" s="7"/>
      <c r="C36" s="127"/>
    </row>
    <row r="37" spans="1:5" x14ac:dyDescent="0.2">
      <c r="A37" s="5"/>
      <c r="B37" s="7"/>
      <c r="C37" s="127"/>
    </row>
    <row r="38" spans="1:5" x14ac:dyDescent="0.2">
      <c r="A38" s="5"/>
      <c r="B38" s="7"/>
      <c r="C38" s="127"/>
    </row>
    <row r="39" spans="1:5" x14ac:dyDescent="0.2">
      <c r="A39" s="5"/>
      <c r="B39" s="7"/>
      <c r="C39" s="127"/>
    </row>
    <row r="40" spans="1:5" x14ac:dyDescent="0.2">
      <c r="A40" s="5"/>
      <c r="B40" s="7"/>
      <c r="C40" s="127"/>
    </row>
    <row r="41" spans="1:5" x14ac:dyDescent="0.2">
      <c r="A41" s="5"/>
      <c r="B41" s="7"/>
      <c r="C41" s="127"/>
    </row>
    <row r="42" spans="1:5" x14ac:dyDescent="0.2">
      <c r="A42" s="5"/>
      <c r="B42" s="7"/>
      <c r="C42" s="127"/>
    </row>
    <row r="43" spans="1:5" x14ac:dyDescent="0.2">
      <c r="A43" s="5"/>
      <c r="B43" s="7"/>
      <c r="C43" s="127"/>
    </row>
    <row r="44" spans="1:5" x14ac:dyDescent="0.2">
      <c r="A44" s="5"/>
      <c r="B44" s="7"/>
      <c r="C44" s="127"/>
    </row>
    <row r="45" spans="1:5" x14ac:dyDescent="0.2">
      <c r="A45" s="5"/>
      <c r="B45" s="7"/>
      <c r="C45" s="127"/>
    </row>
    <row r="46" spans="1:5" x14ac:dyDescent="0.2">
      <c r="A46" s="5"/>
      <c r="B46" s="7"/>
      <c r="C46" s="127"/>
    </row>
    <row r="47" spans="1:5" x14ac:dyDescent="0.2">
      <c r="A47" s="5"/>
      <c r="B47" s="7"/>
      <c r="C47" s="127"/>
    </row>
    <row r="48" spans="1:5" x14ac:dyDescent="0.2">
      <c r="A48" s="5"/>
      <c r="B48" s="7"/>
      <c r="C48" s="127"/>
    </row>
    <row r="49" spans="1:3" x14ac:dyDescent="0.2">
      <c r="A49" s="5"/>
      <c r="B49" s="7"/>
      <c r="C49" s="127"/>
    </row>
    <row r="50" spans="1:3" x14ac:dyDescent="0.2">
      <c r="A50" s="5"/>
      <c r="B50" s="7"/>
      <c r="C50" s="127"/>
    </row>
    <row r="51" spans="1:3" x14ac:dyDescent="0.2">
      <c r="A51" s="5"/>
      <c r="B51" s="7"/>
      <c r="C51" s="127"/>
    </row>
    <row r="52" spans="1:3" x14ac:dyDescent="0.2">
      <c r="A52" s="5"/>
      <c r="B52" s="7"/>
      <c r="C52" s="127"/>
    </row>
    <row r="53" spans="1:3" x14ac:dyDescent="0.2">
      <c r="A53" s="5"/>
      <c r="B53" s="7"/>
      <c r="C53" s="127"/>
    </row>
    <row r="54" spans="1:3" x14ac:dyDescent="0.2">
      <c r="A54" s="5"/>
      <c r="B54" s="7"/>
      <c r="C54" s="127"/>
    </row>
    <row r="55" spans="1:3" x14ac:dyDescent="0.2">
      <c r="A55" s="5"/>
      <c r="B55" s="7"/>
      <c r="C55" s="127"/>
    </row>
    <row r="56" spans="1:3" x14ac:dyDescent="0.2">
      <c r="A56" s="5"/>
      <c r="B56" s="9"/>
      <c r="C56" s="128"/>
    </row>
    <row r="57" spans="1:3" x14ac:dyDescent="0.2">
      <c r="A57" s="5"/>
      <c r="B57" s="9"/>
      <c r="C57" s="128"/>
    </row>
    <row r="58" spans="1:3" x14ac:dyDescent="0.2">
      <c r="A58" s="5"/>
      <c r="B58" s="129"/>
      <c r="C58" s="130"/>
    </row>
    <row r="59" spans="1:3" x14ac:dyDescent="0.2">
      <c r="A59" s="10"/>
      <c r="B59" s="9"/>
      <c r="C59" s="128"/>
    </row>
    <row r="60" spans="1:3" ht="18.75" customHeight="1" x14ac:dyDescent="0.2">
      <c r="A60" s="154" t="s">
        <v>8</v>
      </c>
      <c r="B60" s="154"/>
      <c r="C60" s="110">
        <f>SUM(C7:C59)</f>
        <v>25232408.592</v>
      </c>
    </row>
  </sheetData>
  <mergeCells count="1">
    <mergeCell ref="A60:B60"/>
  </mergeCells>
  <pageMargins left="0.70866141732283472" right="0.23622047244094491" top="0.74803149606299213" bottom="0.74803149606299213" header="0.31496062992125984" footer="0.31496062992125984"/>
  <pageSetup paperSize="9"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5</vt:i4>
      </vt:variant>
    </vt:vector>
  </HeadingPairs>
  <TitlesOfParts>
    <vt:vector size="11" baseType="lpstr">
      <vt:lpstr>Section 1 - P&amp;G</vt:lpstr>
      <vt:lpstr>Section 2 - RO Building</vt:lpstr>
      <vt:lpstr>Section 3 - Chemical Store</vt:lpstr>
      <vt:lpstr>Section 4 - Workshop</vt:lpstr>
      <vt:lpstr>Section 5 - Piperacks and Stair</vt:lpstr>
      <vt:lpstr>SUMMARY</vt:lpstr>
      <vt:lpstr>'Section 2 - RO Building'!Print_Area</vt:lpstr>
      <vt:lpstr>'Section 3 - Chemical Store'!Print_Area</vt:lpstr>
      <vt:lpstr>'Section 4 - Workshop'!Print_Area</vt:lpstr>
      <vt:lpstr>'Section 5 - Piperacks and Stair'!Print_Area</vt:lpstr>
      <vt:lpstr>SUMMARY!Print_Area</vt:lpstr>
    </vt:vector>
  </TitlesOfParts>
  <Company>Greene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Floris Jordaan</cp:lastModifiedBy>
  <cp:lastPrinted>2023-09-13T08:05:55Z</cp:lastPrinted>
  <dcterms:created xsi:type="dcterms:W3CDTF">1997-05-28T09:48:15Z</dcterms:created>
  <dcterms:modified xsi:type="dcterms:W3CDTF">2023-09-14T14:11:37Z</dcterms:modified>
</cp:coreProperties>
</file>