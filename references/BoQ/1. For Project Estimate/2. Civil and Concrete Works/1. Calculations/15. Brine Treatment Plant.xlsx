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3 Projects\0344S - Nafasi Water\A8 - Arnot Waste Treatment Plant\03_DESIGN\04-BQ\1. For Project Estimate\2. Civil and Concrete Works\1. Calculations\"/>
    </mc:Choice>
  </mc:AlternateContent>
  <xr:revisionPtr revIDLastSave="0" documentId="13_ncr:1_{E2A07D1A-1558-440B-A434-DD842A76C159}" xr6:coauthVersionLast="47" xr6:coauthVersionMax="47" xr10:uidLastSave="{00000000-0000-0000-0000-000000000000}"/>
  <bookViews>
    <workbookView xWindow="20370" yWindow="-120" windowWidth="29040" windowHeight="15840" activeTab="5" xr2:uid="{02E6CA28-4D7E-41BA-B5AF-451451D26AAE}"/>
  </bookViews>
  <sheets>
    <sheet name="Pile Caps" sheetId="3" r:id="rId1"/>
    <sheet name="Ground Beams" sheetId="4" r:id="rId2"/>
    <sheet name="Surface Bed" sheetId="1" r:id="rId3"/>
    <sheet name="Bund Walls" sheetId="6" r:id="rId4"/>
    <sheet name="Sumps" sheetId="7" r:id="rId5"/>
    <sheet name="Pump Plinths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26" i="7" l="1"/>
  <c r="O25" i="7"/>
  <c r="O24" i="7"/>
  <c r="O23" i="7"/>
  <c r="O22" i="7"/>
  <c r="O21" i="7"/>
  <c r="O20" i="7"/>
  <c r="O18" i="7"/>
  <c r="O17" i="7"/>
  <c r="O15" i="7"/>
  <c r="O14" i="7"/>
  <c r="O12" i="7"/>
  <c r="O11" i="7"/>
  <c r="I71" i="6"/>
  <c r="I69" i="6"/>
  <c r="I68" i="6"/>
  <c r="I67" i="6"/>
  <c r="I64" i="6"/>
  <c r="I62" i="6"/>
  <c r="I61" i="6"/>
  <c r="I59" i="6"/>
  <c r="I56" i="6"/>
  <c r="I55" i="6"/>
  <c r="I52" i="6"/>
  <c r="I51" i="6"/>
  <c r="I50" i="6"/>
  <c r="I48" i="6"/>
  <c r="I47" i="6"/>
  <c r="I46" i="6"/>
  <c r="I45" i="6"/>
  <c r="I43" i="6"/>
  <c r="I41" i="6"/>
  <c r="I37" i="6"/>
  <c r="I35" i="6"/>
  <c r="I33" i="6"/>
  <c r="I29" i="6"/>
  <c r="I27" i="6"/>
  <c r="O39" i="1"/>
  <c r="O37" i="1"/>
  <c r="O35" i="1"/>
  <c r="O31" i="1"/>
  <c r="O29" i="1"/>
  <c r="O27" i="1"/>
  <c r="O25" i="1"/>
  <c r="O23" i="1"/>
  <c r="O21" i="1"/>
  <c r="O19" i="1"/>
  <c r="B1" i="1"/>
  <c r="I45" i="4"/>
  <c r="I44" i="4"/>
  <c r="I43" i="4"/>
  <c r="I41" i="4"/>
  <c r="I40" i="4"/>
  <c r="I39" i="4"/>
  <c r="I38" i="4"/>
  <c r="I36" i="4"/>
  <c r="I34" i="4"/>
  <c r="I33" i="4"/>
  <c r="I32" i="4"/>
  <c r="I31" i="4"/>
  <c r="I30" i="4"/>
  <c r="I29" i="4"/>
  <c r="I25" i="4"/>
  <c r="I24" i="4"/>
  <c r="I21" i="4"/>
  <c r="I20" i="4"/>
  <c r="B2" i="4"/>
  <c r="I44" i="3"/>
  <c r="I43" i="3"/>
  <c r="I42" i="3"/>
  <c r="I40" i="3"/>
  <c r="I39" i="3"/>
  <c r="I38" i="3"/>
  <c r="I37" i="3"/>
  <c r="I35" i="3"/>
  <c r="I33" i="3"/>
  <c r="I32" i="3"/>
  <c r="I31" i="3"/>
  <c r="I30" i="3"/>
  <c r="I29" i="3"/>
  <c r="I28" i="3"/>
  <c r="I24" i="3"/>
  <c r="I23" i="3"/>
  <c r="I20" i="3"/>
  <c r="C44" i="8"/>
  <c r="E44" i="8" s="1"/>
  <c r="I44" i="8" s="1"/>
  <c r="C43" i="8"/>
  <c r="E43" i="8" s="1"/>
  <c r="I43" i="8" s="1"/>
  <c r="C42" i="8"/>
  <c r="E42" i="8" s="1"/>
  <c r="I42" i="8" s="1"/>
  <c r="C40" i="8"/>
  <c r="E40" i="8" s="1"/>
  <c r="I40" i="8" s="1"/>
  <c r="E39" i="8"/>
  <c r="I39" i="8" s="1"/>
  <c r="C38" i="8"/>
  <c r="E38" i="8" s="1"/>
  <c r="I38" i="8" s="1"/>
  <c r="C37" i="8"/>
  <c r="C35" i="8"/>
  <c r="E35" i="8" s="1"/>
  <c r="I35" i="8" s="1"/>
  <c r="E32" i="8"/>
  <c r="I32" i="8" s="1"/>
  <c r="C32" i="8"/>
  <c r="C30" i="8"/>
  <c r="C31" i="8" s="1"/>
  <c r="E31" i="8" s="1"/>
  <c r="I31" i="8" s="1"/>
  <c r="C29" i="8"/>
  <c r="E29" i="8" s="1"/>
  <c r="I29" i="8" s="1"/>
  <c r="C28" i="8"/>
  <c r="E28" i="8" s="1"/>
  <c r="I28" i="8" s="1"/>
  <c r="C24" i="8"/>
  <c r="E24" i="8" s="1"/>
  <c r="I24" i="8" s="1"/>
  <c r="C23" i="8"/>
  <c r="E23" i="8" s="1"/>
  <c r="I23" i="8" s="1"/>
  <c r="I20" i="8"/>
  <c r="E30" i="8" l="1"/>
  <c r="I30" i="8" s="1"/>
  <c r="C33" i="8"/>
  <c r="E33" i="8" s="1"/>
  <c r="I33" i="8" s="1"/>
  <c r="E37" i="8"/>
  <c r="I37" i="8" s="1"/>
  <c r="C26" i="7" l="1"/>
  <c r="C25" i="7"/>
  <c r="C24" i="7"/>
  <c r="C22" i="7"/>
  <c r="C15" i="7"/>
  <c r="H10" i="7"/>
  <c r="C20" i="7" s="1"/>
  <c r="E6" i="7"/>
  <c r="M3" i="7"/>
  <c r="E71" i="6"/>
  <c r="E69" i="6"/>
  <c r="E68" i="6"/>
  <c r="E67" i="6"/>
  <c r="E62" i="6"/>
  <c r="E61" i="6"/>
  <c r="E55" i="6" s="1"/>
  <c r="E59" i="6"/>
  <c r="E37" i="6"/>
  <c r="E35" i="6"/>
  <c r="E33" i="6"/>
  <c r="E56" i="6" l="1"/>
  <c r="C18" i="7"/>
  <c r="C21" i="7"/>
  <c r="C23" i="7"/>
  <c r="C11" i="7"/>
  <c r="C14" i="7"/>
  <c r="E64" i="6"/>
  <c r="C17" i="7" l="1"/>
  <c r="C12" i="7"/>
  <c r="C45" i="4" l="1"/>
  <c r="E45" i="4" s="1"/>
  <c r="C44" i="4"/>
  <c r="E44" i="4" s="1"/>
  <c r="C43" i="4"/>
  <c r="E43" i="4" s="1"/>
  <c r="C41" i="4"/>
  <c r="E41" i="4" s="1"/>
  <c r="E40" i="4"/>
  <c r="C39" i="4"/>
  <c r="E39" i="4" s="1"/>
  <c r="C38" i="4"/>
  <c r="E38" i="4" s="1"/>
  <c r="C36" i="4"/>
  <c r="E36" i="4" s="1"/>
  <c r="C33" i="4"/>
  <c r="E33" i="4" s="1"/>
  <c r="C31" i="4"/>
  <c r="C32" i="4" s="1"/>
  <c r="E32" i="4" s="1"/>
  <c r="C30" i="4"/>
  <c r="E30" i="4" s="1"/>
  <c r="C29" i="4"/>
  <c r="E29" i="4" s="1"/>
  <c r="C24" i="4"/>
  <c r="C25" i="4" s="1"/>
  <c r="E25" i="4" s="1"/>
  <c r="E21" i="4"/>
  <c r="E20" i="4"/>
  <c r="E7" i="1"/>
  <c r="G17" i="1" s="1"/>
  <c r="J37" i="1" l="1"/>
  <c r="E31" i="4"/>
  <c r="E24" i="4"/>
  <c r="C34" i="4"/>
  <c r="E34" i="4" s="1"/>
  <c r="M13" i="1" l="1"/>
  <c r="I17" i="1" l="1"/>
  <c r="C23" i="3"/>
  <c r="C24" i="3" s="1"/>
  <c r="E24" i="3" s="1"/>
  <c r="C29" i="3"/>
  <c r="C44" i="3"/>
  <c r="E44" i="3" s="1"/>
  <c r="C43" i="3"/>
  <c r="C42" i="3"/>
  <c r="E42" i="3" s="1"/>
  <c r="C40" i="3"/>
  <c r="C37" i="3"/>
  <c r="C35" i="3"/>
  <c r="C32" i="3"/>
  <c r="C30" i="3"/>
  <c r="C31" i="3" s="1"/>
  <c r="E31" i="3" s="1"/>
  <c r="C28" i="3"/>
  <c r="E39" i="3"/>
  <c r="J39" i="1" l="1"/>
  <c r="J21" i="1"/>
  <c r="J17" i="1"/>
  <c r="J35" i="1"/>
  <c r="E40" i="3"/>
  <c r="E43" i="3"/>
  <c r="C38" i="3"/>
  <c r="C33" i="3" s="1"/>
  <c r="E33" i="3" s="1"/>
  <c r="E29" i="3"/>
  <c r="E28" i="3"/>
  <c r="E23" i="3"/>
  <c r="E35" i="3"/>
  <c r="E37" i="3"/>
  <c r="E30" i="3"/>
  <c r="E32" i="3"/>
  <c r="J19" i="1" l="1"/>
  <c r="J23" i="1"/>
  <c r="J27" i="1"/>
  <c r="J25" i="1"/>
  <c r="E38" i="3"/>
  <c r="J29" i="1" l="1"/>
  <c r="J31" i="1" l="1"/>
</calcChain>
</file>

<file path=xl/sharedStrings.xml><?xml version="1.0" encoding="utf-8"?>
<sst xmlns="http://schemas.openxmlformats.org/spreadsheetml/2006/main" count="526" uniqueCount="106">
  <si>
    <t xml:space="preserve">Area = </t>
  </si>
  <si>
    <t>m2</t>
  </si>
  <si>
    <t>Rip and Recompact (150mm)</t>
  </si>
  <si>
    <t>Formwork &lt; 200mm</t>
  </si>
  <si>
    <t>Concrete</t>
  </si>
  <si>
    <t>Concrete - Surface Beds)</t>
  </si>
  <si>
    <t>m3</t>
  </si>
  <si>
    <t>DPC</t>
  </si>
  <si>
    <t>Finishing (Power Float)</t>
  </si>
  <si>
    <t>No</t>
  </si>
  <si>
    <t>Joints</t>
  </si>
  <si>
    <t>m</t>
  </si>
  <si>
    <t>Surface Application (Floor Hardener &amp; Sealant) - Peneseal</t>
  </si>
  <si>
    <t>- Saw Tied Joint (STJ)</t>
  </si>
  <si>
    <t>- Keyed Construction Joints (KCJ)</t>
  </si>
  <si>
    <t>- Isolation Joints (IJ)</t>
  </si>
  <si>
    <t>Mesh 617 (Top and Bottom layers)</t>
  </si>
  <si>
    <t>Formwork</t>
  </si>
  <si>
    <t>Chamfers</t>
  </si>
  <si>
    <t>Reinforcement</t>
  </si>
  <si>
    <t>t</t>
  </si>
  <si>
    <t>Foundation width =</t>
  </si>
  <si>
    <t>Foundation length =</t>
  </si>
  <si>
    <t>Foundation depth =</t>
  </si>
  <si>
    <t>Working Space =</t>
  </si>
  <si>
    <t>Excavation depth below foundations</t>
  </si>
  <si>
    <t>Number of stub-columns =</t>
  </si>
  <si>
    <t>S/Column width =</t>
  </si>
  <si>
    <t>S/Column length =</t>
  </si>
  <si>
    <t>S/Column height =</t>
  </si>
  <si>
    <t>Number of HD bolts per s/column =</t>
  </si>
  <si>
    <t>Reinforcement (kg/m3) =</t>
  </si>
  <si>
    <t>Number of Foundations =</t>
  </si>
  <si>
    <t>Total Quantities</t>
  </si>
  <si>
    <t>Demolition</t>
  </si>
  <si>
    <t>Neatly saw-cut existing concrete =</t>
  </si>
  <si>
    <t>Demolish existing concrete floor (250mm thick) =</t>
  </si>
  <si>
    <t>Earthworks</t>
  </si>
  <si>
    <t>Excavations =</t>
  </si>
  <si>
    <t>B/Fill =</t>
  </si>
  <si>
    <t>Concrete Work</t>
  </si>
  <si>
    <t>- Bases (Vertical ) Rough) =</t>
  </si>
  <si>
    <t>- Stub-Columns (Vertical ) Smooth) =</t>
  </si>
  <si>
    <t>Pockets</t>
  </si>
  <si>
    <t>HD Bolts (M20) =</t>
  </si>
  <si>
    <t>Blinding =</t>
  </si>
  <si>
    <t xml:space="preserve">Concrete 25 Mpa </t>
  </si>
  <si>
    <t>- Bases =</t>
  </si>
  <si>
    <t>- Surface Bed</t>
  </si>
  <si>
    <t>Finishing (Steel Float) =</t>
  </si>
  <si>
    <t>Epoxy</t>
  </si>
  <si>
    <t>- HD Bolts</t>
  </si>
  <si>
    <t>- B/Plates</t>
  </si>
  <si>
    <t>Isolation Joints</t>
  </si>
  <si>
    <t xml:space="preserve">- Columns </t>
  </si>
  <si>
    <t>AREA 1</t>
  </si>
  <si>
    <t>Piles</t>
  </si>
  <si>
    <t>CFA 750mm diameter</t>
  </si>
  <si>
    <t>200mm Thick Concrete Slab</t>
  </si>
  <si>
    <t>Stage 1 Clarifier</t>
  </si>
  <si>
    <t>Retaining Wall</t>
  </si>
  <si>
    <t>.</t>
  </si>
  <si>
    <t>Surface Bed -225mm thick</t>
  </si>
  <si>
    <t>Retaining Wall - Length</t>
  </si>
  <si>
    <t xml:space="preserve">Excavation </t>
  </si>
  <si>
    <t>To Be Calculated</t>
  </si>
  <si>
    <t>Backfill</t>
  </si>
  <si>
    <t>Rough</t>
  </si>
  <si>
    <t>- Bases</t>
  </si>
  <si>
    <t>Smooth</t>
  </si>
  <si>
    <t>- Walls</t>
  </si>
  <si>
    <t>Cast in Items</t>
  </si>
  <si>
    <t>Supply, and fix in position with all necessary templates (rates to include for the supply and fabrication of templates) and cast into concretethe following Hot-Dip Galvanized items:</t>
  </si>
  <si>
    <t xml:space="preserve">Supply, cut, bend, hoist or lower level, place and </t>
  </si>
  <si>
    <t>fix as follows:</t>
  </si>
  <si>
    <t xml:space="preserve">50 x 50 x 5mm Angle iron frame with 20 x 5mm </t>
  </si>
  <si>
    <t>(250mm long) lugs welded at 450mm centres with</t>
  </si>
  <si>
    <t>split and spread ends cast into concrete edges</t>
  </si>
  <si>
    <t>Cast-in concrete wall a 200mm diameter puddle flange pipe</t>
  </si>
  <si>
    <t>Install puddle pipes (100 to 400 diameter)</t>
  </si>
  <si>
    <t>- Retaining Walls</t>
  </si>
  <si>
    <t>Concrete -30 Mpa</t>
  </si>
  <si>
    <t>Blinding</t>
  </si>
  <si>
    <t>Bases</t>
  </si>
  <si>
    <t>Finishing</t>
  </si>
  <si>
    <t>Joints in retaining wall</t>
  </si>
  <si>
    <t>'- Joint A Expansion Joint in Wall</t>
  </si>
  <si>
    <t>'- Joint E (Contraction Joint in Wall)</t>
  </si>
  <si>
    <t>'- Joint E1 (Contraction Joint in Wall)</t>
  </si>
  <si>
    <t>Peneseal Pro to be applied to inside of bunded area</t>
  </si>
  <si>
    <t>Sump Volume =</t>
  </si>
  <si>
    <t>Exavation</t>
  </si>
  <si>
    <t>'- Bases</t>
  </si>
  <si>
    <t>'- Walls</t>
  </si>
  <si>
    <t xml:space="preserve">  </t>
  </si>
  <si>
    <t xml:space="preserve">Reinforcement </t>
  </si>
  <si>
    <t>' - Blinding</t>
  </si>
  <si>
    <t>' - Bases</t>
  </si>
  <si>
    <t>' - Walls</t>
  </si>
  <si>
    <t>Cast in Angles</t>
  </si>
  <si>
    <t>Mentis Grating</t>
  </si>
  <si>
    <t>Epoxy (Walls)</t>
  </si>
  <si>
    <t>DCIS 610mm diameter</t>
  </si>
  <si>
    <t>Stage 1 and Stage 2 Clarifier</t>
  </si>
  <si>
    <t>Brine Tratment Plant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</si>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</sst>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8"/>
      <color theme="4"/>
      <name val="Calibri"/>
      <family val="2"/>
      <scheme val="minor"/>
    </font>
    <font>
      <sz val="8"/>
      <color theme="7" tint="0.39997558519241921"/>
      <name val="Calibri"/>
      <family val="2"/>
      <scheme val="minor"/>
    </font>
    <font>
      <b/>
      <u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rgb="FFFFC000"/>
      </left>
      <right style="thin">
        <color theme="4"/>
      </right>
      <top/>
      <bottom/>
      <diagonal/>
    </border>
    <border>
      <left style="thin">
        <color rgb="FFFFC000"/>
      </left>
      <right style="thin">
        <color theme="4"/>
      </right>
      <top style="thin">
        <color rgb="FF0070C0"/>
      </top>
      <bottom style="thin">
        <color theme="7" tint="0.39994506668294322"/>
      </bottom>
      <diagonal/>
    </border>
    <border>
      <left style="thin">
        <color rgb="FFFFC000"/>
      </left>
      <right style="thin">
        <color theme="4"/>
      </right>
      <top style="thin">
        <color theme="7" tint="0.39994506668294322"/>
      </top>
      <bottom style="thin">
        <color rgb="FF0070C0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rgb="FF0070C0"/>
      </bottom>
      <diagonal/>
    </border>
    <border>
      <left style="thin">
        <color theme="7" tint="0.39994506668294322"/>
      </left>
      <right style="thin">
        <color rgb="FF0070C0"/>
      </right>
      <top/>
      <bottom/>
      <diagonal/>
    </border>
    <border>
      <left style="thin">
        <color theme="7" tint="0.39994506668294322"/>
      </left>
      <right style="thin">
        <color rgb="FF0070C0"/>
      </right>
      <top style="thin">
        <color rgb="FF0070C0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rgb="FF0070C0"/>
      </right>
      <top style="thin">
        <color theme="7" tint="0.39994506668294322"/>
      </top>
      <bottom style="thin">
        <color rgb="FF0070C0"/>
      </bottom>
      <diagonal/>
    </border>
    <border>
      <left/>
      <right/>
      <top/>
      <bottom style="thick">
        <color auto="1"/>
      </bottom>
      <diagonal/>
    </border>
    <border>
      <left style="thin">
        <color rgb="FFFFC000"/>
      </left>
      <right style="thin">
        <color theme="4"/>
      </right>
      <top style="thin">
        <color rgb="FF0070C0"/>
      </top>
      <bottom style="thin">
        <color rgb="FFFF0000"/>
      </bottom>
      <diagonal/>
    </border>
    <border>
      <left style="thin">
        <color rgb="FFFFC000"/>
      </left>
      <right/>
      <top/>
      <bottom/>
      <diagonal/>
    </border>
    <border>
      <left style="thin">
        <color rgb="FFFFC000"/>
      </left>
      <right/>
      <top style="thin">
        <color rgb="FF0070C0"/>
      </top>
      <bottom style="thin">
        <color theme="7" tint="0.39994506668294322"/>
      </bottom>
      <diagonal/>
    </border>
    <border>
      <left style="thin">
        <color rgb="FFFFC000"/>
      </left>
      <right/>
      <top style="thin">
        <color rgb="FF0070C0"/>
      </top>
      <bottom style="thin">
        <color rgb="FFFF0000"/>
      </bottom>
      <diagonal/>
    </border>
    <border>
      <left style="thin">
        <color theme="7" tint="0.39994506668294322"/>
      </left>
      <right style="thin">
        <color rgb="FF0070C0"/>
      </right>
      <top style="thin">
        <color rgb="FF0070C0"/>
      </top>
      <bottom style="thin">
        <color rgb="FFFF0000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indexed="64"/>
      </left>
      <right style="thin">
        <color theme="7" tint="0.39994506668294322"/>
      </right>
      <top style="medium">
        <color indexed="64"/>
      </top>
      <bottom style="thin">
        <color rgb="FFFFC000"/>
      </bottom>
      <diagonal/>
    </border>
    <border>
      <left style="thin">
        <color theme="7" tint="0.39994506668294322"/>
      </left>
      <right style="thin">
        <color rgb="FF0070C0"/>
      </right>
      <top style="medium">
        <color indexed="64"/>
      </top>
      <bottom style="thin">
        <color rgb="FFFFC000"/>
      </bottom>
      <diagonal/>
    </border>
    <border>
      <left style="thin">
        <color rgb="FFFFC000"/>
      </left>
      <right/>
      <top style="medium">
        <color indexed="64"/>
      </top>
      <bottom style="thin">
        <color rgb="FFFFC000"/>
      </bottom>
      <diagonal/>
    </border>
    <border>
      <left/>
      <right style="medium">
        <color indexed="64"/>
      </right>
      <top style="medium">
        <color indexed="64"/>
      </top>
      <bottom style="thin">
        <color rgb="FFFFC000"/>
      </bottom>
      <diagonal/>
    </border>
    <border>
      <left style="medium">
        <color indexed="64"/>
      </left>
      <right style="thin">
        <color rgb="FFFFC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C000"/>
      </right>
      <top style="thin">
        <color rgb="FF0070C0"/>
      </top>
      <bottom style="thin">
        <color theme="7" tint="0.39994506668294322"/>
      </bottom>
      <diagonal/>
    </border>
    <border>
      <left/>
      <right style="medium">
        <color indexed="64"/>
      </right>
      <top style="thin">
        <color rgb="FF0070C0"/>
      </top>
      <bottom style="thin">
        <color theme="7" tint="0.39994506668294322"/>
      </bottom>
      <diagonal/>
    </border>
    <border>
      <left style="medium">
        <color indexed="64"/>
      </left>
      <right style="thin">
        <color rgb="FFFFC000"/>
      </right>
      <top style="thin">
        <color theme="7" tint="0.39994506668294322"/>
      </top>
      <bottom style="thin">
        <color rgb="FF0070C0"/>
      </bottom>
      <diagonal/>
    </border>
    <border>
      <left/>
      <right style="medium">
        <color indexed="64"/>
      </right>
      <top style="thin">
        <color theme="7" tint="0.39994506668294322"/>
      </top>
      <bottom style="thin">
        <color rgb="FF0070C0"/>
      </bottom>
      <diagonal/>
    </border>
    <border>
      <left style="medium">
        <color indexed="64"/>
      </left>
      <right style="thin">
        <color rgb="FFFFC000"/>
      </right>
      <top style="thin">
        <color rgb="FF0070C0"/>
      </top>
      <bottom style="thin">
        <color rgb="FFFF0000"/>
      </bottom>
      <diagonal/>
    </border>
    <border>
      <left/>
      <right style="medium">
        <color indexed="64"/>
      </right>
      <top style="thin">
        <color rgb="FF0070C0"/>
      </top>
      <bottom style="thin">
        <color rgb="FFFF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7" tint="0.39994506668294322"/>
      </left>
      <right style="thin">
        <color rgb="FF0070C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1" fontId="1" fillId="0" borderId="0" xfId="0" applyNumberFormat="1" applyFont="1"/>
    <xf numFmtId="3" fontId="1" fillId="0" borderId="0" xfId="0" applyNumberFormat="1" applyFont="1"/>
    <xf numFmtId="0" fontId="1" fillId="0" borderId="0" xfId="0" quotePrefix="1" applyFont="1"/>
    <xf numFmtId="0" fontId="3" fillId="0" borderId="0" xfId="0" quotePrefix="1" applyFont="1"/>
    <xf numFmtId="4" fontId="1" fillId="0" borderId="0" xfId="0" applyNumberFormat="1" applyFont="1"/>
    <xf numFmtId="0" fontId="4" fillId="0" borderId="0" xfId="0" quotePrefix="1" applyFont="1"/>
    <xf numFmtId="0" fontId="4" fillId="0" borderId="0" xfId="0" applyFont="1"/>
    <xf numFmtId="0" fontId="1" fillId="2" borderId="0" xfId="0" applyFont="1" applyFill="1"/>
    <xf numFmtId="0" fontId="1" fillId="0" borderId="0" xfId="0" applyFont="1" applyAlignment="1">
      <alignment horizontal="right" vertical="center"/>
    </xf>
    <xf numFmtId="0" fontId="3" fillId="2" borderId="0" xfId="0" applyFont="1" applyFill="1"/>
    <xf numFmtId="164" fontId="3" fillId="2" borderId="0" xfId="0" applyNumberFormat="1" applyFont="1" applyFill="1"/>
    <xf numFmtId="0" fontId="4" fillId="5" borderId="0" xfId="0" applyFont="1" applyFill="1"/>
    <xf numFmtId="0" fontId="3" fillId="5" borderId="0" xfId="0" applyFont="1" applyFill="1"/>
    <xf numFmtId="0" fontId="2" fillId="4" borderId="0" xfId="0" applyFont="1" applyFill="1"/>
    <xf numFmtId="0" fontId="1" fillId="4" borderId="0" xfId="0" applyFont="1" applyFill="1"/>
    <xf numFmtId="0" fontId="5" fillId="0" borderId="0" xfId="0" applyFont="1"/>
    <xf numFmtId="2" fontId="4" fillId="3" borderId="0" xfId="0" applyNumberFormat="1" applyFont="1" applyFill="1"/>
    <xf numFmtId="2" fontId="2" fillId="2" borderId="0" xfId="0" applyNumberFormat="1" applyFont="1" applyFill="1"/>
    <xf numFmtId="0" fontId="6" fillId="2" borderId="0" xfId="0" applyFont="1" applyFill="1"/>
    <xf numFmtId="1" fontId="2" fillId="4" borderId="0" xfId="0" applyNumberFormat="1" applyFont="1" applyFill="1"/>
    <xf numFmtId="0" fontId="6" fillId="4" borderId="0" xfId="0" applyFont="1" applyFill="1"/>
    <xf numFmtId="2" fontId="4" fillId="0" borderId="0" xfId="0" applyNumberFormat="1" applyFont="1"/>
    <xf numFmtId="1" fontId="2" fillId="2" borderId="0" xfId="0" applyNumberFormat="1" applyFont="1" applyFill="1"/>
    <xf numFmtId="0" fontId="7" fillId="0" borderId="0" xfId="0" applyFont="1"/>
    <xf numFmtId="2" fontId="1" fillId="0" borderId="0" xfId="0" applyNumberFormat="1" applyFont="1"/>
    <xf numFmtId="0" fontId="2" fillId="2" borderId="0" xfId="0" applyFont="1" applyFill="1"/>
    <xf numFmtId="0" fontId="8" fillId="0" borderId="0" xfId="0" quotePrefix="1" applyFont="1"/>
    <xf numFmtId="0" fontId="9" fillId="0" borderId="0" xfId="0" quotePrefix="1" applyFont="1"/>
    <xf numFmtId="1" fontId="4" fillId="0" borderId="0" xfId="0" applyNumberFormat="1" applyFont="1"/>
    <xf numFmtId="0" fontId="8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0" borderId="8" xfId="0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3" fontId="4" fillId="5" borderId="0" xfId="0" applyNumberFormat="1" applyFont="1" applyFill="1"/>
    <xf numFmtId="0" fontId="3" fillId="2" borderId="9" xfId="0" applyFont="1" applyFill="1" applyBorder="1" applyAlignment="1">
      <alignment vertical="center"/>
    </xf>
    <xf numFmtId="2" fontId="1" fillId="0" borderId="0" xfId="0" applyNumberFormat="1" applyFont="1" applyAlignment="1">
      <alignment horizontal="center"/>
    </xf>
    <xf numFmtId="0" fontId="8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vertical="center"/>
    </xf>
    <xf numFmtId="0" fontId="2" fillId="2" borderId="4" xfId="0" applyFont="1" applyFill="1" applyBorder="1" applyAlignment="1">
      <alignment vertical="center"/>
    </xf>
    <xf numFmtId="0" fontId="1" fillId="0" borderId="14" xfId="0" applyFont="1" applyBorder="1"/>
    <xf numFmtId="1" fontId="2" fillId="0" borderId="0" xfId="0" applyNumberFormat="1" applyFont="1"/>
    <xf numFmtId="2" fontId="3" fillId="2" borderId="0" xfId="0" applyNumberFormat="1" applyFont="1" applyFill="1"/>
    <xf numFmtId="164" fontId="2" fillId="4" borderId="0" xfId="0" applyNumberFormat="1" applyFont="1" applyFill="1"/>
    <xf numFmtId="0" fontId="1" fillId="2" borderId="15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8" fillId="2" borderId="19" xfId="0" applyFont="1" applyFill="1" applyBorder="1" applyAlignment="1">
      <alignment vertical="center"/>
    </xf>
    <xf numFmtId="0" fontId="8" fillId="2" borderId="20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" fillId="2" borderId="22" xfId="0" applyFont="1" applyFill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1" fillId="2" borderId="24" xfId="0" applyFont="1" applyFill="1" applyBorder="1" applyAlignment="1">
      <alignment vertical="center"/>
    </xf>
    <xf numFmtId="0" fontId="3" fillId="2" borderId="25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2" borderId="27" xfId="0" applyFont="1" applyFill="1" applyBorder="1" applyAlignment="1">
      <alignment vertical="center"/>
    </xf>
    <xf numFmtId="0" fontId="3" fillId="2" borderId="28" xfId="0" applyFont="1" applyFill="1" applyBorder="1" applyAlignment="1">
      <alignment vertical="center"/>
    </xf>
    <xf numFmtId="0" fontId="3" fillId="2" borderId="29" xfId="0" applyFont="1" applyFill="1" applyBorder="1" applyAlignment="1">
      <alignment vertical="center"/>
    </xf>
    <xf numFmtId="0" fontId="3" fillId="2" borderId="30" xfId="0" applyFont="1" applyFill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1" fillId="3" borderId="31" xfId="0" applyFont="1" applyFill="1" applyBorder="1" applyAlignment="1">
      <alignment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vertical="center"/>
    </xf>
    <xf numFmtId="0" fontId="1" fillId="3" borderId="33" xfId="0" applyFont="1" applyFill="1" applyBorder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4" borderId="0" xfId="0" applyFont="1" applyFill="1" applyAlignment="1">
      <alignment vertical="center"/>
    </xf>
    <xf numFmtId="1" fontId="4" fillId="4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1" fontId="4" fillId="3" borderId="0" xfId="0" applyNumberFormat="1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/>
    </xf>
    <xf numFmtId="0" fontId="4" fillId="0" borderId="0" xfId="0" quotePrefix="1" applyFont="1" applyAlignment="1">
      <alignment vertical="center" wrapText="1"/>
    </xf>
    <xf numFmtId="1" fontId="2" fillId="4" borderId="0" xfId="0" applyNumberFormat="1" applyFont="1" applyFill="1" applyAlignment="1">
      <alignment horizontal="center"/>
    </xf>
    <xf numFmtId="0" fontId="1" fillId="0" borderId="34" xfId="0" applyFont="1" applyBorder="1" applyAlignment="1">
      <alignment horizontal="centerContinuous" vertical="center"/>
    </xf>
    <xf numFmtId="2" fontId="1" fillId="0" borderId="0" xfId="0" applyNumberFormat="1" applyFont="1" applyAlignment="1">
      <alignment vertical="center"/>
    </xf>
    <xf numFmtId="0" fontId="1" fillId="2" borderId="35" xfId="0" applyFont="1" applyFill="1" applyBorder="1" applyAlignment="1">
      <alignment vertical="center"/>
    </xf>
    <xf numFmtId="0" fontId="1" fillId="2" borderId="36" xfId="0" applyFont="1" applyFill="1" applyBorder="1" applyAlignment="1">
      <alignment vertical="center"/>
    </xf>
    <xf numFmtId="0" fontId="1" fillId="2" borderId="31" xfId="0" applyFont="1" applyFill="1" applyBorder="1" applyAlignment="1">
      <alignment vertical="center"/>
    </xf>
    <xf numFmtId="0" fontId="1" fillId="2" borderId="32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1" fillId="0" borderId="0" xfId="0" applyFont="1" applyAlignment="1">
      <alignment horizontal="centerContinuous" vertical="center"/>
    </xf>
    <xf numFmtId="0" fontId="10" fillId="4" borderId="0" xfId="0" applyFont="1" applyFill="1"/>
    <xf numFmtId="4" fontId="2" fillId="4" borderId="0" xfId="0" applyNumberFormat="1" applyFont="1" applyFill="1"/>
    <xf numFmtId="0" fontId="2" fillId="4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</xdr:row>
      <xdr:rowOff>0</xdr:rowOff>
    </xdr:from>
    <xdr:to>
      <xdr:col>2</xdr:col>
      <xdr:colOff>228600</xdr:colOff>
      <xdr:row>20</xdr:row>
      <xdr:rowOff>190500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34976D4-835D-46EA-AC86-84259C511B05}"/>
            </a:ext>
          </a:extLst>
        </xdr:cNvPr>
        <xdr:cNvSpPr/>
      </xdr:nvSpPr>
      <xdr:spPr>
        <a:xfrm>
          <a:off x="1754505" y="533400"/>
          <a:ext cx="217170" cy="2371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0</xdr:colOff>
      <xdr:row>20</xdr:row>
      <xdr:rowOff>7620</xdr:rowOff>
    </xdr:from>
    <xdr:to>
      <xdr:col>3</xdr:col>
      <xdr:colOff>0</xdr:colOff>
      <xdr:row>20</xdr:row>
      <xdr:rowOff>198120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6AFD8A3-0C2D-4C1C-84A9-060336D68750}"/>
            </a:ext>
          </a:extLst>
        </xdr:cNvPr>
        <xdr:cNvSpPr/>
      </xdr:nvSpPr>
      <xdr:spPr>
        <a:xfrm>
          <a:off x="142875" y="2724150"/>
          <a:ext cx="2152650" cy="190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2</xdr:col>
      <xdr:colOff>213360</xdr:colOff>
      <xdr:row>17</xdr:row>
      <xdr:rowOff>7620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A83B846-95E1-4BB2-AC72-18315D3B423E}"/>
            </a:ext>
          </a:extLst>
        </xdr:cNvPr>
        <xdr:cNvCxnSpPr/>
      </xdr:nvCxnSpPr>
      <xdr:spPr>
        <a:xfrm flipH="1">
          <a:off x="142875" y="2314575"/>
          <a:ext cx="18097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358140</xdr:colOff>
      <xdr:row>3</xdr:row>
      <xdr:rowOff>121920</xdr:rowOff>
    </xdr:from>
    <xdr:to>
      <xdr:col>4</xdr:col>
      <xdr:colOff>0</xdr:colOff>
      <xdr:row>16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CC084E3-CC91-429C-9BDF-DDFD182937EC}"/>
            </a:ext>
          </a:extLst>
        </xdr:cNvPr>
        <xdr:cNvCxnSpPr/>
      </xdr:nvCxnSpPr>
      <xdr:spPr>
        <a:xfrm>
          <a:off x="2657475" y="523875"/>
          <a:ext cx="0" cy="16097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358140</xdr:colOff>
      <xdr:row>16</xdr:row>
      <xdr:rowOff>121920</xdr:rowOff>
    </xdr:from>
    <xdr:to>
      <xdr:col>4</xdr:col>
      <xdr:colOff>0</xdr:colOff>
      <xdr:row>20</xdr:row>
      <xdr:rowOff>38100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1C1984EC-CC09-4E00-9524-750134EDF810}"/>
            </a:ext>
          </a:extLst>
        </xdr:cNvPr>
        <xdr:cNvCxnSpPr/>
      </xdr:nvCxnSpPr>
      <xdr:spPr>
        <a:xfrm flipH="1">
          <a:off x="2657475" y="2257425"/>
          <a:ext cx="0" cy="4953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7620</xdr:rowOff>
    </xdr:from>
    <xdr:to>
      <xdr:col>4</xdr:col>
      <xdr:colOff>0</xdr:colOff>
      <xdr:row>21</xdr:row>
      <xdr:rowOff>15240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DC05DBF-9EC9-4226-8B24-3821A4FA052E}"/>
            </a:ext>
          </a:extLst>
        </xdr:cNvPr>
        <xdr:cNvCxnSpPr/>
      </xdr:nvCxnSpPr>
      <xdr:spPr>
        <a:xfrm>
          <a:off x="2657475" y="2724150"/>
          <a:ext cx="0" cy="2381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114300</xdr:rowOff>
    </xdr:from>
    <xdr:to>
      <xdr:col>4</xdr:col>
      <xdr:colOff>0</xdr:colOff>
      <xdr:row>16</xdr:row>
      <xdr:rowOff>167640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FBB95AA7-BC2D-48BE-9DFD-BD25FC535FCD}"/>
            </a:ext>
          </a:extLst>
        </xdr:cNvPr>
        <xdr:cNvCxnSpPr/>
      </xdr:nvCxnSpPr>
      <xdr:spPr>
        <a:xfrm>
          <a:off x="2657475" y="2114550"/>
          <a:ext cx="0" cy="1905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22</xdr:row>
      <xdr:rowOff>0</xdr:rowOff>
    </xdr:from>
    <xdr:to>
      <xdr:col>2</xdr:col>
      <xdr:colOff>0</xdr:colOff>
      <xdr:row>22</xdr:row>
      <xdr:rowOff>9525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69BC2E23-9661-41F1-AE4C-002B0A21EEDE}"/>
            </a:ext>
          </a:extLst>
        </xdr:cNvPr>
        <xdr:cNvCxnSpPr/>
      </xdr:nvCxnSpPr>
      <xdr:spPr>
        <a:xfrm>
          <a:off x="102870" y="3152775"/>
          <a:ext cx="1640205" cy="1143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236220</xdr:colOff>
      <xdr:row>21</xdr:row>
      <xdr:rowOff>205740</xdr:rowOff>
    </xdr:from>
    <xdr:to>
      <xdr:col>2</xdr:col>
      <xdr:colOff>541020</xdr:colOff>
      <xdr:row>21</xdr:row>
      <xdr:rowOff>205740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8A1D78E-61D1-410F-BA6A-2317065D7B42}"/>
            </a:ext>
          </a:extLst>
        </xdr:cNvPr>
        <xdr:cNvCxnSpPr/>
      </xdr:nvCxnSpPr>
      <xdr:spPr>
        <a:xfrm flipH="1">
          <a:off x="1981200" y="3152775"/>
          <a:ext cx="304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1581150</xdr:colOff>
      <xdr:row>22</xdr:row>
      <xdr:rowOff>9525</xdr:rowOff>
    </xdr:from>
    <xdr:to>
      <xdr:col>2</xdr:col>
      <xdr:colOff>285750</xdr:colOff>
      <xdr:row>22</xdr:row>
      <xdr:rowOff>9525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23B1976-1A8C-427C-9587-7B3E55B60517}"/>
            </a:ext>
          </a:extLst>
        </xdr:cNvPr>
        <xdr:cNvCxnSpPr/>
      </xdr:nvCxnSpPr>
      <xdr:spPr>
        <a:xfrm flipH="1">
          <a:off x="1720215" y="3164205"/>
          <a:ext cx="304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4</xdr:row>
      <xdr:rowOff>28575</xdr:rowOff>
    </xdr:from>
    <xdr:to>
      <xdr:col>6</xdr:col>
      <xdr:colOff>0</xdr:colOff>
      <xdr:row>4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FD3034F-CE8A-4C4C-B100-9E444749AFEB}"/>
            </a:ext>
          </a:extLst>
        </xdr:cNvPr>
        <xdr:cNvSpPr/>
      </xdr:nvSpPr>
      <xdr:spPr>
        <a:xfrm>
          <a:off x="2171700" y="767715"/>
          <a:ext cx="1143000" cy="47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289560</xdr:colOff>
      <xdr:row>2</xdr:row>
      <xdr:rowOff>175260</xdr:rowOff>
    </xdr:from>
    <xdr:to>
      <xdr:col>5</xdr:col>
      <xdr:colOff>289560</xdr:colOff>
      <xdr:row>4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45765E17-CB6B-49CE-B8B8-E03A92716531}"/>
            </a:ext>
          </a:extLst>
        </xdr:cNvPr>
        <xdr:cNvCxnSpPr/>
      </xdr:nvCxnSpPr>
      <xdr:spPr>
        <a:xfrm>
          <a:off x="3238500" y="541020"/>
          <a:ext cx="0" cy="297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285750</xdr:colOff>
      <xdr:row>4</xdr:row>
      <xdr:rowOff>66675</xdr:rowOff>
    </xdr:from>
    <xdr:to>
      <xdr:col>5</xdr:col>
      <xdr:colOff>285750</xdr:colOff>
      <xdr:row>7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58C80F3-3169-4774-83D5-369713CFA782}"/>
            </a:ext>
          </a:extLst>
        </xdr:cNvPr>
        <xdr:cNvCxnSpPr/>
      </xdr:nvCxnSpPr>
      <xdr:spPr>
        <a:xfrm>
          <a:off x="3234690" y="805815"/>
          <a:ext cx="0" cy="48196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426720</xdr:colOff>
      <xdr:row>2</xdr:row>
      <xdr:rowOff>182880</xdr:rowOff>
    </xdr:from>
    <xdr:to>
      <xdr:col>4</xdr:col>
      <xdr:colOff>426720</xdr:colOff>
      <xdr:row>8</xdr:row>
      <xdr:rowOff>7620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036575E-33A1-4030-9C62-AA865770DE01}"/>
            </a:ext>
          </a:extLst>
        </xdr:cNvPr>
        <xdr:cNvCxnSpPr/>
      </xdr:nvCxnSpPr>
      <xdr:spPr>
        <a:xfrm>
          <a:off x="2857500" y="548640"/>
          <a:ext cx="0" cy="92964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601980</xdr:colOff>
      <xdr:row>9</xdr:row>
      <xdr:rowOff>0</xdr:rowOff>
    </xdr:from>
    <xdr:to>
      <xdr:col>11</xdr:col>
      <xdr:colOff>7620</xdr:colOff>
      <xdr:row>9</xdr:row>
      <xdr:rowOff>7620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D2186D94-431D-4841-94B8-44A46D9C9C45}"/>
            </a:ext>
          </a:extLst>
        </xdr:cNvPr>
        <xdr:cNvCxnSpPr/>
      </xdr:nvCxnSpPr>
      <xdr:spPr>
        <a:xfrm>
          <a:off x="2948940" y="1653540"/>
          <a:ext cx="2575560" cy="76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18D7-9087-4DBF-A51A-111A849D43F9}">
  <dimension ref="A2:J44"/>
  <sheetViews>
    <sheetView workbookViewId="0">
      <selection activeCell="H46" sqref="H46"/>
    </sheetView>
  </sheetViews>
  <sheetFormatPr defaultColWidth="9.140625" defaultRowHeight="11.25" x14ac:dyDescent="0.2"/>
  <cols>
    <col min="1" max="1" width="3.85546875" style="1" customWidth="1"/>
    <col min="2" max="2" width="35.140625" style="1" customWidth="1"/>
    <col min="3" max="3" width="7.85546875" style="1" customWidth="1"/>
    <col min="4" max="4" width="5.7109375" style="1" customWidth="1"/>
    <col min="5" max="6" width="9.140625" style="1"/>
    <col min="7" max="7" width="4.140625" style="1" customWidth="1"/>
    <col min="8" max="8" width="3.85546875" style="1" customWidth="1"/>
    <col min="9" max="16384" width="9.140625" style="1"/>
  </cols>
  <sheetData>
    <row r="2" spans="2:8" ht="16.899999999999999" customHeight="1" x14ac:dyDescent="0.2">
      <c r="B2" s="2" t="s">
        <v>104</v>
      </c>
    </row>
    <row r="4" spans="2:8" x14ac:dyDescent="0.2">
      <c r="B4" s="13" t="s">
        <v>21</v>
      </c>
      <c r="C4" s="15">
        <v>1.25</v>
      </c>
      <c r="D4" s="13" t="s">
        <v>11</v>
      </c>
    </row>
    <row r="5" spans="2:8" x14ac:dyDescent="0.2">
      <c r="B5" s="13" t="s">
        <v>22</v>
      </c>
      <c r="C5" s="55">
        <v>1.25</v>
      </c>
      <c r="D5" s="13" t="s">
        <v>11</v>
      </c>
    </row>
    <row r="6" spans="2:8" x14ac:dyDescent="0.2">
      <c r="B6" s="13" t="s">
        <v>23</v>
      </c>
      <c r="C6" s="15">
        <v>1</v>
      </c>
      <c r="D6" s="13" t="s">
        <v>11</v>
      </c>
    </row>
    <row r="7" spans="2:8" x14ac:dyDescent="0.2">
      <c r="B7" s="13" t="s">
        <v>24</v>
      </c>
      <c r="C7" s="15">
        <v>0.6</v>
      </c>
      <c r="D7" s="13" t="s">
        <v>11</v>
      </c>
    </row>
    <row r="8" spans="2:8" x14ac:dyDescent="0.2">
      <c r="B8" s="13" t="s">
        <v>25</v>
      </c>
      <c r="C8" s="15">
        <v>0.05</v>
      </c>
      <c r="D8" s="13" t="s">
        <v>11</v>
      </c>
    </row>
    <row r="9" spans="2:8" x14ac:dyDescent="0.2">
      <c r="B9" s="13"/>
      <c r="C9" s="15"/>
      <c r="D9" s="13"/>
    </row>
    <row r="10" spans="2:8" x14ac:dyDescent="0.2">
      <c r="B10" s="13" t="s">
        <v>26</v>
      </c>
      <c r="C10" s="15">
        <v>1</v>
      </c>
      <c r="D10" s="13" t="s">
        <v>9</v>
      </c>
    </row>
    <row r="11" spans="2:8" x14ac:dyDescent="0.2">
      <c r="B11" s="13" t="s">
        <v>27</v>
      </c>
      <c r="C11" s="15">
        <v>0.6</v>
      </c>
      <c r="D11" s="13" t="s">
        <v>11</v>
      </c>
    </row>
    <row r="12" spans="2:8" x14ac:dyDescent="0.2">
      <c r="B12" s="13" t="s">
        <v>28</v>
      </c>
      <c r="C12" s="15">
        <v>0.6</v>
      </c>
      <c r="D12" s="13" t="s">
        <v>11</v>
      </c>
    </row>
    <row r="13" spans="2:8" x14ac:dyDescent="0.2">
      <c r="B13" s="13" t="s">
        <v>29</v>
      </c>
      <c r="C13" s="16">
        <v>1.1000000000000001</v>
      </c>
      <c r="D13" s="13" t="s">
        <v>11</v>
      </c>
    </row>
    <row r="14" spans="2:8" x14ac:dyDescent="0.2">
      <c r="B14" s="13" t="s">
        <v>30</v>
      </c>
      <c r="C14" s="15">
        <v>4</v>
      </c>
      <c r="D14" s="13" t="s">
        <v>9</v>
      </c>
    </row>
    <row r="15" spans="2:8" x14ac:dyDescent="0.2">
      <c r="B15" s="13" t="s">
        <v>31</v>
      </c>
      <c r="C15" s="15">
        <v>115</v>
      </c>
      <c r="D15" s="13"/>
      <c r="E15" s="17" t="s">
        <v>32</v>
      </c>
      <c r="F15" s="17"/>
      <c r="G15" s="18">
        <v>25</v>
      </c>
      <c r="H15" s="12" t="s">
        <v>9</v>
      </c>
    </row>
    <row r="16" spans="2:8" x14ac:dyDescent="0.2">
      <c r="B16" s="13"/>
      <c r="C16" s="15"/>
      <c r="D16" s="13"/>
      <c r="E16" s="17"/>
      <c r="F16" s="17"/>
      <c r="G16" s="18"/>
      <c r="H16" s="12"/>
    </row>
    <row r="17" spans="1:10" x14ac:dyDescent="0.2">
      <c r="A17" s="12"/>
      <c r="B17" s="12"/>
      <c r="C17" s="12"/>
      <c r="D17" s="12"/>
      <c r="E17" s="2" t="s">
        <v>33</v>
      </c>
      <c r="I17" s="19" t="s">
        <v>33</v>
      </c>
      <c r="J17" s="20"/>
    </row>
    <row r="18" spans="1:10" x14ac:dyDescent="0.2">
      <c r="A18" s="12"/>
      <c r="B18" s="12"/>
      <c r="C18" s="12"/>
      <c r="D18" s="12"/>
      <c r="E18" s="2"/>
      <c r="I18" s="20"/>
      <c r="J18" s="20"/>
    </row>
    <row r="19" spans="1:10" x14ac:dyDescent="0.2">
      <c r="A19" s="12"/>
      <c r="B19" s="21" t="s">
        <v>56</v>
      </c>
      <c r="C19" s="12"/>
      <c r="D19" s="12"/>
      <c r="I19" s="20"/>
      <c r="J19" s="20"/>
    </row>
    <row r="20" spans="1:10" x14ac:dyDescent="0.2">
      <c r="A20" s="12">
        <v>1</v>
      </c>
      <c r="B20" s="12" t="s">
        <v>57</v>
      </c>
      <c r="C20" s="12">
        <v>25</v>
      </c>
      <c r="D20" s="12" t="s">
        <v>9</v>
      </c>
      <c r="E20" s="23"/>
      <c r="F20" s="24"/>
      <c r="H20" s="1" t="s">
        <v>105</v>
      </c>
      <c r="I20" s="56">
        <f>C20</f>
        <v>25</v>
      </c>
      <c r="J20" s="26" t="s">
        <v>9</v>
      </c>
    </row>
    <row r="21" spans="1:10" x14ac:dyDescent="0.2">
      <c r="A21" s="12"/>
      <c r="B21" s="12"/>
      <c r="C21" s="27"/>
      <c r="D21" s="12"/>
      <c r="E21" s="23"/>
      <c r="F21" s="24"/>
      <c r="I21" s="56"/>
      <c r="J21" s="26"/>
    </row>
    <row r="22" spans="1:10" x14ac:dyDescent="0.2">
      <c r="A22" s="12"/>
      <c r="B22" s="21" t="s">
        <v>37</v>
      </c>
      <c r="C22" s="27"/>
      <c r="D22" s="12"/>
      <c r="E22" s="23"/>
      <c r="F22" s="24"/>
      <c r="I22" s="56"/>
      <c r="J22" s="26"/>
    </row>
    <row r="23" spans="1:10" x14ac:dyDescent="0.2">
      <c r="A23" s="12">
        <v>2</v>
      </c>
      <c r="B23" s="12" t="s">
        <v>38</v>
      </c>
      <c r="C23" s="27">
        <f>(C4+C7)*(C5+C7)*(C6+C8)</f>
        <v>3.5936250000000003</v>
      </c>
      <c r="D23" s="12" t="s">
        <v>6</v>
      </c>
      <c r="E23" s="28">
        <f t="shared" ref="E23:E44" si="0">C23*G$15</f>
        <v>89.840625000000003</v>
      </c>
      <c r="F23" s="24" t="s">
        <v>6</v>
      </c>
      <c r="H23" s="1" t="s">
        <v>105</v>
      </c>
      <c r="I23" s="56">
        <f>E23</f>
        <v>89.840625000000003</v>
      </c>
      <c r="J23" s="26" t="s">
        <v>6</v>
      </c>
    </row>
    <row r="24" spans="1:10" x14ac:dyDescent="0.2">
      <c r="A24" s="12">
        <v>3</v>
      </c>
      <c r="B24" s="12" t="s">
        <v>39</v>
      </c>
      <c r="C24" s="27">
        <f>C23-(C4*C5*C6)</f>
        <v>2.0311250000000003</v>
      </c>
      <c r="D24" s="12" t="s">
        <v>6</v>
      </c>
      <c r="E24" s="28">
        <f t="shared" si="0"/>
        <v>50.77812500000001</v>
      </c>
      <c r="F24" s="24" t="s">
        <v>6</v>
      </c>
      <c r="H24" s="1" t="s">
        <v>105</v>
      </c>
      <c r="I24" s="56">
        <f>E24</f>
        <v>50.77812500000001</v>
      </c>
      <c r="J24" s="26" t="s">
        <v>6</v>
      </c>
    </row>
    <row r="25" spans="1:10" x14ac:dyDescent="0.2">
      <c r="A25" s="12"/>
      <c r="B25" s="12"/>
      <c r="C25" s="27"/>
      <c r="D25" s="12"/>
      <c r="E25" s="28"/>
      <c r="F25" s="24"/>
      <c r="I25" s="56"/>
      <c r="J25" s="26"/>
    </row>
    <row r="26" spans="1:10" x14ac:dyDescent="0.2">
      <c r="A26" s="12"/>
      <c r="B26" s="21" t="s">
        <v>40</v>
      </c>
      <c r="C26" s="27"/>
      <c r="D26" s="12"/>
      <c r="E26" s="28"/>
      <c r="F26" s="24"/>
      <c r="I26" s="56"/>
      <c r="J26" s="26"/>
    </row>
    <row r="27" spans="1:10" x14ac:dyDescent="0.2">
      <c r="A27" s="12"/>
      <c r="B27" s="12" t="s">
        <v>17</v>
      </c>
      <c r="C27" s="27"/>
      <c r="D27" s="12"/>
      <c r="E27" s="28"/>
      <c r="F27" s="24"/>
      <c r="I27" s="56"/>
      <c r="J27" s="26"/>
    </row>
    <row r="28" spans="1:10" x14ac:dyDescent="0.2">
      <c r="A28" s="12">
        <v>4</v>
      </c>
      <c r="B28" s="11" t="s">
        <v>41</v>
      </c>
      <c r="C28" s="27">
        <f>(2*(C4*C6))+(2*(C5*C6))</f>
        <v>5</v>
      </c>
      <c r="D28" s="12" t="s">
        <v>1</v>
      </c>
      <c r="E28" s="28">
        <f t="shared" si="0"/>
        <v>125</v>
      </c>
      <c r="F28" s="24" t="s">
        <v>1</v>
      </c>
      <c r="H28" s="1" t="s">
        <v>105</v>
      </c>
      <c r="I28" s="56">
        <f t="shared" ref="I28:I33" si="1">E28</f>
        <v>125</v>
      </c>
      <c r="J28" s="26" t="s">
        <v>1</v>
      </c>
    </row>
    <row r="29" spans="1:10" x14ac:dyDescent="0.2">
      <c r="A29" s="12">
        <v>5</v>
      </c>
      <c r="B29" s="11" t="s">
        <v>42</v>
      </c>
      <c r="C29" s="27">
        <f>((2*(C11*C13))+((C12*C13)*2))*C10</f>
        <v>2.64</v>
      </c>
      <c r="D29" s="12" t="s">
        <v>1</v>
      </c>
      <c r="E29" s="28">
        <f t="shared" si="0"/>
        <v>66</v>
      </c>
      <c r="F29" s="24" t="s">
        <v>1</v>
      </c>
      <c r="H29" s="1" t="s">
        <v>105</v>
      </c>
      <c r="I29" s="56">
        <f t="shared" si="1"/>
        <v>66</v>
      </c>
      <c r="J29" s="26" t="s">
        <v>1</v>
      </c>
    </row>
    <row r="30" spans="1:10" x14ac:dyDescent="0.2">
      <c r="A30" s="12"/>
      <c r="B30" s="21" t="s">
        <v>43</v>
      </c>
      <c r="C30" s="27">
        <f>C14*C10</f>
        <v>4</v>
      </c>
      <c r="D30" s="12" t="s">
        <v>9</v>
      </c>
      <c r="E30" s="28">
        <f t="shared" si="0"/>
        <v>100</v>
      </c>
      <c r="F30" s="24" t="s">
        <v>9</v>
      </c>
      <c r="H30" s="1" t="s">
        <v>105</v>
      </c>
      <c r="I30" s="56">
        <f t="shared" si="1"/>
        <v>100</v>
      </c>
      <c r="J30" s="26" t="s">
        <v>9</v>
      </c>
    </row>
    <row r="31" spans="1:10" x14ac:dyDescent="0.2">
      <c r="A31" s="12">
        <v>6</v>
      </c>
      <c r="B31" s="12" t="s">
        <v>44</v>
      </c>
      <c r="C31" s="27">
        <f>C30</f>
        <v>4</v>
      </c>
      <c r="D31" s="12" t="s">
        <v>9</v>
      </c>
      <c r="E31" s="28">
        <f t="shared" si="0"/>
        <v>100</v>
      </c>
      <c r="F31" s="24" t="s">
        <v>9</v>
      </c>
      <c r="H31" s="1" t="s">
        <v>105</v>
      </c>
      <c r="I31" s="56">
        <f t="shared" si="1"/>
        <v>100</v>
      </c>
      <c r="J31" s="26" t="s">
        <v>9</v>
      </c>
    </row>
    <row r="32" spans="1:10" x14ac:dyDescent="0.2">
      <c r="A32" s="12">
        <v>7</v>
      </c>
      <c r="B32" s="21" t="s">
        <v>18</v>
      </c>
      <c r="C32" s="27">
        <f>(2*C11)+(2*C12)+(2*C4)+(C5*2)</f>
        <v>7.4</v>
      </c>
      <c r="D32" s="12" t="s">
        <v>11</v>
      </c>
      <c r="E32" s="28">
        <f t="shared" si="0"/>
        <v>185</v>
      </c>
      <c r="F32" s="24" t="s">
        <v>11</v>
      </c>
      <c r="H32" s="1" t="s">
        <v>105</v>
      </c>
      <c r="I32" s="56">
        <f t="shared" si="1"/>
        <v>185</v>
      </c>
      <c r="J32" s="26" t="s">
        <v>11</v>
      </c>
    </row>
    <row r="33" spans="1:10" x14ac:dyDescent="0.2">
      <c r="A33" s="12">
        <v>8</v>
      </c>
      <c r="B33" s="21" t="s">
        <v>19</v>
      </c>
      <c r="C33" s="27">
        <f>(C37+C38+C39)*C15/1000</f>
        <v>0.2252275</v>
      </c>
      <c r="D33" s="12" t="s">
        <v>20</v>
      </c>
      <c r="E33" s="23">
        <f t="shared" si="0"/>
        <v>5.6306874999999996</v>
      </c>
      <c r="F33" s="24" t="s">
        <v>20</v>
      </c>
      <c r="H33" s="1" t="s">
        <v>105</v>
      </c>
      <c r="I33" s="56">
        <f t="shared" si="1"/>
        <v>5.6306874999999996</v>
      </c>
      <c r="J33" s="26" t="s">
        <v>20</v>
      </c>
    </row>
    <row r="34" spans="1:10" x14ac:dyDescent="0.2">
      <c r="A34" s="12"/>
      <c r="B34" s="21" t="s">
        <v>4</v>
      </c>
      <c r="C34" s="27"/>
      <c r="D34" s="12"/>
      <c r="E34" s="23"/>
      <c r="F34" s="24"/>
      <c r="I34" s="56"/>
      <c r="J34" s="26"/>
    </row>
    <row r="35" spans="1:10" x14ac:dyDescent="0.2">
      <c r="A35" s="12">
        <v>9</v>
      </c>
      <c r="B35" s="12" t="s">
        <v>45</v>
      </c>
      <c r="C35" s="27">
        <f>(C4+C7)*(C5+C7)</f>
        <v>3.4225000000000003</v>
      </c>
      <c r="D35" s="12" t="s">
        <v>1</v>
      </c>
      <c r="E35" s="28">
        <f t="shared" si="0"/>
        <v>85.562500000000014</v>
      </c>
      <c r="F35" s="24" t="s">
        <v>1</v>
      </c>
      <c r="H35" s="1" t="s">
        <v>105</v>
      </c>
      <c r="I35" s="56">
        <f>E35</f>
        <v>85.562500000000014</v>
      </c>
      <c r="J35" s="26" t="s">
        <v>1</v>
      </c>
    </row>
    <row r="36" spans="1:10" x14ac:dyDescent="0.2">
      <c r="A36" s="12"/>
      <c r="B36" s="12" t="s">
        <v>46</v>
      </c>
      <c r="C36" s="27"/>
      <c r="D36" s="12"/>
      <c r="E36" s="28"/>
      <c r="F36" s="24"/>
      <c r="I36" s="56"/>
      <c r="J36" s="26"/>
    </row>
    <row r="37" spans="1:10" x14ac:dyDescent="0.2">
      <c r="A37" s="12">
        <v>10</v>
      </c>
      <c r="B37" s="11" t="s">
        <v>47</v>
      </c>
      <c r="C37" s="27">
        <f>C4*C5*C6</f>
        <v>1.5625</v>
      </c>
      <c r="D37" s="12" t="s">
        <v>6</v>
      </c>
      <c r="E37" s="28">
        <f t="shared" si="0"/>
        <v>39.0625</v>
      </c>
      <c r="F37" s="24" t="s">
        <v>6</v>
      </c>
      <c r="H37" s="1" t="s">
        <v>105</v>
      </c>
      <c r="I37" s="56">
        <f>E37</f>
        <v>39.0625</v>
      </c>
      <c r="J37" s="26" t="s">
        <v>6</v>
      </c>
    </row>
    <row r="38" spans="1:10" x14ac:dyDescent="0.2">
      <c r="A38" s="12">
        <v>11</v>
      </c>
      <c r="B38" s="11" t="s">
        <v>54</v>
      </c>
      <c r="C38" s="27">
        <f>C10*C11*C12*C13</f>
        <v>0.39600000000000002</v>
      </c>
      <c r="D38" s="12" t="s">
        <v>6</v>
      </c>
      <c r="E38" s="28">
        <f t="shared" si="0"/>
        <v>9.9</v>
      </c>
      <c r="F38" s="24" t="s">
        <v>6</v>
      </c>
      <c r="H38" s="1" t="s">
        <v>105</v>
      </c>
      <c r="I38" s="56">
        <f>E38</f>
        <v>9.9</v>
      </c>
      <c r="J38" s="26" t="s">
        <v>6</v>
      </c>
    </row>
    <row r="39" spans="1:10" x14ac:dyDescent="0.2">
      <c r="A39" s="12">
        <v>12</v>
      </c>
      <c r="B39" s="11" t="s">
        <v>48</v>
      </c>
      <c r="C39" s="22"/>
      <c r="D39" s="12" t="s">
        <v>6</v>
      </c>
      <c r="E39" s="28">
        <f t="shared" si="0"/>
        <v>0</v>
      </c>
      <c r="F39" s="24" t="s">
        <v>6</v>
      </c>
      <c r="I39" s="56">
        <f>E39</f>
        <v>0</v>
      </c>
      <c r="J39" s="26" t="s">
        <v>6</v>
      </c>
    </row>
    <row r="40" spans="1:10" x14ac:dyDescent="0.2">
      <c r="A40" s="1">
        <v>13</v>
      </c>
      <c r="B40" s="29" t="s">
        <v>49</v>
      </c>
      <c r="C40" s="30">
        <f>C4*C5</f>
        <v>1.5625</v>
      </c>
      <c r="D40" s="1" t="s">
        <v>1</v>
      </c>
      <c r="E40" s="28">
        <f t="shared" si="0"/>
        <v>39.0625</v>
      </c>
      <c r="F40" s="31" t="s">
        <v>1</v>
      </c>
      <c r="H40" s="1" t="s">
        <v>105</v>
      </c>
      <c r="I40" s="56">
        <f>E40</f>
        <v>39.0625</v>
      </c>
      <c r="J40" s="19" t="s">
        <v>1</v>
      </c>
    </row>
    <row r="41" spans="1:10" x14ac:dyDescent="0.2">
      <c r="A41" s="1">
        <v>14</v>
      </c>
      <c r="B41" s="1" t="s">
        <v>50</v>
      </c>
      <c r="C41" s="30"/>
      <c r="E41" s="23"/>
      <c r="F41" s="31"/>
      <c r="I41" s="56"/>
      <c r="J41" s="19"/>
    </row>
    <row r="42" spans="1:10" x14ac:dyDescent="0.2">
      <c r="B42" s="8" t="s">
        <v>51</v>
      </c>
      <c r="C42" s="30">
        <f>C14*C10*(0.15*0.15*0.2)</f>
        <v>1.7999999999999999E-2</v>
      </c>
      <c r="D42" s="1" t="s">
        <v>6</v>
      </c>
      <c r="E42" s="23">
        <f t="shared" si="0"/>
        <v>0.44999999999999996</v>
      </c>
      <c r="F42" s="31" t="s">
        <v>6</v>
      </c>
      <c r="H42" s="1" t="s">
        <v>105</v>
      </c>
      <c r="I42" s="56">
        <f>E42</f>
        <v>0.44999999999999996</v>
      </c>
      <c r="J42" s="19" t="s">
        <v>6</v>
      </c>
    </row>
    <row r="43" spans="1:10" x14ac:dyDescent="0.2">
      <c r="B43" s="8" t="s">
        <v>52</v>
      </c>
      <c r="C43" s="30">
        <f>C10*C11*C12*0.075</f>
        <v>2.7E-2</v>
      </c>
      <c r="D43" s="1" t="s">
        <v>6</v>
      </c>
      <c r="E43" s="23">
        <f t="shared" si="0"/>
        <v>0.67500000000000004</v>
      </c>
      <c r="F43" s="31" t="s">
        <v>6</v>
      </c>
      <c r="H43" s="1" t="s">
        <v>105</v>
      </c>
      <c r="I43" s="56">
        <f>E43</f>
        <v>0.67500000000000004</v>
      </c>
      <c r="J43" s="19" t="s">
        <v>6</v>
      </c>
    </row>
    <row r="44" spans="1:10" x14ac:dyDescent="0.2">
      <c r="A44" s="1">
        <v>15</v>
      </c>
      <c r="B44" s="1" t="s">
        <v>53</v>
      </c>
      <c r="C44" s="1">
        <f>(C11*2)+(C12*2)</f>
        <v>2.4</v>
      </c>
      <c r="D44" s="1" t="s">
        <v>11</v>
      </c>
      <c r="E44" s="28">
        <f t="shared" si="0"/>
        <v>60</v>
      </c>
      <c r="F44" s="31" t="s">
        <v>11</v>
      </c>
      <c r="H44" s="1" t="s">
        <v>105</v>
      </c>
      <c r="I44" s="56">
        <f>E44</f>
        <v>60</v>
      </c>
      <c r="J44" s="19" t="s">
        <v>11</v>
      </c>
    </row>
  </sheetData>
  <pageMargins left="0.7" right="0.7" top="0.75" bottom="0.75" header="0.3" footer="0.3"/>
  <pageSetup paperSize="8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85843-AC4E-4C2F-B39C-FB8DE4D159EC}">
  <dimension ref="A2:J45"/>
  <sheetViews>
    <sheetView topLeftCell="A4" workbookViewId="0">
      <selection activeCell="H45" sqref="H45"/>
    </sheetView>
  </sheetViews>
  <sheetFormatPr defaultColWidth="9.140625" defaultRowHeight="11.25" x14ac:dyDescent="0.2"/>
  <cols>
    <col min="1" max="1" width="3.85546875" style="1" customWidth="1"/>
    <col min="2" max="2" width="35.140625" style="1" customWidth="1"/>
    <col min="3" max="3" width="7.85546875" style="1" customWidth="1"/>
    <col min="4" max="4" width="5.7109375" style="1" customWidth="1"/>
    <col min="5" max="6" width="9.140625" style="1"/>
    <col min="7" max="7" width="4.140625" style="1" customWidth="1"/>
    <col min="8" max="8" width="3.85546875" style="1" customWidth="1"/>
    <col min="9" max="16384" width="9.140625" style="1"/>
  </cols>
  <sheetData>
    <row r="2" spans="2:8" x14ac:dyDescent="0.2">
      <c r="B2" s="2" t="str">
        <f>'Pile Caps'!B2</f>
        <v>Brine Tratment Plant</v>
      </c>
    </row>
    <row r="4" spans="2:8" x14ac:dyDescent="0.2">
      <c r="B4" s="13" t="s">
        <v>21</v>
      </c>
      <c r="C4" s="15">
        <v>0.4</v>
      </c>
      <c r="D4" s="13" t="s">
        <v>11</v>
      </c>
    </row>
    <row r="5" spans="2:8" x14ac:dyDescent="0.2">
      <c r="B5" s="13" t="s">
        <v>22</v>
      </c>
      <c r="C5" s="16">
        <v>170</v>
      </c>
      <c r="D5" s="13" t="s">
        <v>11</v>
      </c>
    </row>
    <row r="6" spans="2:8" x14ac:dyDescent="0.2">
      <c r="B6" s="13" t="s">
        <v>23</v>
      </c>
      <c r="C6" s="15">
        <v>0.6</v>
      </c>
      <c r="D6" s="13" t="s">
        <v>11</v>
      </c>
    </row>
    <row r="7" spans="2:8" x14ac:dyDescent="0.2">
      <c r="B7" s="13" t="s">
        <v>24</v>
      </c>
      <c r="C7" s="15">
        <v>0.6</v>
      </c>
      <c r="D7" s="13" t="s">
        <v>11</v>
      </c>
    </row>
    <row r="8" spans="2:8" x14ac:dyDescent="0.2">
      <c r="B8" s="13" t="s">
        <v>25</v>
      </c>
      <c r="C8" s="15">
        <v>0.05</v>
      </c>
      <c r="D8" s="13" t="s">
        <v>11</v>
      </c>
    </row>
    <row r="9" spans="2:8" x14ac:dyDescent="0.2">
      <c r="B9" s="13"/>
      <c r="C9" s="15"/>
      <c r="D9" s="13"/>
    </row>
    <row r="10" spans="2:8" x14ac:dyDescent="0.2">
      <c r="B10" s="13" t="s">
        <v>26</v>
      </c>
      <c r="C10" s="15">
        <v>0</v>
      </c>
      <c r="D10" s="13" t="s">
        <v>9</v>
      </c>
    </row>
    <row r="11" spans="2:8" x14ac:dyDescent="0.2">
      <c r="B11" s="13" t="s">
        <v>27</v>
      </c>
      <c r="C11" s="15">
        <v>0</v>
      </c>
      <c r="D11" s="13" t="s">
        <v>11</v>
      </c>
    </row>
    <row r="12" spans="2:8" x14ac:dyDescent="0.2">
      <c r="B12" s="13" t="s">
        <v>28</v>
      </c>
      <c r="C12" s="15">
        <v>0</v>
      </c>
      <c r="D12" s="13" t="s">
        <v>11</v>
      </c>
    </row>
    <row r="13" spans="2:8" x14ac:dyDescent="0.2">
      <c r="B13" s="13" t="s">
        <v>29</v>
      </c>
      <c r="C13" s="16">
        <v>0</v>
      </c>
      <c r="D13" s="13" t="s">
        <v>11</v>
      </c>
    </row>
    <row r="14" spans="2:8" x14ac:dyDescent="0.2">
      <c r="B14" s="13" t="s">
        <v>30</v>
      </c>
      <c r="C14" s="15">
        <v>0</v>
      </c>
      <c r="D14" s="13" t="s">
        <v>9</v>
      </c>
    </row>
    <row r="15" spans="2:8" x14ac:dyDescent="0.2">
      <c r="B15" s="13" t="s">
        <v>31</v>
      </c>
      <c r="C15" s="15">
        <v>80</v>
      </c>
      <c r="D15" s="13"/>
      <c r="E15" s="17" t="s">
        <v>32</v>
      </c>
      <c r="F15" s="17"/>
      <c r="G15" s="18">
        <v>1</v>
      </c>
      <c r="H15" s="12" t="s">
        <v>9</v>
      </c>
    </row>
    <row r="16" spans="2:8" x14ac:dyDescent="0.2">
      <c r="B16" s="13"/>
      <c r="C16" s="15"/>
      <c r="D16" s="13"/>
      <c r="E16" s="17"/>
      <c r="F16" s="17"/>
      <c r="G16" s="18"/>
      <c r="H16" s="12"/>
    </row>
    <row r="17" spans="1:10" x14ac:dyDescent="0.2">
      <c r="A17" s="12"/>
      <c r="B17" s="12"/>
      <c r="C17" s="12"/>
      <c r="D17" s="12"/>
      <c r="E17" s="2" t="s">
        <v>33</v>
      </c>
      <c r="I17" s="19" t="s">
        <v>33</v>
      </c>
      <c r="J17" s="20"/>
    </row>
    <row r="18" spans="1:10" x14ac:dyDescent="0.2">
      <c r="A18" s="12"/>
      <c r="B18" s="12"/>
      <c r="C18" s="12"/>
      <c r="D18" s="12"/>
      <c r="E18" s="2"/>
      <c r="I18" s="20"/>
      <c r="J18" s="20"/>
    </row>
    <row r="19" spans="1:10" x14ac:dyDescent="0.2">
      <c r="A19" s="12"/>
      <c r="B19" s="21" t="s">
        <v>34</v>
      </c>
      <c r="C19" s="12"/>
      <c r="D19" s="12"/>
      <c r="I19" s="20"/>
      <c r="J19" s="20"/>
    </row>
    <row r="20" spans="1:10" x14ac:dyDescent="0.2">
      <c r="A20" s="12">
        <v>1</v>
      </c>
      <c r="B20" s="12" t="s">
        <v>35</v>
      </c>
      <c r="C20" s="22"/>
      <c r="D20" s="12" t="s">
        <v>11</v>
      </c>
      <c r="E20" s="23">
        <f>C20*G$15</f>
        <v>0</v>
      </c>
      <c r="F20" s="24" t="s">
        <v>11</v>
      </c>
      <c r="I20" s="25">
        <f>E20</f>
        <v>0</v>
      </c>
      <c r="J20" s="26" t="s">
        <v>11</v>
      </c>
    </row>
    <row r="21" spans="1:10" x14ac:dyDescent="0.2">
      <c r="A21" s="12">
        <v>2</v>
      </c>
      <c r="B21" s="12" t="s">
        <v>36</v>
      </c>
      <c r="C21" s="22"/>
      <c r="D21" s="12" t="s">
        <v>1</v>
      </c>
      <c r="E21" s="23">
        <f t="shared" ref="E21:E45" si="0">C21*G$15</f>
        <v>0</v>
      </c>
      <c r="F21" s="24" t="s">
        <v>1</v>
      </c>
      <c r="I21" s="25">
        <f>E21</f>
        <v>0</v>
      </c>
      <c r="J21" s="26" t="s">
        <v>1</v>
      </c>
    </row>
    <row r="22" spans="1:10" x14ac:dyDescent="0.2">
      <c r="A22" s="12"/>
      <c r="B22" s="12"/>
      <c r="C22" s="27"/>
      <c r="D22" s="12"/>
      <c r="E22" s="23"/>
      <c r="F22" s="24"/>
      <c r="I22" s="25"/>
      <c r="J22" s="26"/>
    </row>
    <row r="23" spans="1:10" x14ac:dyDescent="0.2">
      <c r="A23" s="12"/>
      <c r="B23" s="21" t="s">
        <v>37</v>
      </c>
      <c r="C23" s="27"/>
      <c r="D23" s="12"/>
      <c r="E23" s="23"/>
      <c r="F23" s="24"/>
      <c r="I23" s="25"/>
      <c r="J23" s="26"/>
    </row>
    <row r="24" spans="1:10" x14ac:dyDescent="0.2">
      <c r="A24" s="12">
        <v>3</v>
      </c>
      <c r="B24" s="12" t="s">
        <v>38</v>
      </c>
      <c r="C24" s="27">
        <f>(C4+C7)*(C5+C7)*(C6+C8)</f>
        <v>110.89</v>
      </c>
      <c r="D24" s="12" t="s">
        <v>6</v>
      </c>
      <c r="E24" s="28">
        <f t="shared" si="0"/>
        <v>110.89</v>
      </c>
      <c r="F24" s="24" t="s">
        <v>6</v>
      </c>
      <c r="H24" s="1" t="s">
        <v>105</v>
      </c>
      <c r="I24" s="25">
        <f>E24</f>
        <v>110.89</v>
      </c>
      <c r="J24" s="26" t="s">
        <v>6</v>
      </c>
    </row>
    <row r="25" spans="1:10" x14ac:dyDescent="0.2">
      <c r="A25" s="12">
        <v>4</v>
      </c>
      <c r="B25" s="12" t="s">
        <v>39</v>
      </c>
      <c r="C25" s="27">
        <f>C24-(C4*C5*C6)</f>
        <v>70.09</v>
      </c>
      <c r="D25" s="12" t="s">
        <v>6</v>
      </c>
      <c r="E25" s="28">
        <f t="shared" si="0"/>
        <v>70.09</v>
      </c>
      <c r="F25" s="24" t="s">
        <v>6</v>
      </c>
      <c r="H25" s="1" t="s">
        <v>105</v>
      </c>
      <c r="I25" s="25">
        <f>E25</f>
        <v>70.09</v>
      </c>
      <c r="J25" s="26" t="s">
        <v>6</v>
      </c>
    </row>
    <row r="26" spans="1:10" x14ac:dyDescent="0.2">
      <c r="A26" s="12"/>
      <c r="B26" s="12"/>
      <c r="C26" s="27"/>
      <c r="D26" s="12"/>
      <c r="E26" s="28"/>
      <c r="F26" s="24"/>
      <c r="I26" s="25"/>
      <c r="J26" s="26"/>
    </row>
    <row r="27" spans="1:10" x14ac:dyDescent="0.2">
      <c r="A27" s="12"/>
      <c r="B27" s="21" t="s">
        <v>40</v>
      </c>
      <c r="C27" s="27"/>
      <c r="D27" s="12"/>
      <c r="E27" s="28"/>
      <c r="F27" s="24"/>
      <c r="I27" s="25"/>
      <c r="J27" s="26"/>
    </row>
    <row r="28" spans="1:10" x14ac:dyDescent="0.2">
      <c r="A28" s="12"/>
      <c r="B28" s="12" t="s">
        <v>17</v>
      </c>
      <c r="C28" s="27"/>
      <c r="D28" s="12"/>
      <c r="E28" s="28"/>
      <c r="F28" s="24"/>
      <c r="I28" s="25"/>
      <c r="J28" s="26"/>
    </row>
    <row r="29" spans="1:10" x14ac:dyDescent="0.2">
      <c r="A29" s="12">
        <v>5</v>
      </c>
      <c r="B29" s="11" t="s">
        <v>41</v>
      </c>
      <c r="C29" s="27">
        <f>(2*(C4*C6))+(2*(C5*C6))</f>
        <v>204.48</v>
      </c>
      <c r="D29" s="12" t="s">
        <v>1</v>
      </c>
      <c r="E29" s="28">
        <f t="shared" si="0"/>
        <v>204.48</v>
      </c>
      <c r="F29" s="24" t="s">
        <v>1</v>
      </c>
      <c r="H29" s="1" t="s">
        <v>105</v>
      </c>
      <c r="I29" s="25">
        <f t="shared" ref="I29:I34" si="1">E29</f>
        <v>204.48</v>
      </c>
      <c r="J29" s="26" t="s">
        <v>1</v>
      </c>
    </row>
    <row r="30" spans="1:10" x14ac:dyDescent="0.2">
      <c r="A30" s="12">
        <v>6</v>
      </c>
      <c r="B30" s="11" t="s">
        <v>42</v>
      </c>
      <c r="C30" s="27">
        <f>((2*(C11*C13))+((C12*C13)*2))*C10</f>
        <v>0</v>
      </c>
      <c r="D30" s="12" t="s">
        <v>1</v>
      </c>
      <c r="E30" s="28">
        <f t="shared" si="0"/>
        <v>0</v>
      </c>
      <c r="F30" s="24" t="s">
        <v>1</v>
      </c>
      <c r="I30" s="25">
        <f t="shared" si="1"/>
        <v>0</v>
      </c>
      <c r="J30" s="26" t="s">
        <v>1</v>
      </c>
    </row>
    <row r="31" spans="1:10" x14ac:dyDescent="0.2">
      <c r="A31" s="12"/>
      <c r="B31" s="21" t="s">
        <v>43</v>
      </c>
      <c r="C31" s="27">
        <f>C14*C10</f>
        <v>0</v>
      </c>
      <c r="D31" s="12" t="s">
        <v>9</v>
      </c>
      <c r="E31" s="28">
        <f t="shared" si="0"/>
        <v>0</v>
      </c>
      <c r="F31" s="24" t="s">
        <v>9</v>
      </c>
      <c r="I31" s="25">
        <f t="shared" si="1"/>
        <v>0</v>
      </c>
      <c r="J31" s="26" t="s">
        <v>9</v>
      </c>
    </row>
    <row r="32" spans="1:10" x14ac:dyDescent="0.2">
      <c r="A32" s="12">
        <v>7</v>
      </c>
      <c r="B32" s="12" t="s">
        <v>44</v>
      </c>
      <c r="C32" s="27">
        <f>C31</f>
        <v>0</v>
      </c>
      <c r="D32" s="12" t="s">
        <v>9</v>
      </c>
      <c r="E32" s="28">
        <f t="shared" si="0"/>
        <v>0</v>
      </c>
      <c r="F32" s="24" t="s">
        <v>9</v>
      </c>
      <c r="I32" s="25">
        <f t="shared" si="1"/>
        <v>0</v>
      </c>
      <c r="J32" s="26" t="s">
        <v>9</v>
      </c>
    </row>
    <row r="33" spans="1:10" x14ac:dyDescent="0.2">
      <c r="A33" s="12">
        <v>8</v>
      </c>
      <c r="B33" s="21" t="s">
        <v>18</v>
      </c>
      <c r="C33" s="27">
        <f>(2*C11)+(2*C12)+(2*C4)+(C5*2)</f>
        <v>340.8</v>
      </c>
      <c r="D33" s="12" t="s">
        <v>11</v>
      </c>
      <c r="E33" s="28">
        <f t="shared" si="0"/>
        <v>340.8</v>
      </c>
      <c r="F33" s="24" t="s">
        <v>11</v>
      </c>
      <c r="H33" s="1" t="s">
        <v>105</v>
      </c>
      <c r="I33" s="25">
        <f t="shared" si="1"/>
        <v>340.8</v>
      </c>
      <c r="J33" s="26" t="s">
        <v>11</v>
      </c>
    </row>
    <row r="34" spans="1:10" x14ac:dyDescent="0.2">
      <c r="A34" s="12">
        <v>9</v>
      </c>
      <c r="B34" s="21" t="s">
        <v>19</v>
      </c>
      <c r="C34" s="27">
        <f>(C38+C39+C40)*C15/1000</f>
        <v>3.2639999999999998</v>
      </c>
      <c r="D34" s="12" t="s">
        <v>20</v>
      </c>
      <c r="E34" s="23">
        <f t="shared" si="0"/>
        <v>3.2639999999999998</v>
      </c>
      <c r="F34" s="24" t="s">
        <v>20</v>
      </c>
      <c r="H34" s="1" t="s">
        <v>105</v>
      </c>
      <c r="I34" s="25">
        <f t="shared" si="1"/>
        <v>3.2639999999999998</v>
      </c>
      <c r="J34" s="26" t="s">
        <v>20</v>
      </c>
    </row>
    <row r="35" spans="1:10" x14ac:dyDescent="0.2">
      <c r="A35" s="12"/>
      <c r="B35" s="21" t="s">
        <v>4</v>
      </c>
      <c r="C35" s="27"/>
      <c r="D35" s="12"/>
      <c r="E35" s="23"/>
      <c r="F35" s="24"/>
      <c r="I35" s="25"/>
      <c r="J35" s="26"/>
    </row>
    <row r="36" spans="1:10" x14ac:dyDescent="0.2">
      <c r="A36" s="12">
        <v>10</v>
      </c>
      <c r="B36" s="12" t="s">
        <v>45</v>
      </c>
      <c r="C36" s="27">
        <f>(C4+C7)*(C5+C7)</f>
        <v>170.6</v>
      </c>
      <c r="D36" s="12" t="s">
        <v>1</v>
      </c>
      <c r="E36" s="28">
        <f t="shared" si="0"/>
        <v>170.6</v>
      </c>
      <c r="F36" s="24" t="s">
        <v>1</v>
      </c>
      <c r="H36" s="1" t="s">
        <v>105</v>
      </c>
      <c r="I36" s="25">
        <f>E36</f>
        <v>170.6</v>
      </c>
      <c r="J36" s="26" t="s">
        <v>1</v>
      </c>
    </row>
    <row r="37" spans="1:10" x14ac:dyDescent="0.2">
      <c r="A37" s="12"/>
      <c r="B37" s="12" t="s">
        <v>46</v>
      </c>
      <c r="C37" s="27"/>
      <c r="D37" s="12"/>
      <c r="E37" s="28"/>
      <c r="F37" s="24"/>
      <c r="I37" s="25"/>
      <c r="J37" s="26"/>
    </row>
    <row r="38" spans="1:10" x14ac:dyDescent="0.2">
      <c r="A38" s="12">
        <v>11</v>
      </c>
      <c r="B38" s="11" t="s">
        <v>47</v>
      </c>
      <c r="C38" s="27">
        <f>C4*C5*C6</f>
        <v>40.799999999999997</v>
      </c>
      <c r="D38" s="12" t="s">
        <v>6</v>
      </c>
      <c r="E38" s="28">
        <f t="shared" si="0"/>
        <v>40.799999999999997</v>
      </c>
      <c r="F38" s="24" t="s">
        <v>6</v>
      </c>
      <c r="H38" s="1" t="s">
        <v>105</v>
      </c>
      <c r="I38" s="25">
        <f>E38</f>
        <v>40.799999999999997</v>
      </c>
      <c r="J38" s="26" t="s">
        <v>6</v>
      </c>
    </row>
    <row r="39" spans="1:10" x14ac:dyDescent="0.2">
      <c r="A39" s="12">
        <v>12</v>
      </c>
      <c r="B39" s="11" t="s">
        <v>54</v>
      </c>
      <c r="C39" s="27">
        <f>C10*C11*C12*C13</f>
        <v>0</v>
      </c>
      <c r="D39" s="12" t="s">
        <v>6</v>
      </c>
      <c r="E39" s="28">
        <f t="shared" si="0"/>
        <v>0</v>
      </c>
      <c r="F39" s="24" t="s">
        <v>6</v>
      </c>
      <c r="I39" s="25">
        <f>E39</f>
        <v>0</v>
      </c>
      <c r="J39" s="26" t="s">
        <v>6</v>
      </c>
    </row>
    <row r="40" spans="1:10" x14ac:dyDescent="0.2">
      <c r="A40" s="12">
        <v>13</v>
      </c>
      <c r="B40" s="11" t="s">
        <v>48</v>
      </c>
      <c r="C40" s="22"/>
      <c r="D40" s="12" t="s">
        <v>6</v>
      </c>
      <c r="E40" s="28">
        <f t="shared" si="0"/>
        <v>0</v>
      </c>
      <c r="F40" s="24" t="s">
        <v>6</v>
      </c>
      <c r="I40" s="25">
        <f>E40</f>
        <v>0</v>
      </c>
      <c r="J40" s="26" t="s">
        <v>6</v>
      </c>
    </row>
    <row r="41" spans="1:10" x14ac:dyDescent="0.2">
      <c r="A41" s="1">
        <v>14</v>
      </c>
      <c r="B41" s="29" t="s">
        <v>49</v>
      </c>
      <c r="C41" s="30">
        <f>C4*C5</f>
        <v>68</v>
      </c>
      <c r="D41" s="1" t="s">
        <v>1</v>
      </c>
      <c r="E41" s="28">
        <f t="shared" si="0"/>
        <v>68</v>
      </c>
      <c r="F41" s="31" t="s">
        <v>1</v>
      </c>
      <c r="H41" s="1" t="s">
        <v>105</v>
      </c>
      <c r="I41" s="25">
        <f>E41</f>
        <v>68</v>
      </c>
      <c r="J41" s="19" t="s">
        <v>1</v>
      </c>
    </row>
    <row r="42" spans="1:10" x14ac:dyDescent="0.2">
      <c r="A42" s="1">
        <v>15</v>
      </c>
      <c r="B42" s="1" t="s">
        <v>50</v>
      </c>
      <c r="C42" s="30"/>
      <c r="E42" s="23"/>
      <c r="F42" s="31"/>
      <c r="I42" s="25"/>
      <c r="J42" s="19"/>
    </row>
    <row r="43" spans="1:10" x14ac:dyDescent="0.2">
      <c r="B43" s="8" t="s">
        <v>51</v>
      </c>
      <c r="C43" s="30">
        <f>C14*C10*(0.15*0.15*0.2)</f>
        <v>0</v>
      </c>
      <c r="D43" s="1" t="s">
        <v>6</v>
      </c>
      <c r="E43" s="23">
        <f t="shared" si="0"/>
        <v>0</v>
      </c>
      <c r="F43" s="31" t="s">
        <v>6</v>
      </c>
      <c r="I43" s="25">
        <f>E43</f>
        <v>0</v>
      </c>
      <c r="J43" s="19" t="s">
        <v>6</v>
      </c>
    </row>
    <row r="44" spans="1:10" x14ac:dyDescent="0.2">
      <c r="B44" s="8" t="s">
        <v>52</v>
      </c>
      <c r="C44" s="30">
        <f>C10*C11*C12*0.075</f>
        <v>0</v>
      </c>
      <c r="D44" s="1" t="s">
        <v>6</v>
      </c>
      <c r="E44" s="23">
        <f t="shared" si="0"/>
        <v>0</v>
      </c>
      <c r="F44" s="31" t="s">
        <v>6</v>
      </c>
      <c r="I44" s="25">
        <f>E44</f>
        <v>0</v>
      </c>
      <c r="J44" s="19" t="s">
        <v>6</v>
      </c>
    </row>
    <row r="45" spans="1:10" x14ac:dyDescent="0.2">
      <c r="A45" s="1">
        <v>16</v>
      </c>
      <c r="B45" s="1" t="s">
        <v>53</v>
      </c>
      <c r="C45" s="1">
        <f>(C11*2)+(C12*2)</f>
        <v>0</v>
      </c>
      <c r="D45" s="1" t="s">
        <v>11</v>
      </c>
      <c r="E45" s="28">
        <f t="shared" si="0"/>
        <v>0</v>
      </c>
      <c r="F45" s="31" t="s">
        <v>11</v>
      </c>
      <c r="I45" s="25">
        <f>E45</f>
        <v>0</v>
      </c>
      <c r="J45" s="19" t="s">
        <v>11</v>
      </c>
    </row>
  </sheetData>
  <pageMargins left="0.7" right="0.7" top="0.75" bottom="0.75" header="0.3" footer="0.3"/>
  <pageSetup paperSize="8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1311-B85E-4AAB-B6AD-CB039D113BA0}">
  <sheetPr>
    <pageSetUpPr fitToPage="1"/>
  </sheetPr>
  <dimension ref="A1:P44"/>
  <sheetViews>
    <sheetView topLeftCell="A6" zoomScale="115" zoomScaleNormal="115" workbookViewId="0">
      <selection activeCell="M41" sqref="M41"/>
    </sheetView>
  </sheetViews>
  <sheetFormatPr defaultColWidth="8.85546875" defaultRowHeight="11.25" x14ac:dyDescent="0.2"/>
  <cols>
    <col min="1" max="1" width="4.28515625" style="1" customWidth="1"/>
    <col min="2" max="2" width="23.85546875" style="1" customWidth="1"/>
    <col min="3" max="3" width="4.5703125" style="1" customWidth="1"/>
    <col min="4" max="4" width="2.140625" style="1" customWidth="1"/>
    <col min="5" max="5" width="4.42578125" style="1" customWidth="1"/>
    <col min="6" max="7" width="6" style="1" customWidth="1"/>
    <col min="8" max="8" width="0.140625" style="1" customWidth="1"/>
    <col min="9" max="9" width="7.5703125" style="1" customWidth="1"/>
    <col min="10" max="10" width="7.28515625" style="1" customWidth="1"/>
    <col min="11" max="13" width="7.5703125" style="1" customWidth="1"/>
    <col min="14" max="14" width="4.28515625" style="1" customWidth="1"/>
    <col min="15" max="15" width="11.28515625" style="1" customWidth="1"/>
    <col min="16" max="16384" width="8.85546875" style="1"/>
  </cols>
  <sheetData>
    <row r="1" spans="2:15" x14ac:dyDescent="0.2">
      <c r="B1" s="2" t="str">
        <f>'Pile Caps'!B2</f>
        <v>Brine Tratment Plant</v>
      </c>
    </row>
    <row r="3" spans="2:15" ht="12" thickBot="1" x14ac:dyDescent="0.25">
      <c r="F3" s="2"/>
      <c r="G3" s="2"/>
      <c r="H3" s="2"/>
      <c r="I3" s="41"/>
      <c r="J3" s="41"/>
      <c r="K3" s="41"/>
      <c r="L3" s="41"/>
      <c r="M3" s="41"/>
    </row>
    <row r="4" spans="2:15" ht="3" customHeight="1" thickTop="1" thickBot="1" x14ac:dyDescent="0.25">
      <c r="I4" s="53"/>
    </row>
    <row r="5" spans="2:15" s="4" customFormat="1" ht="27" customHeight="1" x14ac:dyDescent="0.2">
      <c r="E5" s="1"/>
      <c r="F5" s="4">
        <v>3.2</v>
      </c>
      <c r="I5" s="57"/>
      <c r="J5" s="58"/>
      <c r="K5" s="59"/>
      <c r="L5" s="58"/>
      <c r="M5" s="60"/>
    </row>
    <row r="6" spans="2:15" s="4" customFormat="1" ht="27" customHeight="1" x14ac:dyDescent="0.25">
      <c r="F6" s="4">
        <v>3.2</v>
      </c>
      <c r="I6" s="61"/>
      <c r="J6" s="35"/>
      <c r="K6" s="46"/>
      <c r="L6" s="38"/>
      <c r="M6" s="62"/>
    </row>
    <row r="7" spans="2:15" s="4" customFormat="1" ht="27" customHeight="1" x14ac:dyDescent="0.25">
      <c r="E7" s="51">
        <f>SUM(F5:F9)</f>
        <v>16</v>
      </c>
      <c r="F7" s="4">
        <v>3.2</v>
      </c>
      <c r="I7" s="63"/>
      <c r="J7" s="36"/>
      <c r="K7" s="47" t="s">
        <v>55</v>
      </c>
      <c r="L7" s="39"/>
      <c r="M7" s="64"/>
    </row>
    <row r="8" spans="2:15" s="4" customFormat="1" ht="27" customHeight="1" x14ac:dyDescent="0.25">
      <c r="F8" s="4">
        <v>3.2</v>
      </c>
      <c r="I8" s="65"/>
      <c r="J8" s="37"/>
      <c r="K8" s="52" t="s">
        <v>58</v>
      </c>
      <c r="L8" s="40"/>
      <c r="M8" s="66"/>
    </row>
    <row r="9" spans="2:15" s="4" customFormat="1" ht="27" customHeight="1" x14ac:dyDescent="0.25">
      <c r="F9" s="14">
        <v>3.2</v>
      </c>
      <c r="I9" s="67"/>
      <c r="J9" s="44"/>
      <c r="K9" s="48"/>
      <c r="L9" s="49"/>
      <c r="M9" s="68"/>
    </row>
    <row r="10" spans="2:15" s="4" customFormat="1" ht="3.6" customHeight="1" thickBot="1" x14ac:dyDescent="0.3">
      <c r="I10" s="69"/>
      <c r="J10" s="70"/>
      <c r="K10" s="70"/>
      <c r="L10" s="71"/>
      <c r="M10" s="72"/>
    </row>
    <row r="12" spans="2:15" x14ac:dyDescent="0.2">
      <c r="I12" s="3">
        <v>3.5</v>
      </c>
      <c r="J12" s="3">
        <v>3.5</v>
      </c>
      <c r="K12" s="3">
        <v>3.5</v>
      </c>
      <c r="L12" s="3">
        <v>3.5</v>
      </c>
      <c r="M12" s="3">
        <v>3.5</v>
      </c>
    </row>
    <row r="13" spans="2:15" s="2" customFormat="1" x14ac:dyDescent="0.2">
      <c r="L13" s="50"/>
      <c r="M13" s="50">
        <f>SUM(I12:M12)</f>
        <v>17.5</v>
      </c>
    </row>
    <row r="14" spans="2:15" x14ac:dyDescent="0.2">
      <c r="K14" s="42"/>
      <c r="L14" s="42"/>
      <c r="M14" s="42"/>
    </row>
    <row r="16" spans="2:15" x14ac:dyDescent="0.2">
      <c r="O16" s="19" t="s">
        <v>33</v>
      </c>
    </row>
    <row r="17" spans="1:16" x14ac:dyDescent="0.2">
      <c r="F17" s="1" t="s">
        <v>0</v>
      </c>
      <c r="G17" s="45">
        <f>E7</f>
        <v>16</v>
      </c>
      <c r="H17" s="3"/>
      <c r="I17" s="45">
        <f>M13</f>
        <v>17.5</v>
      </c>
      <c r="J17" s="5">
        <f>I17*G17</f>
        <v>280</v>
      </c>
      <c r="K17" s="1" t="s">
        <v>1</v>
      </c>
      <c r="O17" s="20"/>
    </row>
    <row r="18" spans="1:16" x14ac:dyDescent="0.2">
      <c r="J18" s="7"/>
      <c r="O18" s="20"/>
    </row>
    <row r="19" spans="1:16" x14ac:dyDescent="0.2">
      <c r="A19" s="1">
        <v>1</v>
      </c>
      <c r="B19" s="1" t="s">
        <v>2</v>
      </c>
      <c r="J19" s="7">
        <f>J17*1.1</f>
        <v>308</v>
      </c>
      <c r="K19" s="1" t="s">
        <v>1</v>
      </c>
      <c r="N19" s="1" t="s">
        <v>105</v>
      </c>
      <c r="O19" s="25">
        <f>J19</f>
        <v>308</v>
      </c>
      <c r="P19" s="1" t="s">
        <v>1</v>
      </c>
    </row>
    <row r="20" spans="1:16" x14ac:dyDescent="0.2">
      <c r="J20" s="7"/>
      <c r="O20" s="25"/>
    </row>
    <row r="21" spans="1:16" x14ac:dyDescent="0.2">
      <c r="A21" s="1">
        <v>2</v>
      </c>
      <c r="B21" s="1" t="s">
        <v>3</v>
      </c>
      <c r="J21" s="7">
        <f>(2*I17)+(2*G17)</f>
        <v>67</v>
      </c>
      <c r="K21" s="1" t="s">
        <v>11</v>
      </c>
      <c r="N21" s="1" t="s">
        <v>105</v>
      </c>
      <c r="O21" s="25">
        <f>J21</f>
        <v>67</v>
      </c>
      <c r="P21" s="1" t="s">
        <v>11</v>
      </c>
    </row>
    <row r="22" spans="1:16" x14ac:dyDescent="0.2">
      <c r="J22" s="7"/>
      <c r="O22" s="25"/>
    </row>
    <row r="23" spans="1:16" x14ac:dyDescent="0.2">
      <c r="A23" s="1">
        <v>3</v>
      </c>
      <c r="B23" s="1" t="s">
        <v>5</v>
      </c>
      <c r="J23" s="7">
        <f>J17*0.2</f>
        <v>56</v>
      </c>
      <c r="K23" s="1" t="s">
        <v>6</v>
      </c>
      <c r="N23" s="1" t="s">
        <v>105</v>
      </c>
      <c r="O23" s="25">
        <f>J23</f>
        <v>56</v>
      </c>
      <c r="P23" s="1" t="s">
        <v>6</v>
      </c>
    </row>
    <row r="24" spans="1:16" x14ac:dyDescent="0.2">
      <c r="J24" s="7"/>
      <c r="O24" s="25"/>
    </row>
    <row r="25" spans="1:16" x14ac:dyDescent="0.2">
      <c r="A25" s="1">
        <v>4</v>
      </c>
      <c r="B25" s="12" t="s">
        <v>16</v>
      </c>
      <c r="C25" s="12"/>
      <c r="D25" s="12"/>
      <c r="E25" s="12"/>
      <c r="J25" s="7">
        <f>J17</f>
        <v>280</v>
      </c>
      <c r="K25" s="8" t="s">
        <v>1</v>
      </c>
      <c r="L25" s="8"/>
      <c r="M25" s="8"/>
      <c r="N25" s="1" t="s">
        <v>105</v>
      </c>
      <c r="O25" s="25">
        <f>J25</f>
        <v>280</v>
      </c>
      <c r="P25" s="8" t="s">
        <v>1</v>
      </c>
    </row>
    <row r="26" spans="1:16" x14ac:dyDescent="0.2">
      <c r="J26" s="7"/>
      <c r="O26" s="25"/>
    </row>
    <row r="27" spans="1:16" x14ac:dyDescent="0.2">
      <c r="A27" s="1">
        <v>5</v>
      </c>
      <c r="B27" s="1" t="s">
        <v>7</v>
      </c>
      <c r="J27" s="7">
        <f>J17</f>
        <v>280</v>
      </c>
      <c r="K27" s="1" t="s">
        <v>1</v>
      </c>
      <c r="N27" s="1" t="s">
        <v>105</v>
      </c>
      <c r="O27" s="25">
        <f>J27</f>
        <v>280</v>
      </c>
      <c r="P27" s="1" t="s">
        <v>1</v>
      </c>
    </row>
    <row r="28" spans="1:16" x14ac:dyDescent="0.2">
      <c r="J28" s="7"/>
      <c r="O28" s="25"/>
    </row>
    <row r="29" spans="1:16" x14ac:dyDescent="0.2">
      <c r="A29" s="1">
        <v>6</v>
      </c>
      <c r="B29" s="1" t="s">
        <v>8</v>
      </c>
      <c r="J29" s="7">
        <f>J27</f>
        <v>280</v>
      </c>
      <c r="K29" s="1" t="s">
        <v>1</v>
      </c>
      <c r="N29" s="1" t="s">
        <v>105</v>
      </c>
      <c r="O29" s="25">
        <f>J29</f>
        <v>280</v>
      </c>
      <c r="P29" s="1" t="s">
        <v>1</v>
      </c>
    </row>
    <row r="30" spans="1:16" x14ac:dyDescent="0.2">
      <c r="J30" s="7"/>
      <c r="O30" s="25"/>
    </row>
    <row r="31" spans="1:16" x14ac:dyDescent="0.2">
      <c r="A31" s="1">
        <v>7</v>
      </c>
      <c r="B31" s="17" t="s">
        <v>12</v>
      </c>
      <c r="C31" s="17"/>
      <c r="D31" s="17"/>
      <c r="E31" s="17"/>
      <c r="F31" s="17"/>
      <c r="G31" s="17"/>
      <c r="H31" s="17"/>
      <c r="I31" s="17"/>
      <c r="J31" s="43">
        <f>J29+(6*E7*3.5)+(I17*3.5)</f>
        <v>677.25</v>
      </c>
      <c r="K31" s="17" t="s">
        <v>1</v>
      </c>
      <c r="L31" s="17"/>
      <c r="M31" s="17"/>
      <c r="N31" s="1" t="s">
        <v>105</v>
      </c>
      <c r="O31" s="25">
        <f>J31</f>
        <v>677.25</v>
      </c>
      <c r="P31" s="17" t="s">
        <v>1</v>
      </c>
    </row>
    <row r="32" spans="1:16" x14ac:dyDescent="0.2">
      <c r="J32" s="10"/>
      <c r="O32" s="25"/>
    </row>
    <row r="33" spans="1:16" x14ac:dyDescent="0.2">
      <c r="B33" s="1" t="s">
        <v>10</v>
      </c>
      <c r="O33" s="25"/>
    </row>
    <row r="34" spans="1:16" x14ac:dyDescent="0.2">
      <c r="O34" s="25"/>
    </row>
    <row r="35" spans="1:16" x14ac:dyDescent="0.2">
      <c r="A35" s="1">
        <v>8</v>
      </c>
      <c r="B35" s="9" t="s">
        <v>15</v>
      </c>
      <c r="C35" s="9"/>
      <c r="D35" s="9"/>
      <c r="E35" s="9"/>
      <c r="J35" s="6">
        <f>(I17*2)+(2*E7)</f>
        <v>67</v>
      </c>
      <c r="K35" s="1" t="s">
        <v>11</v>
      </c>
      <c r="N35" s="1" t="s">
        <v>105</v>
      </c>
      <c r="O35" s="25">
        <f>J35</f>
        <v>67</v>
      </c>
      <c r="P35" s="1" t="s">
        <v>11</v>
      </c>
    </row>
    <row r="36" spans="1:16" x14ac:dyDescent="0.2">
      <c r="B36" s="8"/>
      <c r="C36" s="8"/>
      <c r="D36" s="8"/>
      <c r="E36" s="8"/>
      <c r="O36" s="25"/>
    </row>
    <row r="37" spans="1:16" x14ac:dyDescent="0.2">
      <c r="A37" s="1">
        <v>9</v>
      </c>
      <c r="B37" s="33" t="s">
        <v>13</v>
      </c>
      <c r="C37" s="33"/>
      <c r="D37" s="33"/>
      <c r="E37" s="33"/>
      <c r="F37" s="12"/>
      <c r="G37" s="12"/>
      <c r="H37" s="12"/>
      <c r="I37" s="12"/>
      <c r="J37" s="34">
        <f>(4*E7)</f>
        <v>64</v>
      </c>
      <c r="K37" s="12" t="s">
        <v>11</v>
      </c>
      <c r="L37" s="12"/>
      <c r="M37" s="12"/>
      <c r="N37" s="1" t="s">
        <v>105</v>
      </c>
      <c r="O37" s="25">
        <f>J37</f>
        <v>64</v>
      </c>
      <c r="P37" s="12" t="s">
        <v>11</v>
      </c>
    </row>
    <row r="38" spans="1:16" x14ac:dyDescent="0.2">
      <c r="B38" s="9"/>
      <c r="C38" s="9"/>
      <c r="D38" s="9"/>
      <c r="E38" s="9"/>
      <c r="J38" s="6"/>
      <c r="O38" s="25"/>
    </row>
    <row r="39" spans="1:16" x14ac:dyDescent="0.2">
      <c r="A39" s="1">
        <v>10</v>
      </c>
      <c r="B39" s="32" t="s">
        <v>14</v>
      </c>
      <c r="C39" s="32"/>
      <c r="D39" s="32"/>
      <c r="E39" s="32"/>
      <c r="J39" s="6">
        <f>(4*I17)</f>
        <v>70</v>
      </c>
      <c r="K39" s="1" t="s">
        <v>11</v>
      </c>
      <c r="N39" s="1" t="s">
        <v>105</v>
      </c>
      <c r="O39" s="25">
        <f>J39</f>
        <v>70</v>
      </c>
      <c r="P39" s="1" t="s">
        <v>11</v>
      </c>
    </row>
    <row r="40" spans="1:16" x14ac:dyDescent="0.2">
      <c r="O40" s="54"/>
    </row>
    <row r="41" spans="1:16" x14ac:dyDescent="0.2">
      <c r="O41" s="54"/>
    </row>
    <row r="42" spans="1:16" x14ac:dyDescent="0.2">
      <c r="O42" s="54"/>
    </row>
    <row r="43" spans="1:16" x14ac:dyDescent="0.2">
      <c r="O43" s="54"/>
    </row>
    <row r="44" spans="1:16" x14ac:dyDescent="0.2">
      <c r="O44" s="54"/>
    </row>
  </sheetData>
  <pageMargins left="0.70866141732283472" right="0.70866141732283472" top="0.74803149606299213" bottom="0.74803149606299213" header="0.31496062992125984" footer="0.31496062992125984"/>
  <pageSetup paperSize="8" orientation="landscape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10F73-F832-4D37-BD46-24961F31042C}">
  <dimension ref="A1:K73"/>
  <sheetViews>
    <sheetView topLeftCell="A34" workbookViewId="0">
      <selection activeCell="H59" sqref="H59"/>
    </sheetView>
  </sheetViews>
  <sheetFormatPr defaultRowHeight="15" x14ac:dyDescent="0.25"/>
  <cols>
    <col min="1" max="1" width="2.140625" customWidth="1"/>
    <col min="2" max="2" width="25.7109375" customWidth="1"/>
    <col min="3" max="3" width="8" customWidth="1"/>
    <col min="4" max="4" width="5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2" t="s">
        <v>59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2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/>
      <c r="B4" s="2" t="s">
        <v>60</v>
      </c>
      <c r="C4" s="73">
        <v>0.2</v>
      </c>
      <c r="D4" s="1"/>
      <c r="E4" s="1"/>
      <c r="F4" s="1"/>
      <c r="G4" s="1"/>
      <c r="H4" s="1"/>
      <c r="I4" s="1"/>
      <c r="J4" s="1"/>
      <c r="K4" s="1"/>
    </row>
    <row r="5" spans="1:11" x14ac:dyDescent="0.25">
      <c r="A5" s="1"/>
      <c r="B5" s="1"/>
      <c r="C5" s="1"/>
      <c r="D5" s="1"/>
      <c r="E5" s="4"/>
      <c r="F5" s="1"/>
      <c r="G5" s="1"/>
      <c r="H5" s="1"/>
      <c r="I5" s="1"/>
      <c r="J5" s="1"/>
      <c r="K5" s="1"/>
    </row>
    <row r="6" spans="1:11" x14ac:dyDescent="0.25">
      <c r="A6" s="1"/>
      <c r="B6" s="1"/>
      <c r="C6" s="1"/>
      <c r="D6" s="73"/>
      <c r="E6" s="1"/>
      <c r="F6" s="1"/>
      <c r="G6" s="1"/>
      <c r="H6" s="1"/>
      <c r="I6" s="1"/>
      <c r="J6" s="1"/>
      <c r="K6" s="1"/>
    </row>
    <row r="7" spans="1:11" x14ac:dyDescent="0.25">
      <c r="A7" s="1"/>
      <c r="B7" s="4"/>
      <c r="C7" s="4"/>
      <c r="D7" s="74"/>
      <c r="E7" s="4"/>
      <c r="F7" s="1"/>
      <c r="G7" s="1"/>
      <c r="H7" s="1"/>
      <c r="I7" s="1"/>
      <c r="J7" s="1"/>
      <c r="K7" s="1"/>
    </row>
    <row r="8" spans="1:11" x14ac:dyDescent="0.25">
      <c r="A8" s="1"/>
      <c r="B8" s="4"/>
      <c r="C8" s="4"/>
      <c r="D8" s="74"/>
      <c r="E8" s="4"/>
      <c r="F8" s="1"/>
      <c r="G8" s="1"/>
      <c r="H8" s="1"/>
      <c r="I8" s="1"/>
      <c r="J8" s="1"/>
      <c r="K8" s="1"/>
    </row>
    <row r="9" spans="1:11" x14ac:dyDescent="0.25">
      <c r="A9" s="1"/>
      <c r="B9" s="4"/>
      <c r="C9" s="4"/>
      <c r="D9" s="74"/>
      <c r="E9" s="4"/>
      <c r="F9" s="1"/>
      <c r="G9" s="1"/>
      <c r="H9" s="1"/>
      <c r="I9" s="1"/>
      <c r="J9" s="1"/>
      <c r="K9" s="1"/>
    </row>
    <row r="10" spans="1:11" x14ac:dyDescent="0.25">
      <c r="A10" s="1"/>
      <c r="B10" s="4"/>
      <c r="C10" s="4"/>
      <c r="D10" s="74"/>
      <c r="E10" s="4"/>
      <c r="F10" s="1"/>
      <c r="G10" s="1"/>
      <c r="H10" s="1"/>
      <c r="I10" s="1"/>
      <c r="J10" s="1"/>
      <c r="K10" s="1"/>
    </row>
    <row r="11" spans="1:11" x14ac:dyDescent="0.25">
      <c r="A11" s="1"/>
      <c r="B11" s="4"/>
      <c r="C11" s="75"/>
      <c r="D11" s="74"/>
      <c r="E11" s="4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76">
        <v>1.3</v>
      </c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4"/>
      <c r="C13" s="1"/>
      <c r="D13" s="3"/>
      <c r="E13" s="4"/>
      <c r="F13" s="1"/>
      <c r="G13" s="1"/>
      <c r="H13" s="1"/>
      <c r="I13" s="1"/>
      <c r="J13" s="1"/>
      <c r="K13" s="1"/>
    </row>
    <row r="14" spans="1:11" x14ac:dyDescent="0.25">
      <c r="A14" s="1"/>
      <c r="B14" s="4"/>
      <c r="C14" s="4"/>
      <c r="D14" s="74"/>
      <c r="E14" s="4"/>
      <c r="F14" s="1"/>
      <c r="G14" s="1"/>
      <c r="H14" s="1"/>
      <c r="I14" s="1"/>
      <c r="J14" s="1"/>
      <c r="K14" s="1"/>
    </row>
    <row r="15" spans="1:11" x14ac:dyDescent="0.25">
      <c r="A15" s="1"/>
      <c r="B15" s="4"/>
      <c r="C15" s="4"/>
      <c r="D15" s="74"/>
      <c r="E15" s="4"/>
      <c r="F15" s="1"/>
      <c r="G15" s="1" t="s">
        <v>61</v>
      </c>
      <c r="H15" s="1"/>
      <c r="I15" s="1"/>
      <c r="J15" s="1"/>
      <c r="K15" s="1"/>
    </row>
    <row r="16" spans="1:11" x14ac:dyDescent="0.25">
      <c r="A16" s="1"/>
      <c r="B16" s="4"/>
      <c r="C16" s="77"/>
      <c r="D16" s="78"/>
      <c r="E16" s="79" t="s">
        <v>62</v>
      </c>
      <c r="F16" s="80"/>
      <c r="G16" s="1"/>
      <c r="H16" s="1"/>
      <c r="I16" s="1"/>
      <c r="J16" s="1"/>
      <c r="K16" s="1"/>
    </row>
    <row r="17" spans="1:11" x14ac:dyDescent="0.25">
      <c r="A17" s="1"/>
      <c r="B17" s="79" t="s">
        <v>62</v>
      </c>
      <c r="C17" s="1"/>
      <c r="D17" s="74">
        <v>0.2</v>
      </c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4"/>
      <c r="C18" s="4"/>
      <c r="D18" s="74"/>
      <c r="E18" s="81"/>
      <c r="F18" s="1"/>
      <c r="G18" s="1"/>
      <c r="H18" s="1"/>
      <c r="I18" s="1"/>
      <c r="J18" s="1"/>
      <c r="K18" s="1"/>
    </row>
    <row r="19" spans="1:11" x14ac:dyDescent="0.25">
      <c r="A19" s="1"/>
      <c r="B19" s="4"/>
      <c r="C19" s="1"/>
      <c r="D19" s="74">
        <v>0.3</v>
      </c>
      <c r="E19" s="74"/>
      <c r="F19" s="1"/>
      <c r="G19" s="1"/>
      <c r="H19" s="1"/>
      <c r="I19" s="1"/>
      <c r="J19" s="1"/>
      <c r="K19" s="1"/>
    </row>
    <row r="20" spans="1:11" x14ac:dyDescent="0.25">
      <c r="A20" s="1"/>
      <c r="B20" s="4"/>
      <c r="C20" s="4"/>
      <c r="D20" s="74"/>
      <c r="E20" s="4"/>
      <c r="F20" s="1"/>
      <c r="G20" s="1"/>
      <c r="H20" s="1"/>
      <c r="I20" s="1"/>
      <c r="J20" s="1"/>
      <c r="K20" s="1"/>
    </row>
    <row r="21" spans="1:11" x14ac:dyDescent="0.25">
      <c r="A21" s="1"/>
      <c r="B21" s="4"/>
      <c r="C21" s="4"/>
      <c r="D21" s="82">
        <v>0.4</v>
      </c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09">
        <v>0.85</v>
      </c>
      <c r="C22" s="14">
        <v>0.25</v>
      </c>
      <c r="D22" s="74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4"/>
      <c r="C23" s="75">
        <v>0.2</v>
      </c>
      <c r="D23" s="1"/>
      <c r="E23" s="4"/>
      <c r="F23" s="1"/>
      <c r="G23" s="1"/>
      <c r="H23" s="1"/>
      <c r="I23" s="1"/>
      <c r="J23" s="1"/>
      <c r="K23" s="1"/>
    </row>
    <row r="24" spans="1:11" x14ac:dyDescent="0.25">
      <c r="A24" s="4"/>
      <c r="B24" s="4"/>
      <c r="C24" s="75"/>
      <c r="D24" s="75"/>
      <c r="E24" s="4"/>
      <c r="F24" s="4"/>
      <c r="G24" s="4"/>
      <c r="H24" s="4"/>
      <c r="I24" s="4"/>
      <c r="J24" s="4"/>
      <c r="K24" s="4"/>
    </row>
    <row r="25" spans="1:11" ht="10.15" customHeight="1" x14ac:dyDescent="0.25">
      <c r="A25" s="1"/>
      <c r="B25" s="83" t="s">
        <v>63</v>
      </c>
      <c r="C25" s="83"/>
      <c r="D25" s="83"/>
      <c r="E25" s="84">
        <v>68</v>
      </c>
      <c r="F25" s="83" t="s">
        <v>11</v>
      </c>
      <c r="G25" s="21"/>
      <c r="H25" s="12"/>
      <c r="I25" s="19" t="s">
        <v>33</v>
      </c>
      <c r="J25" s="20"/>
      <c r="K25" s="1"/>
    </row>
    <row r="26" spans="1:11" ht="10.15" customHeight="1" x14ac:dyDescent="0.25">
      <c r="A26" s="1"/>
      <c r="B26" s="4"/>
      <c r="C26" s="74"/>
      <c r="D26" s="74"/>
      <c r="E26" s="4"/>
      <c r="F26" s="4"/>
      <c r="G26" s="12"/>
      <c r="H26" s="12"/>
      <c r="I26" s="20"/>
      <c r="J26" s="20"/>
      <c r="K26" s="1"/>
    </row>
    <row r="27" spans="1:11" ht="10.15" customHeight="1" x14ac:dyDescent="0.25">
      <c r="A27" s="12"/>
      <c r="B27" s="85" t="s">
        <v>64</v>
      </c>
      <c r="C27" s="82" t="s">
        <v>6</v>
      </c>
      <c r="D27" s="82"/>
      <c r="E27" s="86">
        <v>80</v>
      </c>
      <c r="F27" s="85"/>
      <c r="G27" s="12" t="s">
        <v>65</v>
      </c>
      <c r="H27" s="12" t="s">
        <v>105</v>
      </c>
      <c r="I27" s="56">
        <f>E27</f>
        <v>80</v>
      </c>
      <c r="J27" s="87" t="s">
        <v>6</v>
      </c>
      <c r="K27" s="12"/>
    </row>
    <row r="28" spans="1:11" ht="10.15" customHeight="1" x14ac:dyDescent="0.25">
      <c r="A28" s="12"/>
      <c r="B28" s="85"/>
      <c r="C28" s="82"/>
      <c r="D28" s="82"/>
      <c r="E28" s="85"/>
      <c r="F28" s="85"/>
      <c r="G28" s="12"/>
      <c r="H28" s="12"/>
      <c r="I28" s="56"/>
      <c r="J28" s="87"/>
      <c r="K28" s="12"/>
    </row>
    <row r="29" spans="1:11" ht="10.15" customHeight="1" x14ac:dyDescent="0.25">
      <c r="A29" s="12"/>
      <c r="B29" s="85" t="s">
        <v>66</v>
      </c>
      <c r="C29" s="82" t="s">
        <v>6</v>
      </c>
      <c r="D29" s="82"/>
      <c r="E29" s="86">
        <v>44</v>
      </c>
      <c r="F29" s="85"/>
      <c r="G29" s="12" t="s">
        <v>65</v>
      </c>
      <c r="H29" s="27" t="s">
        <v>105</v>
      </c>
      <c r="I29" s="56">
        <f>E29</f>
        <v>44</v>
      </c>
      <c r="J29" s="87" t="s">
        <v>6</v>
      </c>
      <c r="K29" s="12"/>
    </row>
    <row r="30" spans="1:11" ht="10.15" customHeight="1" x14ac:dyDescent="0.25">
      <c r="A30" s="1"/>
      <c r="B30" s="4"/>
      <c r="C30" s="74"/>
      <c r="D30" s="74"/>
      <c r="E30" s="4"/>
      <c r="F30" s="4"/>
      <c r="G30" s="12"/>
      <c r="H30" s="27"/>
      <c r="I30" s="56"/>
      <c r="J30" s="88"/>
      <c r="K30" s="1"/>
    </row>
    <row r="31" spans="1:11" ht="10.15" customHeight="1" x14ac:dyDescent="0.25">
      <c r="A31" s="1"/>
      <c r="B31" s="89" t="s">
        <v>17</v>
      </c>
      <c r="C31" s="74"/>
      <c r="D31" s="74"/>
      <c r="E31" s="4"/>
      <c r="F31" s="4"/>
      <c r="G31" s="12"/>
      <c r="H31" s="27"/>
      <c r="I31" s="56"/>
      <c r="J31" s="88"/>
      <c r="K31" s="1"/>
    </row>
    <row r="32" spans="1:11" ht="10.15" customHeight="1" x14ac:dyDescent="0.25">
      <c r="A32" s="1"/>
      <c r="B32" s="4" t="s">
        <v>67</v>
      </c>
      <c r="C32" s="74"/>
      <c r="D32" s="74"/>
      <c r="E32" s="4"/>
      <c r="F32" s="4"/>
      <c r="G32" s="12"/>
      <c r="H32" s="27"/>
      <c r="I32" s="56"/>
      <c r="J32" s="88"/>
      <c r="K32" s="1"/>
    </row>
    <row r="33" spans="1:11" ht="10.15" customHeight="1" x14ac:dyDescent="0.25">
      <c r="A33" s="1"/>
      <c r="B33" s="90" t="s">
        <v>68</v>
      </c>
      <c r="C33" s="74" t="s">
        <v>1</v>
      </c>
      <c r="D33" s="74"/>
      <c r="E33" s="91">
        <f>(2*E25*D21)+(2*E25*D22)</f>
        <v>54.400000000000006</v>
      </c>
      <c r="F33" s="4"/>
      <c r="G33" s="21"/>
      <c r="H33" s="27" t="s">
        <v>105</v>
      </c>
      <c r="I33" s="56">
        <f>E33</f>
        <v>54.400000000000006</v>
      </c>
      <c r="J33" s="88" t="s">
        <v>1</v>
      </c>
      <c r="K33" s="1"/>
    </row>
    <row r="34" spans="1:11" ht="10.15" customHeight="1" x14ac:dyDescent="0.25">
      <c r="A34" s="1"/>
      <c r="B34" s="4" t="s">
        <v>69</v>
      </c>
      <c r="C34" s="74"/>
      <c r="D34" s="74"/>
      <c r="E34" s="91"/>
      <c r="F34" s="4"/>
      <c r="G34" s="12"/>
      <c r="H34" s="27"/>
      <c r="I34" s="56"/>
      <c r="J34" s="88"/>
      <c r="K34" s="1"/>
    </row>
    <row r="35" spans="1:11" ht="10.15" customHeight="1" x14ac:dyDescent="0.25">
      <c r="A35" s="1"/>
      <c r="B35" s="90" t="s">
        <v>70</v>
      </c>
      <c r="C35" s="74" t="s">
        <v>1</v>
      </c>
      <c r="D35" s="74"/>
      <c r="E35" s="91">
        <f>E25*2*(D12+D17+D19)</f>
        <v>244.8</v>
      </c>
      <c r="F35" s="4"/>
      <c r="G35" s="11"/>
      <c r="H35" s="27" t="s">
        <v>105</v>
      </c>
      <c r="I35" s="56">
        <f>E35</f>
        <v>244.8</v>
      </c>
      <c r="J35" s="88" t="s">
        <v>1</v>
      </c>
      <c r="K35" s="1"/>
    </row>
    <row r="36" spans="1:11" ht="10.15" customHeight="1" x14ac:dyDescent="0.25">
      <c r="A36" s="1"/>
      <c r="B36" s="4"/>
      <c r="C36" s="74"/>
      <c r="D36" s="74"/>
      <c r="E36" s="91"/>
      <c r="F36" s="4"/>
      <c r="G36" s="11"/>
      <c r="H36" s="27"/>
      <c r="I36" s="56"/>
      <c r="J36" s="88"/>
      <c r="K36" s="1"/>
    </row>
    <row r="37" spans="1:11" ht="10.15" customHeight="1" x14ac:dyDescent="0.25">
      <c r="A37" s="1"/>
      <c r="B37" s="4" t="s">
        <v>18</v>
      </c>
      <c r="C37" s="74" t="s">
        <v>11</v>
      </c>
      <c r="D37" s="74"/>
      <c r="E37" s="91">
        <f>E25*2</f>
        <v>136</v>
      </c>
      <c r="F37" s="4"/>
      <c r="G37" s="21"/>
      <c r="H37" s="27" t="s">
        <v>105</v>
      </c>
      <c r="I37" s="56">
        <f>E37</f>
        <v>136</v>
      </c>
      <c r="J37" s="88" t="s">
        <v>11</v>
      </c>
      <c r="K37" s="1"/>
    </row>
    <row r="38" spans="1:11" ht="10.15" customHeight="1" x14ac:dyDescent="0.25">
      <c r="A38" s="1"/>
      <c r="B38" s="4"/>
      <c r="C38" s="74"/>
      <c r="D38" s="74"/>
      <c r="E38" s="91"/>
      <c r="F38" s="4"/>
      <c r="G38" s="12"/>
      <c r="H38" s="27"/>
      <c r="I38" s="56"/>
      <c r="J38" s="88"/>
      <c r="K38" s="1"/>
    </row>
    <row r="39" spans="1:11" ht="10.15" customHeight="1" x14ac:dyDescent="0.25">
      <c r="A39" s="1"/>
      <c r="B39" s="85" t="s">
        <v>71</v>
      </c>
      <c r="C39" s="74"/>
      <c r="D39" s="74"/>
      <c r="E39" s="91"/>
      <c r="F39" s="4"/>
      <c r="G39" s="21"/>
      <c r="H39" s="27"/>
      <c r="I39" s="56"/>
      <c r="J39" s="88"/>
      <c r="K39" s="1"/>
    </row>
    <row r="40" spans="1:11" ht="10.15" customHeight="1" x14ac:dyDescent="0.25">
      <c r="A40" s="1"/>
      <c r="B40" s="85"/>
      <c r="C40" s="74"/>
      <c r="D40" s="74"/>
      <c r="E40" s="91"/>
      <c r="F40" s="4"/>
      <c r="G40" s="21"/>
      <c r="H40" s="27"/>
      <c r="I40" s="56"/>
      <c r="J40" s="88"/>
      <c r="K40" s="1"/>
    </row>
    <row r="41" spans="1:11" ht="10.15" customHeight="1" x14ac:dyDescent="0.25">
      <c r="A41" s="1"/>
      <c r="B41" s="92" t="s">
        <v>72</v>
      </c>
      <c r="C41" s="1"/>
      <c r="D41" s="1"/>
      <c r="E41" s="1"/>
      <c r="F41" s="4"/>
      <c r="G41" s="21"/>
      <c r="H41" s="27"/>
      <c r="I41" s="56">
        <f>E41</f>
        <v>0</v>
      </c>
      <c r="J41" s="19"/>
      <c r="K41" s="1"/>
    </row>
    <row r="42" spans="1:11" ht="10.15" customHeight="1" x14ac:dyDescent="0.25">
      <c r="A42" s="1"/>
      <c r="B42" s="93"/>
      <c r="C42" s="74"/>
      <c r="D42" s="74"/>
      <c r="E42" s="91"/>
      <c r="F42" s="4"/>
      <c r="G42" s="12"/>
      <c r="H42" s="27"/>
      <c r="I42" s="56"/>
      <c r="J42" s="88"/>
      <c r="K42" s="1"/>
    </row>
    <row r="43" spans="1:11" ht="10.15" customHeight="1" x14ac:dyDescent="0.25">
      <c r="A43" s="1"/>
      <c r="B43" s="92" t="s">
        <v>73</v>
      </c>
      <c r="C43" s="74"/>
      <c r="D43" s="74"/>
      <c r="E43" s="91"/>
      <c r="F43" s="4"/>
      <c r="G43" s="12"/>
      <c r="H43" s="27"/>
      <c r="I43" s="56">
        <f>E43</f>
        <v>0</v>
      </c>
      <c r="J43" s="88"/>
      <c r="K43" s="1"/>
    </row>
    <row r="44" spans="1:11" ht="10.15" customHeight="1" x14ac:dyDescent="0.25">
      <c r="A44" s="1"/>
      <c r="B44" s="92" t="s">
        <v>74</v>
      </c>
      <c r="C44" s="74"/>
      <c r="D44" s="74"/>
      <c r="E44" s="91"/>
      <c r="F44" s="4"/>
      <c r="G44" s="11"/>
      <c r="H44" s="27"/>
      <c r="I44" s="56"/>
      <c r="J44" s="88"/>
      <c r="K44" s="1"/>
    </row>
    <row r="45" spans="1:11" ht="10.15" customHeight="1" x14ac:dyDescent="0.25">
      <c r="A45" s="1"/>
      <c r="B45" s="93"/>
      <c r="C45" s="74"/>
      <c r="D45" s="74"/>
      <c r="E45" s="91"/>
      <c r="F45" s="4"/>
      <c r="G45" s="11"/>
      <c r="H45" s="27"/>
      <c r="I45" s="56">
        <f>E45</f>
        <v>0</v>
      </c>
      <c r="J45" s="88"/>
      <c r="K45" s="1"/>
    </row>
    <row r="46" spans="1:11" ht="10.15" customHeight="1" x14ac:dyDescent="0.25">
      <c r="A46" s="1"/>
      <c r="B46" s="92" t="s">
        <v>75</v>
      </c>
      <c r="C46" s="74"/>
      <c r="D46" s="74"/>
      <c r="E46" s="91"/>
      <c r="F46" s="4"/>
      <c r="G46" s="11"/>
      <c r="H46" s="27"/>
      <c r="I46" s="56">
        <f>E46</f>
        <v>0</v>
      </c>
      <c r="J46" s="88"/>
      <c r="K46" s="1"/>
    </row>
    <row r="47" spans="1:11" ht="10.15" customHeight="1" x14ac:dyDescent="0.25">
      <c r="A47" s="1"/>
      <c r="B47" s="92" t="s">
        <v>76</v>
      </c>
      <c r="C47" s="74" t="s">
        <v>11</v>
      </c>
      <c r="D47" s="74"/>
      <c r="E47" s="91"/>
      <c r="F47" s="4"/>
      <c r="G47" s="29"/>
      <c r="H47" s="30"/>
      <c r="I47" s="56">
        <f>E47</f>
        <v>0</v>
      </c>
      <c r="J47" s="88" t="s">
        <v>11</v>
      </c>
      <c r="K47" s="1"/>
    </row>
    <row r="48" spans="1:11" ht="10.15" customHeight="1" x14ac:dyDescent="0.25">
      <c r="A48" s="1"/>
      <c r="B48" s="92" t="s">
        <v>77</v>
      </c>
      <c r="C48" s="74"/>
      <c r="D48" s="74"/>
      <c r="E48" s="91"/>
      <c r="F48" s="4"/>
      <c r="G48" s="1"/>
      <c r="H48" s="30"/>
      <c r="I48" s="56">
        <f>E48</f>
        <v>0</v>
      </c>
      <c r="J48" s="88"/>
      <c r="K48" s="1"/>
    </row>
    <row r="49" spans="1:11" ht="10.15" customHeight="1" x14ac:dyDescent="0.25">
      <c r="A49" s="1"/>
      <c r="B49" s="93"/>
      <c r="C49" s="74"/>
      <c r="D49" s="74"/>
      <c r="E49" s="91"/>
      <c r="F49" s="4"/>
      <c r="G49" s="8"/>
      <c r="H49" s="30"/>
      <c r="I49" s="56"/>
      <c r="J49" s="88"/>
      <c r="K49" s="1"/>
    </row>
    <row r="50" spans="1:11" ht="10.15" customHeight="1" x14ac:dyDescent="0.25">
      <c r="A50" s="1"/>
      <c r="B50" s="92" t="s">
        <v>78</v>
      </c>
      <c r="C50" s="74" t="s">
        <v>9</v>
      </c>
      <c r="D50" s="74"/>
      <c r="E50" s="91"/>
      <c r="F50" s="4"/>
      <c r="G50" s="8"/>
      <c r="H50" s="30"/>
      <c r="I50" s="56">
        <f>E50</f>
        <v>0</v>
      </c>
      <c r="J50" s="88" t="s">
        <v>9</v>
      </c>
      <c r="K50" s="1"/>
    </row>
    <row r="51" spans="1:11" ht="10.15" customHeight="1" x14ac:dyDescent="0.25">
      <c r="A51" s="1"/>
      <c r="B51" s="93"/>
      <c r="C51" s="74"/>
      <c r="D51" s="74"/>
      <c r="E51" s="91"/>
      <c r="F51" s="4"/>
      <c r="G51" s="1"/>
      <c r="H51" s="1"/>
      <c r="I51" s="56">
        <f>E51</f>
        <v>0</v>
      </c>
      <c r="J51" s="88"/>
      <c r="K51" s="1"/>
    </row>
    <row r="52" spans="1:11" ht="10.15" customHeight="1" x14ac:dyDescent="0.25">
      <c r="A52" s="1"/>
      <c r="B52" s="92" t="s">
        <v>79</v>
      </c>
      <c r="C52" s="74" t="s">
        <v>9</v>
      </c>
      <c r="D52" s="74"/>
      <c r="E52" s="91"/>
      <c r="F52" s="4"/>
      <c r="G52" s="1"/>
      <c r="H52" s="1"/>
      <c r="I52" s="56">
        <f>E52</f>
        <v>0</v>
      </c>
      <c r="J52" s="88" t="s">
        <v>9</v>
      </c>
      <c r="K52" s="1"/>
    </row>
    <row r="53" spans="1:11" ht="10.15" customHeight="1" x14ac:dyDescent="0.25">
      <c r="A53" s="1"/>
      <c r="B53" s="93"/>
      <c r="C53" s="74"/>
      <c r="D53" s="74"/>
      <c r="E53" s="91"/>
      <c r="F53" s="4"/>
      <c r="G53" s="1"/>
      <c r="H53" s="1"/>
      <c r="I53" s="56"/>
      <c r="J53" s="88"/>
      <c r="K53" s="1"/>
    </row>
    <row r="54" spans="1:11" ht="10.15" customHeight="1" x14ac:dyDescent="0.25">
      <c r="A54" s="1"/>
      <c r="B54" s="93" t="s">
        <v>19</v>
      </c>
      <c r="C54" s="74"/>
      <c r="D54" s="74"/>
      <c r="E54" s="91"/>
      <c r="F54" s="4"/>
      <c r="G54" s="1"/>
      <c r="H54" s="1"/>
      <c r="I54" s="56"/>
      <c r="J54" s="88"/>
      <c r="K54" s="1"/>
    </row>
    <row r="55" spans="1:11" ht="10.15" customHeight="1" x14ac:dyDescent="0.25">
      <c r="A55" s="1"/>
      <c r="B55" s="90" t="s">
        <v>68</v>
      </c>
      <c r="C55" s="74" t="s">
        <v>20</v>
      </c>
      <c r="D55" s="74"/>
      <c r="E55" s="94">
        <f>0.11*E61</f>
        <v>3.8896000000000006</v>
      </c>
      <c r="F55" s="4"/>
      <c r="G55" s="1"/>
      <c r="H55" s="1" t="s">
        <v>105</v>
      </c>
      <c r="I55" s="56">
        <f>E55</f>
        <v>3.8896000000000006</v>
      </c>
      <c r="J55" s="88" t="s">
        <v>20</v>
      </c>
      <c r="K55" s="1"/>
    </row>
    <row r="56" spans="1:11" ht="10.15" customHeight="1" x14ac:dyDescent="0.25">
      <c r="A56" s="1"/>
      <c r="B56" s="90" t="s">
        <v>80</v>
      </c>
      <c r="C56" s="74" t="s">
        <v>20</v>
      </c>
      <c r="D56" s="74"/>
      <c r="E56" s="94">
        <f>0.15*E62</f>
        <v>3.6720000000000006</v>
      </c>
      <c r="F56" s="94"/>
      <c r="G56" s="1"/>
      <c r="H56" s="1" t="s">
        <v>105</v>
      </c>
      <c r="I56" s="56">
        <f>E56</f>
        <v>3.6720000000000006</v>
      </c>
      <c r="J56" s="88" t="s">
        <v>20</v>
      </c>
      <c r="K56" s="1"/>
    </row>
    <row r="57" spans="1:11" ht="10.15" customHeight="1" x14ac:dyDescent="0.25">
      <c r="A57" s="1"/>
      <c r="B57" s="4"/>
      <c r="C57" s="74"/>
      <c r="D57" s="74"/>
      <c r="E57" s="91"/>
      <c r="F57" s="4"/>
      <c r="G57" s="1"/>
      <c r="H57" s="1"/>
      <c r="I57" s="56"/>
      <c r="J57" s="88"/>
      <c r="K57" s="1"/>
    </row>
    <row r="58" spans="1:11" ht="10.15" customHeight="1" x14ac:dyDescent="0.25">
      <c r="A58" s="1"/>
      <c r="B58" s="4" t="s">
        <v>81</v>
      </c>
      <c r="C58" s="74"/>
      <c r="D58" s="74"/>
      <c r="E58" s="91"/>
      <c r="F58" s="4"/>
      <c r="G58" s="1"/>
      <c r="H58" s="1"/>
      <c r="I58" s="56"/>
      <c r="J58" s="88"/>
      <c r="K58" s="1"/>
    </row>
    <row r="59" spans="1:11" ht="10.15" customHeight="1" x14ac:dyDescent="0.25">
      <c r="A59" s="1"/>
      <c r="B59" s="4" t="s">
        <v>82</v>
      </c>
      <c r="C59" s="74" t="s">
        <v>1</v>
      </c>
      <c r="D59" s="74"/>
      <c r="E59" s="91">
        <f>(E25*(B22+C23+C22))</f>
        <v>88.4</v>
      </c>
      <c r="F59" s="4"/>
      <c r="G59" s="1"/>
      <c r="H59" s="1"/>
      <c r="I59" s="56">
        <f>E59</f>
        <v>88.4</v>
      </c>
      <c r="J59" s="88" t="s">
        <v>1</v>
      </c>
      <c r="K59" s="1"/>
    </row>
    <row r="60" spans="1:11" ht="10.15" customHeight="1" x14ac:dyDescent="0.25">
      <c r="A60" s="1"/>
      <c r="B60" s="4"/>
      <c r="C60" s="74"/>
      <c r="D60" s="74"/>
      <c r="E60" s="91"/>
      <c r="F60" s="4"/>
      <c r="G60" s="1"/>
      <c r="H60" s="1"/>
      <c r="I60" s="56"/>
      <c r="J60" s="88"/>
      <c r="K60" s="1"/>
    </row>
    <row r="61" spans="1:11" ht="10.15" customHeight="1" x14ac:dyDescent="0.25">
      <c r="A61" s="1"/>
      <c r="B61" s="4" t="s">
        <v>83</v>
      </c>
      <c r="C61" s="74" t="s">
        <v>6</v>
      </c>
      <c r="D61" s="74"/>
      <c r="E61" s="91">
        <f>(E25*(B22+C23+C22)*D21)</f>
        <v>35.360000000000007</v>
      </c>
      <c r="F61" s="4"/>
      <c r="G61" s="1"/>
      <c r="H61" s="1"/>
      <c r="I61" s="56">
        <f>E61</f>
        <v>35.360000000000007</v>
      </c>
      <c r="J61" s="88" t="s">
        <v>6</v>
      </c>
      <c r="K61" s="1"/>
    </row>
    <row r="62" spans="1:11" ht="10.15" customHeight="1" x14ac:dyDescent="0.25">
      <c r="A62" s="1"/>
      <c r="B62" s="4" t="s">
        <v>60</v>
      </c>
      <c r="C62" s="74" t="s">
        <v>6</v>
      </c>
      <c r="D62" s="74"/>
      <c r="E62" s="91">
        <f>(E25*(C4+C23)/2*(D19+D17+D12))</f>
        <v>24.480000000000004</v>
      </c>
      <c r="F62" s="4"/>
      <c r="G62" s="1"/>
      <c r="H62" s="1"/>
      <c r="I62" s="56">
        <f>E62</f>
        <v>24.480000000000004</v>
      </c>
      <c r="J62" s="88" t="s">
        <v>6</v>
      </c>
      <c r="K62" s="1"/>
    </row>
    <row r="63" spans="1:11" ht="10.15" customHeight="1" x14ac:dyDescent="0.25">
      <c r="A63" s="1"/>
      <c r="B63" s="4"/>
      <c r="C63" s="74"/>
      <c r="D63" s="74"/>
      <c r="E63" s="91"/>
      <c r="F63" s="4"/>
      <c r="G63" s="1"/>
      <c r="H63" s="1"/>
      <c r="I63" s="56"/>
      <c r="J63" s="88"/>
      <c r="K63" s="1"/>
    </row>
    <row r="64" spans="1:11" ht="10.15" customHeight="1" x14ac:dyDescent="0.25">
      <c r="A64" s="1"/>
      <c r="B64" s="4" t="s">
        <v>84</v>
      </c>
      <c r="C64" s="74" t="s">
        <v>1</v>
      </c>
      <c r="D64" s="74"/>
      <c r="E64" s="91">
        <f>E59</f>
        <v>88.4</v>
      </c>
      <c r="F64" s="1"/>
      <c r="G64" s="1"/>
      <c r="H64" s="1"/>
      <c r="I64" s="56">
        <f>E64</f>
        <v>88.4</v>
      </c>
      <c r="J64" s="88" t="s">
        <v>1</v>
      </c>
      <c r="K64" s="1"/>
    </row>
    <row r="65" spans="1:11" ht="10.15" customHeight="1" x14ac:dyDescent="0.25">
      <c r="A65" s="1"/>
      <c r="B65" s="4"/>
      <c r="C65" s="74"/>
      <c r="D65" s="74"/>
      <c r="E65" s="91"/>
      <c r="F65" s="1"/>
      <c r="G65" s="1"/>
      <c r="H65" s="1"/>
      <c r="I65" s="56"/>
      <c r="J65" s="88"/>
      <c r="K65" s="1"/>
    </row>
    <row r="66" spans="1:11" ht="10.15" customHeight="1" x14ac:dyDescent="0.25">
      <c r="A66" s="1"/>
      <c r="B66" s="85" t="s">
        <v>85</v>
      </c>
      <c r="C66" s="1"/>
      <c r="D66" s="1"/>
      <c r="E66" s="91"/>
      <c r="F66" s="1"/>
      <c r="G66" s="1"/>
      <c r="H66" s="1"/>
      <c r="I66" s="56"/>
      <c r="J66" s="19"/>
      <c r="K66" s="1"/>
    </row>
    <row r="67" spans="1:11" ht="10.15" customHeight="1" x14ac:dyDescent="0.25">
      <c r="A67" s="1"/>
      <c r="B67" s="95" t="s">
        <v>86</v>
      </c>
      <c r="C67" s="74" t="s">
        <v>11</v>
      </c>
      <c r="D67" s="74"/>
      <c r="E67" s="91">
        <f>E25/8*(B22+D21+D19+D17+D12)</f>
        <v>25.924999999999997</v>
      </c>
      <c r="F67" s="1"/>
      <c r="G67" s="1"/>
      <c r="H67" s="1"/>
      <c r="I67" s="56">
        <f>E67</f>
        <v>25.924999999999997</v>
      </c>
      <c r="J67" s="88" t="s">
        <v>11</v>
      </c>
      <c r="K67" s="1"/>
    </row>
    <row r="68" spans="1:11" ht="10.15" customHeight="1" x14ac:dyDescent="0.25">
      <c r="A68" s="1"/>
      <c r="B68" s="95" t="s">
        <v>87</v>
      </c>
      <c r="C68" s="74" t="s">
        <v>11</v>
      </c>
      <c r="D68" s="74"/>
      <c r="E68" s="91">
        <f>(E25/10)*(B22+D21+D19+D17+D12)</f>
        <v>20.74</v>
      </c>
      <c r="F68" s="1"/>
      <c r="G68" s="1"/>
      <c r="H68" s="1"/>
      <c r="I68" s="56">
        <f>E68</f>
        <v>20.74</v>
      </c>
      <c r="J68" s="88" t="s">
        <v>11</v>
      </c>
      <c r="K68" s="1"/>
    </row>
    <row r="69" spans="1:11" ht="10.15" customHeight="1" x14ac:dyDescent="0.25">
      <c r="A69" s="1"/>
      <c r="B69" s="95" t="s">
        <v>88</v>
      </c>
      <c r="C69" s="74" t="s">
        <v>11</v>
      </c>
      <c r="D69" s="74"/>
      <c r="E69" s="91">
        <f>(E25/15)*(B22+D21+D19+D17+D12)</f>
        <v>13.826666666666666</v>
      </c>
      <c r="F69" s="1"/>
      <c r="G69" s="1"/>
      <c r="H69" s="1"/>
      <c r="I69" s="56">
        <f>E69</f>
        <v>13.826666666666666</v>
      </c>
      <c r="J69" s="88" t="s">
        <v>11</v>
      </c>
      <c r="K69" s="1"/>
    </row>
    <row r="70" spans="1:11" ht="10.15" customHeight="1" x14ac:dyDescent="0.25">
      <c r="A70" s="1"/>
      <c r="B70" s="4"/>
      <c r="C70" s="74"/>
      <c r="D70" s="74"/>
      <c r="E70" s="91"/>
      <c r="F70" s="1"/>
      <c r="G70" s="1"/>
      <c r="H70" s="1"/>
      <c r="I70" s="56"/>
      <c r="J70" s="88"/>
      <c r="K70" s="1"/>
    </row>
    <row r="71" spans="1:11" ht="10.15" customHeight="1" x14ac:dyDescent="0.25">
      <c r="A71" s="1"/>
      <c r="B71" s="93" t="s">
        <v>89</v>
      </c>
      <c r="C71" s="74" t="s">
        <v>1</v>
      </c>
      <c r="D71" s="74"/>
      <c r="E71" s="91">
        <f>E25*2*(D12+D17+D19)</f>
        <v>244.8</v>
      </c>
      <c r="F71" s="1"/>
      <c r="G71" s="1"/>
      <c r="H71" s="1"/>
      <c r="I71" s="56">
        <f>E71</f>
        <v>244.8</v>
      </c>
      <c r="J71" s="96" t="s">
        <v>1</v>
      </c>
      <c r="K71" s="1"/>
    </row>
    <row r="72" spans="1:11" x14ac:dyDescent="0.25">
      <c r="A72" s="1"/>
      <c r="B72" s="4"/>
      <c r="C72" s="4"/>
      <c r="D72" s="4"/>
      <c r="E72" s="9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E708-9D47-495D-B4DA-0C51E62790F0}">
  <dimension ref="B2:P26"/>
  <sheetViews>
    <sheetView workbookViewId="0">
      <selection activeCell="N27" sqref="N27"/>
    </sheetView>
  </sheetViews>
  <sheetFormatPr defaultRowHeight="15" x14ac:dyDescent="0.25"/>
  <cols>
    <col min="2" max="3" width="9.5703125" customWidth="1"/>
    <col min="4" max="11" width="6.28515625" customWidth="1"/>
    <col min="12" max="12" width="10.7109375" bestFit="1" customWidth="1"/>
    <col min="13" max="14" width="6.28515625" customWidth="1"/>
  </cols>
  <sheetData>
    <row r="2" spans="2:16" x14ac:dyDescent="0.25">
      <c r="B2" s="89" t="s">
        <v>59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</row>
    <row r="3" spans="2:16" ht="15.75" thickBot="1" x14ac:dyDescent="0.3">
      <c r="B3" s="4"/>
      <c r="C3" s="4"/>
      <c r="D3" s="4"/>
      <c r="E3" s="4"/>
      <c r="F3" s="4"/>
      <c r="G3" s="74">
        <v>0.25</v>
      </c>
      <c r="H3" s="97">
        <v>2</v>
      </c>
      <c r="I3" s="97"/>
      <c r="J3" s="74">
        <v>0.25</v>
      </c>
      <c r="K3" s="4"/>
      <c r="L3" s="4" t="s">
        <v>90</v>
      </c>
      <c r="M3" s="98">
        <f>H3*H3*(F6+F4)</f>
        <v>8</v>
      </c>
      <c r="N3" s="4" t="s">
        <v>6</v>
      </c>
      <c r="O3" s="98"/>
      <c r="P3" s="4"/>
    </row>
    <row r="4" spans="2:16" x14ac:dyDescent="0.25">
      <c r="B4" s="4"/>
      <c r="C4" s="4"/>
      <c r="D4" s="4"/>
      <c r="E4" s="4"/>
      <c r="F4" s="75">
        <v>1</v>
      </c>
      <c r="G4" s="99"/>
      <c r="H4" s="4"/>
      <c r="I4" s="4"/>
      <c r="J4" s="99"/>
      <c r="K4" s="4"/>
      <c r="L4" s="4"/>
      <c r="M4" s="4"/>
      <c r="N4" s="4"/>
      <c r="O4" s="4"/>
      <c r="P4" s="4"/>
    </row>
    <row r="5" spans="2:16" x14ac:dyDescent="0.25">
      <c r="B5" s="4"/>
      <c r="C5" s="4"/>
      <c r="D5" s="4"/>
      <c r="E5" s="4"/>
      <c r="F5" s="4"/>
      <c r="G5" s="100"/>
      <c r="H5" s="4"/>
      <c r="I5" s="4"/>
      <c r="J5" s="100"/>
      <c r="K5" s="4"/>
      <c r="L5" s="4"/>
      <c r="M5" s="4"/>
      <c r="N5" s="74"/>
      <c r="O5" s="4"/>
      <c r="P5" s="74"/>
    </row>
    <row r="6" spans="2:16" x14ac:dyDescent="0.25">
      <c r="B6" s="4"/>
      <c r="C6" s="4"/>
      <c r="D6" s="4"/>
      <c r="E6" s="75">
        <f>F4+F6+L8</f>
        <v>2.4</v>
      </c>
      <c r="F6" s="75">
        <v>1</v>
      </c>
      <c r="G6" s="100"/>
      <c r="H6" s="4"/>
      <c r="I6" s="4"/>
      <c r="J6" s="100"/>
      <c r="K6" s="4"/>
      <c r="L6" s="4"/>
      <c r="M6" s="98"/>
      <c r="N6" s="98"/>
      <c r="O6" s="98"/>
      <c r="P6" s="98"/>
    </row>
    <row r="7" spans="2:16" x14ac:dyDescent="0.25">
      <c r="B7" s="4"/>
      <c r="C7" s="4"/>
      <c r="D7" s="4"/>
      <c r="E7" s="4"/>
      <c r="F7" s="4"/>
      <c r="G7" s="100"/>
      <c r="H7" s="4"/>
      <c r="I7" s="4"/>
      <c r="J7" s="100"/>
      <c r="K7" s="4"/>
      <c r="L7" s="4"/>
      <c r="M7" s="4"/>
      <c r="N7" s="4"/>
      <c r="O7" s="4"/>
      <c r="P7" s="4"/>
    </row>
    <row r="8" spans="2:16" x14ac:dyDescent="0.25">
      <c r="B8" s="4"/>
      <c r="C8" s="4"/>
      <c r="D8" s="4"/>
      <c r="E8" s="4"/>
      <c r="F8" s="101"/>
      <c r="G8" s="102"/>
      <c r="H8" s="102"/>
      <c r="I8" s="102"/>
      <c r="J8" s="102"/>
      <c r="K8" s="103"/>
      <c r="L8" s="75">
        <v>0.4</v>
      </c>
      <c r="M8" s="4"/>
      <c r="N8" s="4"/>
      <c r="O8" s="4"/>
      <c r="P8" s="4"/>
    </row>
    <row r="9" spans="2:16" x14ac:dyDescent="0.25">
      <c r="B9" s="4"/>
      <c r="C9" s="4"/>
      <c r="D9" s="4"/>
      <c r="E9" s="4"/>
      <c r="F9" s="74">
        <v>0.4</v>
      </c>
      <c r="G9" s="74">
        <v>0.25</v>
      </c>
      <c r="H9" s="104">
        <v>2</v>
      </c>
      <c r="I9" s="104"/>
      <c r="J9" s="74">
        <v>0.25</v>
      </c>
      <c r="K9" s="74">
        <v>0.4</v>
      </c>
      <c r="L9" s="4"/>
      <c r="M9" s="4"/>
      <c r="N9" s="4"/>
      <c r="O9" s="105" t="s">
        <v>33</v>
      </c>
      <c r="P9" s="20"/>
    </row>
    <row r="10" spans="2:16" x14ac:dyDescent="0.25">
      <c r="B10" s="4"/>
      <c r="C10" s="4"/>
      <c r="D10" s="4"/>
      <c r="E10" s="4"/>
      <c r="F10" s="4"/>
      <c r="G10" s="4"/>
      <c r="H10" s="104">
        <f>SUM(F9:K9)</f>
        <v>3.3</v>
      </c>
      <c r="I10" s="104"/>
      <c r="J10" s="4"/>
      <c r="K10" s="4"/>
      <c r="L10" s="4"/>
      <c r="M10" s="4"/>
      <c r="N10" s="4"/>
      <c r="O10" s="20"/>
      <c r="P10" s="20"/>
    </row>
    <row r="11" spans="2:16" x14ac:dyDescent="0.25">
      <c r="B11" s="4" t="s">
        <v>91</v>
      </c>
      <c r="C11" s="4">
        <f>(H10+1.2)*(H10+1.2)*E6</f>
        <v>48.6</v>
      </c>
      <c r="D11" s="89" t="s">
        <v>6</v>
      </c>
      <c r="E11" s="4"/>
      <c r="F11" s="4"/>
      <c r="G11" s="4"/>
      <c r="H11" s="4"/>
      <c r="I11" s="4"/>
      <c r="J11" s="4"/>
      <c r="K11" s="4"/>
      <c r="L11" s="4"/>
      <c r="M11" s="4"/>
      <c r="N11" s="4" t="s">
        <v>105</v>
      </c>
      <c r="O11" s="106">
        <f>C11</f>
        <v>48.6</v>
      </c>
      <c r="P11" s="107" t="s">
        <v>6</v>
      </c>
    </row>
    <row r="12" spans="2:16" x14ac:dyDescent="0.25">
      <c r="B12" s="4" t="s">
        <v>66</v>
      </c>
      <c r="C12" s="4">
        <f>C11-((F6+F4)*(G3+H3+J3)*(G3+H3+J3))-(H10*H10*L8)</f>
        <v>31.744</v>
      </c>
      <c r="D12" s="89" t="s">
        <v>6</v>
      </c>
      <c r="E12" s="4"/>
      <c r="F12" s="4"/>
      <c r="G12" s="4"/>
      <c r="H12" s="4"/>
      <c r="I12" s="4"/>
      <c r="J12" s="4"/>
      <c r="K12" s="4"/>
      <c r="L12" s="4"/>
      <c r="M12" s="4"/>
      <c r="N12" s="4" t="s">
        <v>105</v>
      </c>
      <c r="O12" s="106">
        <f>C12</f>
        <v>31.744</v>
      </c>
      <c r="P12" s="107" t="s">
        <v>6</v>
      </c>
    </row>
    <row r="13" spans="2:16" x14ac:dyDescent="0.25">
      <c r="B13" s="4" t="s">
        <v>17</v>
      </c>
      <c r="C13" s="4"/>
      <c r="D13" s="89"/>
      <c r="E13" s="4"/>
      <c r="F13" s="4"/>
      <c r="G13" s="4"/>
      <c r="H13" s="4"/>
      <c r="I13" s="4"/>
      <c r="J13" s="4"/>
      <c r="K13" s="4"/>
      <c r="L13" s="4"/>
      <c r="M13" s="4"/>
      <c r="N13" s="4"/>
      <c r="O13" s="106"/>
      <c r="P13" s="107"/>
    </row>
    <row r="14" spans="2:16" x14ac:dyDescent="0.25">
      <c r="B14" s="90" t="s">
        <v>92</v>
      </c>
      <c r="C14" s="4">
        <f>(H10*4*L8)</f>
        <v>5.28</v>
      </c>
      <c r="D14" s="89" t="s">
        <v>1</v>
      </c>
      <c r="E14" s="4"/>
      <c r="F14" s="4"/>
      <c r="G14" s="4"/>
      <c r="H14" s="4"/>
      <c r="I14" s="4"/>
      <c r="J14" s="4"/>
      <c r="K14" s="4"/>
      <c r="L14" s="4"/>
      <c r="M14" s="4"/>
      <c r="N14" s="4" t="s">
        <v>105</v>
      </c>
      <c r="O14" s="106">
        <f>C14</f>
        <v>5.28</v>
      </c>
      <c r="P14" s="107" t="s">
        <v>1</v>
      </c>
    </row>
    <row r="15" spans="2:16" x14ac:dyDescent="0.25">
      <c r="B15" s="90" t="s">
        <v>93</v>
      </c>
      <c r="C15" s="4">
        <f>(2*(G3+H3+J3)*(F6+F4))+(2*(H3)*(F6+F4))</f>
        <v>18</v>
      </c>
      <c r="D15" s="89" t="s">
        <v>1</v>
      </c>
      <c r="E15" s="4"/>
      <c r="F15" s="4"/>
      <c r="G15" s="4" t="s">
        <v>94</v>
      </c>
      <c r="H15" s="4"/>
      <c r="I15" s="4"/>
      <c r="J15" s="4"/>
      <c r="K15" s="4"/>
      <c r="L15" s="4"/>
      <c r="M15" s="4"/>
      <c r="N15" s="4" t="s">
        <v>105</v>
      </c>
      <c r="O15" s="106">
        <f>C15</f>
        <v>18</v>
      </c>
      <c r="P15" s="107" t="s">
        <v>1</v>
      </c>
    </row>
    <row r="16" spans="2:16" x14ac:dyDescent="0.25">
      <c r="B16" s="4" t="s">
        <v>95</v>
      </c>
      <c r="C16" s="4"/>
      <c r="D16" s="89"/>
      <c r="E16" s="4"/>
      <c r="F16" s="4"/>
      <c r="G16" s="4"/>
      <c r="H16" s="4"/>
      <c r="I16" s="4"/>
      <c r="J16" s="4"/>
      <c r="K16" s="4"/>
      <c r="L16" s="4"/>
      <c r="M16" s="4"/>
      <c r="N16" s="4"/>
      <c r="O16" s="106"/>
      <c r="P16" s="107"/>
    </row>
    <row r="17" spans="2:16" x14ac:dyDescent="0.25">
      <c r="B17" s="90" t="s">
        <v>92</v>
      </c>
      <c r="C17" s="4">
        <f>0.1*C21</f>
        <v>0.43559999999999999</v>
      </c>
      <c r="D17" s="89" t="s">
        <v>20</v>
      </c>
      <c r="E17" s="4"/>
      <c r="F17" s="4"/>
      <c r="G17" s="4"/>
      <c r="H17" s="4"/>
      <c r="I17" s="4"/>
      <c r="J17" s="4"/>
      <c r="K17" s="4"/>
      <c r="L17" s="4"/>
      <c r="M17" s="4"/>
      <c r="N17" s="4" t="s">
        <v>105</v>
      </c>
      <c r="O17" s="106">
        <f>C17</f>
        <v>0.43559999999999999</v>
      </c>
      <c r="P17" s="107" t="s">
        <v>20</v>
      </c>
    </row>
    <row r="18" spans="2:16" x14ac:dyDescent="0.25">
      <c r="B18" s="90" t="s">
        <v>93</v>
      </c>
      <c r="C18" s="4">
        <f>0.15*C22</f>
        <v>0.67499999999999993</v>
      </c>
      <c r="D18" s="89" t="s">
        <v>20</v>
      </c>
      <c r="E18" s="4"/>
      <c r="F18" s="4"/>
      <c r="G18" s="4"/>
      <c r="H18" s="4"/>
      <c r="I18" s="4"/>
      <c r="J18" s="4"/>
      <c r="K18" s="4"/>
      <c r="L18" s="4"/>
      <c r="M18" s="4"/>
      <c r="N18" s="4" t="s">
        <v>105</v>
      </c>
      <c r="O18" s="106">
        <f>C18</f>
        <v>0.67499999999999993</v>
      </c>
      <c r="P18" s="107" t="s">
        <v>20</v>
      </c>
    </row>
    <row r="19" spans="2:16" x14ac:dyDescent="0.25">
      <c r="B19" s="4" t="s">
        <v>4</v>
      </c>
      <c r="C19" s="4"/>
      <c r="D19" s="89"/>
      <c r="E19" s="4"/>
      <c r="F19" s="4"/>
      <c r="G19" s="4"/>
      <c r="H19" s="4"/>
      <c r="I19" s="4"/>
      <c r="J19" s="4"/>
      <c r="K19" s="4"/>
      <c r="L19" s="4"/>
      <c r="M19" s="4"/>
      <c r="N19" s="4"/>
      <c r="O19" s="106"/>
      <c r="P19" s="107"/>
    </row>
    <row r="20" spans="2:16" x14ac:dyDescent="0.25">
      <c r="B20" s="90" t="s">
        <v>96</v>
      </c>
      <c r="C20" s="4">
        <f>H10*H10</f>
        <v>10.889999999999999</v>
      </c>
      <c r="D20" s="89" t="s">
        <v>1</v>
      </c>
      <c r="E20" s="4"/>
      <c r="F20" s="4"/>
      <c r="G20" s="4"/>
      <c r="H20" s="4"/>
      <c r="I20" s="4"/>
      <c r="J20" s="4"/>
      <c r="K20" s="4"/>
      <c r="L20" s="4"/>
      <c r="M20" s="4"/>
      <c r="N20" s="4" t="s">
        <v>105</v>
      </c>
      <c r="O20" s="106">
        <f t="shared" ref="O20:O26" si="0">C20</f>
        <v>10.889999999999999</v>
      </c>
      <c r="P20" s="107" t="s">
        <v>1</v>
      </c>
    </row>
    <row r="21" spans="2:16" x14ac:dyDescent="0.25">
      <c r="B21" s="90" t="s">
        <v>97</v>
      </c>
      <c r="C21" s="4">
        <f>H10*H10*L8</f>
        <v>4.3559999999999999</v>
      </c>
      <c r="D21" s="89" t="s">
        <v>6</v>
      </c>
      <c r="E21" s="4"/>
      <c r="F21" s="4"/>
      <c r="G21" s="4"/>
      <c r="H21" s="4"/>
      <c r="I21" s="4"/>
      <c r="J21" s="4"/>
      <c r="K21" s="4"/>
      <c r="L21" s="4"/>
      <c r="M21" s="4"/>
      <c r="N21" s="4" t="s">
        <v>105</v>
      </c>
      <c r="O21" s="106">
        <f t="shared" si="0"/>
        <v>4.3559999999999999</v>
      </c>
      <c r="P21" s="107" t="s">
        <v>6</v>
      </c>
    </row>
    <row r="22" spans="2:16" x14ac:dyDescent="0.25">
      <c r="B22" s="90" t="s">
        <v>98</v>
      </c>
      <c r="C22" s="4">
        <f>(2*(G3*(F6+F4)*(G3+H3+J3))+(2*(G3*(F6+F4)*H3)))</f>
        <v>4.5</v>
      </c>
      <c r="D22" s="89" t="s">
        <v>6</v>
      </c>
      <c r="E22" s="4"/>
      <c r="F22" s="4"/>
      <c r="G22" s="4"/>
      <c r="H22" s="4"/>
      <c r="I22" s="4"/>
      <c r="J22" s="4"/>
      <c r="K22" s="4"/>
      <c r="L22" s="4"/>
      <c r="M22" s="4"/>
      <c r="N22" s="4" t="s">
        <v>105</v>
      </c>
      <c r="O22" s="106">
        <f t="shared" si="0"/>
        <v>4.5</v>
      </c>
      <c r="P22" s="107" t="s">
        <v>6</v>
      </c>
    </row>
    <row r="23" spans="2:16" x14ac:dyDescent="0.25">
      <c r="B23" s="4" t="s">
        <v>84</v>
      </c>
      <c r="C23" s="4">
        <f>C20</f>
        <v>10.889999999999999</v>
      </c>
      <c r="D23" s="89" t="s">
        <v>1</v>
      </c>
      <c r="E23" s="4"/>
      <c r="F23" s="4"/>
      <c r="G23" s="4"/>
      <c r="H23" s="4"/>
      <c r="I23" s="4"/>
      <c r="J23" s="4"/>
      <c r="K23" s="4"/>
      <c r="L23" s="4"/>
      <c r="M23" s="4"/>
      <c r="N23" s="4" t="s">
        <v>105</v>
      </c>
      <c r="O23" s="106">
        <f t="shared" si="0"/>
        <v>10.889999999999999</v>
      </c>
      <c r="P23" s="107" t="s">
        <v>1</v>
      </c>
    </row>
    <row r="24" spans="2:16" x14ac:dyDescent="0.25">
      <c r="B24" s="108" t="s">
        <v>99</v>
      </c>
      <c r="C24" s="4">
        <f>H3*4</f>
        <v>8</v>
      </c>
      <c r="D24" s="89" t="s">
        <v>11</v>
      </c>
      <c r="E24" s="4"/>
      <c r="F24" s="4"/>
      <c r="G24" s="4"/>
      <c r="H24" s="4"/>
      <c r="I24" s="4"/>
      <c r="J24" s="4"/>
      <c r="K24" s="4"/>
      <c r="L24" s="4"/>
      <c r="M24" s="4"/>
      <c r="N24" s="4" t="s">
        <v>105</v>
      </c>
      <c r="O24" s="106">
        <f t="shared" si="0"/>
        <v>8</v>
      </c>
      <c r="P24" s="107" t="s">
        <v>11</v>
      </c>
    </row>
    <row r="25" spans="2:16" x14ac:dyDescent="0.25">
      <c r="B25" s="108" t="s">
        <v>100</v>
      </c>
      <c r="C25" s="4">
        <f>H3*H3</f>
        <v>4</v>
      </c>
      <c r="D25" s="89" t="s">
        <v>1</v>
      </c>
      <c r="E25" s="4"/>
      <c r="F25" s="4"/>
      <c r="G25" s="4"/>
      <c r="H25" s="4"/>
      <c r="I25" s="4"/>
      <c r="J25" s="4"/>
      <c r="K25" s="4"/>
      <c r="L25" s="4"/>
      <c r="M25" s="4"/>
      <c r="N25" s="4" t="s">
        <v>105</v>
      </c>
      <c r="O25" s="106">
        <f t="shared" si="0"/>
        <v>4</v>
      </c>
      <c r="P25" s="107" t="s">
        <v>1</v>
      </c>
    </row>
    <row r="26" spans="2:16" x14ac:dyDescent="0.25">
      <c r="B26" s="108" t="s">
        <v>101</v>
      </c>
      <c r="C26" s="4">
        <f>(F6+F4)*4</f>
        <v>8</v>
      </c>
      <c r="D26" s="89" t="s">
        <v>1</v>
      </c>
      <c r="E26" s="4"/>
      <c r="F26" s="4"/>
      <c r="G26" s="4"/>
      <c r="H26" s="4"/>
      <c r="I26" s="4"/>
      <c r="J26" s="4"/>
      <c r="K26" s="4"/>
      <c r="L26" s="4"/>
      <c r="M26" s="4"/>
      <c r="N26" s="4" t="s">
        <v>105</v>
      </c>
      <c r="O26" s="106">
        <f t="shared" si="0"/>
        <v>8</v>
      </c>
      <c r="P26" s="107" t="s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1D7FC-9FD2-4CE7-8A7C-DF8A515ADA9F}">
  <dimension ref="B2:J44"/>
  <sheetViews>
    <sheetView tabSelected="1" topLeftCell="A10" workbookViewId="0">
      <selection activeCell="H45" sqref="H45"/>
    </sheetView>
  </sheetViews>
  <sheetFormatPr defaultRowHeight="15" x14ac:dyDescent="0.25"/>
  <cols>
    <col min="2" max="2" width="25.28515625" bestFit="1" customWidth="1"/>
  </cols>
  <sheetData>
    <row r="2" spans="2:10" x14ac:dyDescent="0.25">
      <c r="B2" s="2" t="s">
        <v>103</v>
      </c>
      <c r="C2" s="1"/>
      <c r="D2" s="1"/>
      <c r="E2" s="1"/>
      <c r="F2" s="1"/>
      <c r="G2" s="1"/>
      <c r="H2" s="1"/>
      <c r="I2" s="1"/>
      <c r="J2" s="1"/>
    </row>
    <row r="3" spans="2:10" x14ac:dyDescent="0.25">
      <c r="B3" s="1"/>
      <c r="C3" s="1"/>
      <c r="D3" s="1"/>
      <c r="E3" s="1"/>
      <c r="F3" s="1"/>
      <c r="G3" s="1"/>
      <c r="H3" s="1"/>
      <c r="I3" s="1"/>
      <c r="J3" s="1"/>
    </row>
    <row r="4" spans="2:10" x14ac:dyDescent="0.25">
      <c r="B4" s="13" t="s">
        <v>21</v>
      </c>
      <c r="C4" s="15">
        <v>0</v>
      </c>
      <c r="D4" s="13" t="s">
        <v>11</v>
      </c>
      <c r="E4" s="1"/>
      <c r="F4" s="1"/>
      <c r="G4" s="1"/>
      <c r="H4" s="1"/>
      <c r="I4" s="1"/>
      <c r="J4" s="1"/>
    </row>
    <row r="5" spans="2:10" x14ac:dyDescent="0.25">
      <c r="B5" s="13" t="s">
        <v>22</v>
      </c>
      <c r="C5" s="16">
        <v>0</v>
      </c>
      <c r="D5" s="13" t="s">
        <v>11</v>
      </c>
      <c r="E5" s="1"/>
      <c r="F5" s="1"/>
      <c r="G5" s="1"/>
      <c r="H5" s="1"/>
      <c r="I5" s="1"/>
      <c r="J5" s="1"/>
    </row>
    <row r="6" spans="2:10" x14ac:dyDescent="0.25">
      <c r="B6" s="13" t="s">
        <v>23</v>
      </c>
      <c r="C6" s="15">
        <v>0</v>
      </c>
      <c r="D6" s="13" t="s">
        <v>11</v>
      </c>
      <c r="E6" s="1"/>
      <c r="F6" s="1"/>
      <c r="G6" s="1"/>
      <c r="H6" s="1"/>
      <c r="I6" s="1"/>
      <c r="J6" s="1"/>
    </row>
    <row r="7" spans="2:10" x14ac:dyDescent="0.25">
      <c r="B7" s="13" t="s">
        <v>24</v>
      </c>
      <c r="C7" s="15">
        <v>0</v>
      </c>
      <c r="D7" s="13" t="s">
        <v>11</v>
      </c>
      <c r="E7" s="1"/>
      <c r="F7" s="1"/>
      <c r="G7" s="1"/>
      <c r="H7" s="1"/>
      <c r="I7" s="1"/>
      <c r="J7" s="1"/>
    </row>
    <row r="8" spans="2:10" x14ac:dyDescent="0.25">
      <c r="B8" s="13" t="s">
        <v>25</v>
      </c>
      <c r="C8" s="15">
        <v>0</v>
      </c>
      <c r="D8" s="13" t="s">
        <v>11</v>
      </c>
      <c r="E8" s="1"/>
      <c r="F8" s="1"/>
      <c r="G8" s="1"/>
      <c r="H8" s="1"/>
      <c r="I8" s="1"/>
      <c r="J8" s="1"/>
    </row>
    <row r="9" spans="2:10" x14ac:dyDescent="0.25">
      <c r="B9" s="13"/>
      <c r="C9" s="15"/>
      <c r="D9" s="13"/>
      <c r="E9" s="1"/>
      <c r="F9" s="1"/>
      <c r="G9" s="1"/>
      <c r="H9" s="1"/>
      <c r="I9" s="1"/>
      <c r="J9" s="1"/>
    </row>
    <row r="10" spans="2:10" x14ac:dyDescent="0.25">
      <c r="B10" s="13" t="s">
        <v>26</v>
      </c>
      <c r="C10" s="15">
        <v>1</v>
      </c>
      <c r="D10" s="13" t="s">
        <v>9</v>
      </c>
      <c r="E10" s="1"/>
      <c r="F10" s="1"/>
      <c r="G10" s="1"/>
      <c r="H10" s="1"/>
      <c r="I10" s="1"/>
      <c r="J10" s="1"/>
    </row>
    <row r="11" spans="2:10" x14ac:dyDescent="0.25">
      <c r="B11" s="13" t="s">
        <v>27</v>
      </c>
      <c r="C11" s="15">
        <v>1.25</v>
      </c>
      <c r="D11" s="13" t="s">
        <v>11</v>
      </c>
      <c r="E11" s="1"/>
      <c r="F11" s="1"/>
      <c r="G11" s="1"/>
      <c r="H11" s="1"/>
      <c r="I11" s="1"/>
      <c r="J11" s="1"/>
    </row>
    <row r="12" spans="2:10" x14ac:dyDescent="0.25">
      <c r="B12" s="13" t="s">
        <v>28</v>
      </c>
      <c r="C12" s="15">
        <v>2.5</v>
      </c>
      <c r="D12" s="13" t="s">
        <v>11</v>
      </c>
      <c r="E12" s="1"/>
      <c r="F12" s="1"/>
      <c r="G12" s="1"/>
      <c r="H12" s="1"/>
      <c r="I12" s="1"/>
      <c r="J12" s="1"/>
    </row>
    <row r="13" spans="2:10" x14ac:dyDescent="0.25">
      <c r="B13" s="13" t="s">
        <v>29</v>
      </c>
      <c r="C13" s="16">
        <v>0.25</v>
      </c>
      <c r="D13" s="13" t="s">
        <v>11</v>
      </c>
      <c r="E13" s="1"/>
      <c r="F13" s="1"/>
      <c r="G13" s="1"/>
      <c r="H13" s="1"/>
      <c r="I13" s="1"/>
      <c r="J13" s="1"/>
    </row>
    <row r="14" spans="2:10" x14ac:dyDescent="0.25">
      <c r="B14" s="13" t="s">
        <v>30</v>
      </c>
      <c r="C14" s="15">
        <v>8</v>
      </c>
      <c r="D14" s="13" t="s">
        <v>9</v>
      </c>
      <c r="E14" s="1"/>
      <c r="F14" s="1"/>
      <c r="G14" s="1"/>
      <c r="H14" s="1"/>
      <c r="I14" s="1"/>
      <c r="J14" s="1"/>
    </row>
    <row r="15" spans="2:10" x14ac:dyDescent="0.25">
      <c r="B15" s="13" t="s">
        <v>31</v>
      </c>
      <c r="C15" s="15">
        <v>115</v>
      </c>
      <c r="D15" s="13"/>
      <c r="E15" s="17" t="s">
        <v>32</v>
      </c>
      <c r="F15" s="17"/>
      <c r="G15" s="18">
        <v>8</v>
      </c>
      <c r="H15" s="12" t="s">
        <v>9</v>
      </c>
      <c r="I15" s="1"/>
      <c r="J15" s="1"/>
    </row>
    <row r="16" spans="2:10" x14ac:dyDescent="0.25">
      <c r="B16" s="13"/>
      <c r="C16" s="15"/>
      <c r="D16" s="13"/>
      <c r="E16" s="17"/>
      <c r="F16" s="17"/>
      <c r="G16" s="18"/>
      <c r="H16" s="12"/>
      <c r="I16" s="1"/>
      <c r="J16" s="1"/>
    </row>
    <row r="17" spans="2:10" x14ac:dyDescent="0.25">
      <c r="B17" s="12"/>
      <c r="C17" s="12"/>
      <c r="D17" s="12"/>
      <c r="E17" s="2" t="s">
        <v>33</v>
      </c>
      <c r="F17" s="1"/>
      <c r="G17" s="1"/>
      <c r="H17" s="1"/>
      <c r="I17" s="19" t="s">
        <v>33</v>
      </c>
      <c r="J17" s="20"/>
    </row>
    <row r="18" spans="2:10" x14ac:dyDescent="0.25">
      <c r="B18" s="12"/>
      <c r="C18" s="12"/>
      <c r="D18" s="12"/>
      <c r="E18" s="2"/>
      <c r="F18" s="1"/>
      <c r="G18" s="1"/>
      <c r="H18" s="1"/>
      <c r="I18" s="20"/>
      <c r="J18" s="20"/>
    </row>
    <row r="19" spans="2:10" x14ac:dyDescent="0.25">
      <c r="B19" s="21" t="s">
        <v>56</v>
      </c>
      <c r="C19" s="12"/>
      <c r="D19" s="12"/>
      <c r="E19" s="1"/>
      <c r="F19" s="1"/>
      <c r="G19" s="1"/>
      <c r="H19" s="1"/>
      <c r="I19" s="20"/>
      <c r="J19" s="20"/>
    </row>
    <row r="20" spans="2:10" x14ac:dyDescent="0.25">
      <c r="B20" s="12" t="s">
        <v>102</v>
      </c>
      <c r="C20" s="12">
        <v>0</v>
      </c>
      <c r="D20" s="12" t="s">
        <v>9</v>
      </c>
      <c r="E20" s="23"/>
      <c r="F20" s="24"/>
      <c r="G20" s="1"/>
      <c r="H20" s="1"/>
      <c r="I20" s="56">
        <f>C20</f>
        <v>0</v>
      </c>
      <c r="J20" s="26" t="s">
        <v>9</v>
      </c>
    </row>
    <row r="21" spans="2:10" x14ac:dyDescent="0.25">
      <c r="B21" s="12"/>
      <c r="C21" s="27"/>
      <c r="D21" s="12"/>
      <c r="E21" s="23"/>
      <c r="F21" s="24"/>
      <c r="G21" s="1"/>
      <c r="H21" s="1"/>
      <c r="I21" s="56"/>
      <c r="J21" s="26"/>
    </row>
    <row r="22" spans="2:10" x14ac:dyDescent="0.25">
      <c r="B22" s="21" t="s">
        <v>37</v>
      </c>
      <c r="C22" s="27"/>
      <c r="D22" s="12"/>
      <c r="E22" s="23"/>
      <c r="F22" s="24"/>
      <c r="G22" s="1"/>
      <c r="H22" s="1"/>
      <c r="I22" s="56"/>
      <c r="J22" s="26"/>
    </row>
    <row r="23" spans="2:10" x14ac:dyDescent="0.25">
      <c r="B23" s="12" t="s">
        <v>38</v>
      </c>
      <c r="C23" s="27">
        <f>(C4+C7)*(C5+C7)*(C6+C8)</f>
        <v>0</v>
      </c>
      <c r="D23" s="12" t="s">
        <v>6</v>
      </c>
      <c r="E23" s="28">
        <f t="shared" ref="E23:E44" si="0">C23*G$15</f>
        <v>0</v>
      </c>
      <c r="F23" s="24" t="s">
        <v>6</v>
      </c>
      <c r="G23" s="1"/>
      <c r="H23" s="1"/>
      <c r="I23" s="56">
        <f>E23</f>
        <v>0</v>
      </c>
      <c r="J23" s="26" t="s">
        <v>6</v>
      </c>
    </row>
    <row r="24" spans="2:10" x14ac:dyDescent="0.25">
      <c r="B24" s="12" t="s">
        <v>39</v>
      </c>
      <c r="C24" s="27">
        <f>C23-(C4*C5*C6)</f>
        <v>0</v>
      </c>
      <c r="D24" s="12" t="s">
        <v>6</v>
      </c>
      <c r="E24" s="28">
        <f t="shared" si="0"/>
        <v>0</v>
      </c>
      <c r="F24" s="24" t="s">
        <v>6</v>
      </c>
      <c r="G24" s="1"/>
      <c r="H24" s="1"/>
      <c r="I24" s="56">
        <f>E24</f>
        <v>0</v>
      </c>
      <c r="J24" s="26" t="s">
        <v>6</v>
      </c>
    </row>
    <row r="25" spans="2:10" x14ac:dyDescent="0.25">
      <c r="B25" s="12"/>
      <c r="C25" s="27"/>
      <c r="D25" s="12"/>
      <c r="E25" s="28"/>
      <c r="F25" s="24"/>
      <c r="G25" s="1"/>
      <c r="H25" s="1"/>
      <c r="I25" s="56"/>
      <c r="J25" s="26"/>
    </row>
    <row r="26" spans="2:10" x14ac:dyDescent="0.25">
      <c r="B26" s="21" t="s">
        <v>40</v>
      </c>
      <c r="C26" s="27"/>
      <c r="D26" s="12"/>
      <c r="E26" s="28"/>
      <c r="F26" s="24"/>
      <c r="G26" s="1"/>
      <c r="H26" s="1"/>
      <c r="I26" s="56"/>
      <c r="J26" s="26"/>
    </row>
    <row r="27" spans="2:10" x14ac:dyDescent="0.25">
      <c r="B27" s="12" t="s">
        <v>17</v>
      </c>
      <c r="C27" s="27"/>
      <c r="D27" s="12"/>
      <c r="E27" s="28"/>
      <c r="F27" s="24"/>
      <c r="G27" s="1"/>
      <c r="H27" s="1"/>
      <c r="I27" s="56"/>
      <c r="J27" s="26"/>
    </row>
    <row r="28" spans="2:10" x14ac:dyDescent="0.25">
      <c r="B28" s="11" t="s">
        <v>41</v>
      </c>
      <c r="C28" s="27">
        <f>(2*(C4*C6))+(2*(C5*C6))</f>
        <v>0</v>
      </c>
      <c r="D28" s="12" t="s">
        <v>1</v>
      </c>
      <c r="E28" s="28">
        <f t="shared" si="0"/>
        <v>0</v>
      </c>
      <c r="F28" s="24" t="s">
        <v>1</v>
      </c>
      <c r="G28" s="1"/>
      <c r="H28" s="1"/>
      <c r="I28" s="56">
        <f t="shared" ref="I28:I33" si="1">E28</f>
        <v>0</v>
      </c>
      <c r="J28" s="26" t="s">
        <v>1</v>
      </c>
    </row>
    <row r="29" spans="2:10" x14ac:dyDescent="0.25">
      <c r="B29" s="11" t="s">
        <v>42</v>
      </c>
      <c r="C29" s="27">
        <f>((2*(C11*C13))+((C12*C13)*2))*C10</f>
        <v>1.875</v>
      </c>
      <c r="D29" s="12" t="s">
        <v>1</v>
      </c>
      <c r="E29" s="28">
        <f t="shared" si="0"/>
        <v>15</v>
      </c>
      <c r="F29" s="24" t="s">
        <v>1</v>
      </c>
      <c r="G29" s="1"/>
      <c r="H29" s="1" t="s">
        <v>105</v>
      </c>
      <c r="I29" s="56">
        <f t="shared" si="1"/>
        <v>15</v>
      </c>
      <c r="J29" s="26" t="s">
        <v>1</v>
      </c>
    </row>
    <row r="30" spans="2:10" x14ac:dyDescent="0.25">
      <c r="B30" s="21" t="s">
        <v>43</v>
      </c>
      <c r="C30" s="27">
        <f>C14*C10</f>
        <v>8</v>
      </c>
      <c r="D30" s="12" t="s">
        <v>9</v>
      </c>
      <c r="E30" s="28">
        <f t="shared" si="0"/>
        <v>64</v>
      </c>
      <c r="F30" s="24" t="s">
        <v>9</v>
      </c>
      <c r="G30" s="1"/>
      <c r="H30" s="1" t="s">
        <v>105</v>
      </c>
      <c r="I30" s="56">
        <f t="shared" si="1"/>
        <v>64</v>
      </c>
      <c r="J30" s="26" t="s">
        <v>9</v>
      </c>
    </row>
    <row r="31" spans="2:10" x14ac:dyDescent="0.25">
      <c r="B31" s="12" t="s">
        <v>44</v>
      </c>
      <c r="C31" s="27">
        <f>C30</f>
        <v>8</v>
      </c>
      <c r="D31" s="12" t="s">
        <v>9</v>
      </c>
      <c r="E31" s="28">
        <f t="shared" si="0"/>
        <v>64</v>
      </c>
      <c r="F31" s="24" t="s">
        <v>9</v>
      </c>
      <c r="G31" s="1"/>
      <c r="H31" s="1" t="s">
        <v>105</v>
      </c>
      <c r="I31" s="56">
        <f t="shared" si="1"/>
        <v>64</v>
      </c>
      <c r="J31" s="26" t="s">
        <v>9</v>
      </c>
    </row>
    <row r="32" spans="2:10" x14ac:dyDescent="0.25">
      <c r="B32" s="21" t="s">
        <v>18</v>
      </c>
      <c r="C32" s="27">
        <f>(2*C11)+(2*C12)+(2*C4)+(C5*2)</f>
        <v>7.5</v>
      </c>
      <c r="D32" s="12" t="s">
        <v>11</v>
      </c>
      <c r="E32" s="28">
        <f t="shared" si="0"/>
        <v>60</v>
      </c>
      <c r="F32" s="24" t="s">
        <v>11</v>
      </c>
      <c r="G32" s="1"/>
      <c r="H32" s="1" t="s">
        <v>105</v>
      </c>
      <c r="I32" s="56">
        <f t="shared" si="1"/>
        <v>60</v>
      </c>
      <c r="J32" s="26" t="s">
        <v>11</v>
      </c>
    </row>
    <row r="33" spans="2:10" x14ac:dyDescent="0.25">
      <c r="B33" s="21" t="s">
        <v>19</v>
      </c>
      <c r="C33" s="27">
        <f>(C37+C38+C39)*C15/1000</f>
        <v>8.984375E-2</v>
      </c>
      <c r="D33" s="12" t="s">
        <v>20</v>
      </c>
      <c r="E33" s="23">
        <f t="shared" si="0"/>
        <v>0.71875</v>
      </c>
      <c r="F33" s="24" t="s">
        <v>20</v>
      </c>
      <c r="G33" s="1"/>
      <c r="H33" s="1" t="s">
        <v>105</v>
      </c>
      <c r="I33" s="56">
        <f t="shared" si="1"/>
        <v>0.71875</v>
      </c>
      <c r="J33" s="26" t="s">
        <v>20</v>
      </c>
    </row>
    <row r="34" spans="2:10" x14ac:dyDescent="0.25">
      <c r="B34" s="21" t="s">
        <v>4</v>
      </c>
      <c r="C34" s="27"/>
      <c r="D34" s="12"/>
      <c r="E34" s="23"/>
      <c r="F34" s="24"/>
      <c r="G34" s="1"/>
      <c r="H34" s="1"/>
      <c r="I34" s="56"/>
      <c r="J34" s="26"/>
    </row>
    <row r="35" spans="2:10" x14ac:dyDescent="0.25">
      <c r="B35" s="12" t="s">
        <v>45</v>
      </c>
      <c r="C35" s="27">
        <f>(C4+C7)*(C5+C7)</f>
        <v>0</v>
      </c>
      <c r="D35" s="12" t="s">
        <v>1</v>
      </c>
      <c r="E35" s="28">
        <f t="shared" si="0"/>
        <v>0</v>
      </c>
      <c r="F35" s="24" t="s">
        <v>1</v>
      </c>
      <c r="G35" s="1"/>
      <c r="H35" s="1"/>
      <c r="I35" s="56">
        <f>E35</f>
        <v>0</v>
      </c>
      <c r="J35" s="26" t="s">
        <v>1</v>
      </c>
    </row>
    <row r="36" spans="2:10" x14ac:dyDescent="0.25">
      <c r="B36" s="12" t="s">
        <v>46</v>
      </c>
      <c r="C36" s="27"/>
      <c r="D36" s="12"/>
      <c r="E36" s="28"/>
      <c r="F36" s="24"/>
      <c r="G36" s="1"/>
      <c r="H36" s="1"/>
      <c r="I36" s="56"/>
      <c r="J36" s="26"/>
    </row>
    <row r="37" spans="2:10" x14ac:dyDescent="0.25">
      <c r="B37" s="11" t="s">
        <v>47</v>
      </c>
      <c r="C37" s="27">
        <f>C4*C5*C6</f>
        <v>0</v>
      </c>
      <c r="D37" s="12" t="s">
        <v>6</v>
      </c>
      <c r="E37" s="28">
        <f t="shared" si="0"/>
        <v>0</v>
      </c>
      <c r="F37" s="24" t="s">
        <v>6</v>
      </c>
      <c r="G37" s="1"/>
      <c r="H37" s="1"/>
      <c r="I37" s="56">
        <f>E37</f>
        <v>0</v>
      </c>
      <c r="J37" s="26" t="s">
        <v>6</v>
      </c>
    </row>
    <row r="38" spans="2:10" x14ac:dyDescent="0.25">
      <c r="B38" s="11" t="s">
        <v>54</v>
      </c>
      <c r="C38" s="27">
        <f>C10*C11*C12*C13</f>
        <v>0.78125</v>
      </c>
      <c r="D38" s="12" t="s">
        <v>6</v>
      </c>
      <c r="E38" s="28">
        <f t="shared" si="0"/>
        <v>6.25</v>
      </c>
      <c r="F38" s="24" t="s">
        <v>6</v>
      </c>
      <c r="G38" s="1"/>
      <c r="H38" s="1" t="s">
        <v>105</v>
      </c>
      <c r="I38" s="56">
        <f>E38</f>
        <v>6.25</v>
      </c>
      <c r="J38" s="26" t="s">
        <v>6</v>
      </c>
    </row>
    <row r="39" spans="2:10" x14ac:dyDescent="0.25">
      <c r="B39" s="11" t="s">
        <v>48</v>
      </c>
      <c r="C39" s="22"/>
      <c r="D39" s="12" t="s">
        <v>6</v>
      </c>
      <c r="E39" s="28">
        <f t="shared" si="0"/>
        <v>0</v>
      </c>
      <c r="F39" s="24" t="s">
        <v>6</v>
      </c>
      <c r="G39" s="1"/>
      <c r="H39" s="1"/>
      <c r="I39" s="56">
        <f>E39</f>
        <v>0</v>
      </c>
      <c r="J39" s="26" t="s">
        <v>6</v>
      </c>
    </row>
    <row r="40" spans="2:10" x14ac:dyDescent="0.25">
      <c r="B40" s="29" t="s">
        <v>49</v>
      </c>
      <c r="C40" s="30">
        <f>C4*C5</f>
        <v>0</v>
      </c>
      <c r="D40" s="1" t="s">
        <v>1</v>
      </c>
      <c r="E40" s="28">
        <f t="shared" si="0"/>
        <v>0</v>
      </c>
      <c r="F40" s="31" t="s">
        <v>1</v>
      </c>
      <c r="G40" s="1"/>
      <c r="H40" s="1"/>
      <c r="I40" s="56">
        <f>E40</f>
        <v>0</v>
      </c>
      <c r="J40" s="19" t="s">
        <v>1</v>
      </c>
    </row>
    <row r="41" spans="2:10" x14ac:dyDescent="0.25">
      <c r="B41" s="1" t="s">
        <v>50</v>
      </c>
      <c r="C41" s="30"/>
      <c r="D41" s="1"/>
      <c r="E41" s="23"/>
      <c r="F41" s="31"/>
      <c r="G41" s="1"/>
      <c r="H41" s="1"/>
      <c r="I41" s="56"/>
      <c r="J41" s="19"/>
    </row>
    <row r="42" spans="2:10" x14ac:dyDescent="0.25">
      <c r="B42" s="8" t="s">
        <v>51</v>
      </c>
      <c r="C42" s="30">
        <f>C14*C10*(0.15*0.15*0.2)</f>
        <v>3.5999999999999997E-2</v>
      </c>
      <c r="D42" s="1" t="s">
        <v>6</v>
      </c>
      <c r="E42" s="23">
        <f t="shared" si="0"/>
        <v>0.28799999999999998</v>
      </c>
      <c r="F42" s="31" t="s">
        <v>6</v>
      </c>
      <c r="G42" s="1"/>
      <c r="H42" s="1" t="s">
        <v>105</v>
      </c>
      <c r="I42" s="56">
        <f>E42</f>
        <v>0.28799999999999998</v>
      </c>
      <c r="J42" s="19" t="s">
        <v>6</v>
      </c>
    </row>
    <row r="43" spans="2:10" x14ac:dyDescent="0.25">
      <c r="B43" s="8" t="s">
        <v>52</v>
      </c>
      <c r="C43" s="30">
        <f>C10*C11*C12*0.075</f>
        <v>0.234375</v>
      </c>
      <c r="D43" s="1" t="s">
        <v>6</v>
      </c>
      <c r="E43" s="23">
        <f t="shared" si="0"/>
        <v>1.875</v>
      </c>
      <c r="F43" s="31" t="s">
        <v>6</v>
      </c>
      <c r="G43" s="1"/>
      <c r="H43" s="1" t="s">
        <v>105</v>
      </c>
      <c r="I43" s="56">
        <f>E43</f>
        <v>1.875</v>
      </c>
      <c r="J43" s="19" t="s">
        <v>6</v>
      </c>
    </row>
    <row r="44" spans="2:10" x14ac:dyDescent="0.25">
      <c r="B44" s="1" t="s">
        <v>53</v>
      </c>
      <c r="C44" s="1">
        <f>(C11*2)+(C12*2)</f>
        <v>7.5</v>
      </c>
      <c r="D44" s="1" t="s">
        <v>11</v>
      </c>
      <c r="E44" s="28">
        <f t="shared" si="0"/>
        <v>60</v>
      </c>
      <c r="F44" s="31" t="s">
        <v>11</v>
      </c>
      <c r="G44" s="1"/>
      <c r="H44" s="1" t="s">
        <v>105</v>
      </c>
      <c r="I44" s="56">
        <f>E44</f>
        <v>60</v>
      </c>
      <c r="J44" s="1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Pile Caps</vt:lpstr>
      <vt:lpstr>Ground Beams</vt:lpstr>
      <vt:lpstr>Surface Bed</vt:lpstr>
      <vt:lpstr>Bund Walls</vt:lpstr>
      <vt:lpstr>Sumps</vt:lpstr>
      <vt:lpstr>Pump Plinths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Watermeyer</dc:creator>
  <cp:lastModifiedBy>larry</cp:lastModifiedBy>
  <cp:lastPrinted>2022-07-12T11:43:37Z</cp:lastPrinted>
  <dcterms:created xsi:type="dcterms:W3CDTF">2022-06-28T11:12:50Z</dcterms:created>
  <dcterms:modified xsi:type="dcterms:W3CDTF">2023-09-14T09:06:45Z</dcterms:modified>
</cp:coreProperties>
</file>