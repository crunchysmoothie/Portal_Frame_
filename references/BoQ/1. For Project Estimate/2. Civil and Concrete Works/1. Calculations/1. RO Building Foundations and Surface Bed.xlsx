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5EDAE56B-72DE-4DC2-B63A-2A2336FD970D}" xr6:coauthVersionLast="47" xr6:coauthVersionMax="47" xr10:uidLastSave="{00000000-0000-0000-0000-000000000000}"/>
  <bookViews>
    <workbookView xWindow="20370" yWindow="-120" windowWidth="29040" windowHeight="15840" activeTab="3" xr2:uid="{02E6CA28-4D7E-41BA-B5AF-451451D26AAE}"/>
  </bookViews>
  <sheets>
    <sheet name="RO Building" sheetId="3" r:id="rId1"/>
    <sheet name="Surface Bed" sheetId="1" r:id="rId2"/>
    <sheet name="Building Works" sheetId="5" r:id="rId3"/>
    <sheet name="Pump Plinth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2" i="6" l="1"/>
  <c r="I40" i="6"/>
  <c r="I39" i="6"/>
  <c r="I38" i="6"/>
  <c r="I37" i="6"/>
  <c r="I35" i="6"/>
  <c r="I33" i="6"/>
  <c r="I32" i="6"/>
  <c r="I31" i="6"/>
  <c r="I30" i="6"/>
  <c r="I29" i="6"/>
  <c r="I28" i="6"/>
  <c r="I24" i="6"/>
  <c r="I23" i="6"/>
  <c r="AO44" i="3"/>
  <c r="AO43" i="3"/>
  <c r="AO42" i="3"/>
  <c r="AO40" i="3"/>
  <c r="AO39" i="3"/>
  <c r="AO38" i="3"/>
  <c r="AO37" i="3"/>
  <c r="AO35" i="3"/>
  <c r="AO33" i="3"/>
  <c r="AO32" i="3"/>
  <c r="AO30" i="3"/>
  <c r="AO29" i="3"/>
  <c r="AO28" i="3"/>
  <c r="AO24" i="3"/>
  <c r="AO23" i="3"/>
  <c r="AO31" i="3"/>
  <c r="AO20" i="3"/>
  <c r="C44" i="6"/>
  <c r="E44" i="6" s="1"/>
  <c r="I44" i="6" s="1"/>
  <c r="C43" i="6"/>
  <c r="E43" i="6" s="1"/>
  <c r="I43" i="6" s="1"/>
  <c r="E42" i="6"/>
  <c r="C42" i="6"/>
  <c r="C40" i="6"/>
  <c r="E40" i="6" s="1"/>
  <c r="E39" i="6"/>
  <c r="C38" i="6"/>
  <c r="E38" i="6" s="1"/>
  <c r="C37" i="6"/>
  <c r="C35" i="6"/>
  <c r="E35" i="6" s="1"/>
  <c r="C32" i="6"/>
  <c r="E32" i="6" s="1"/>
  <c r="C31" i="6"/>
  <c r="E31" i="6" s="1"/>
  <c r="C30" i="6"/>
  <c r="E30" i="6" s="1"/>
  <c r="C29" i="6"/>
  <c r="E29" i="6" s="1"/>
  <c r="E28" i="6"/>
  <c r="C28" i="6"/>
  <c r="C24" i="6"/>
  <c r="E24" i="6" s="1"/>
  <c r="C23" i="6"/>
  <c r="E23" i="6" s="1"/>
  <c r="I20" i="6"/>
  <c r="J37" i="1"/>
  <c r="J35" i="1"/>
  <c r="J33" i="1"/>
  <c r="J23" i="1"/>
  <c r="J21" i="1"/>
  <c r="J19" i="1"/>
  <c r="J15" i="1"/>
  <c r="J17" i="1"/>
  <c r="E7" i="1"/>
  <c r="G15" i="1" s="1"/>
  <c r="AI44" i="3"/>
  <c r="AK44" i="3" s="1"/>
  <c r="AI43" i="3"/>
  <c r="AK43" i="3" s="1"/>
  <c r="AI42" i="3"/>
  <c r="AK42" i="3" s="1"/>
  <c r="AI40" i="3"/>
  <c r="AK40" i="3" s="1"/>
  <c r="AK39" i="3"/>
  <c r="AI38" i="3"/>
  <c r="AK38" i="3" s="1"/>
  <c r="AI37" i="3"/>
  <c r="AK37" i="3" s="1"/>
  <c r="AI35" i="3"/>
  <c r="AK35" i="3" s="1"/>
  <c r="AI32" i="3"/>
  <c r="AK32" i="3" s="1"/>
  <c r="AI30" i="3"/>
  <c r="AI31" i="3" s="1"/>
  <c r="AK31" i="3" s="1"/>
  <c r="AI29" i="3"/>
  <c r="AK29" i="3" s="1"/>
  <c r="AI28" i="3"/>
  <c r="AK28" i="3" s="1"/>
  <c r="AI23" i="3"/>
  <c r="AK23" i="3" s="1"/>
  <c r="AA44" i="3"/>
  <c r="AC44" i="3" s="1"/>
  <c r="AA43" i="3"/>
  <c r="AC43" i="3" s="1"/>
  <c r="AA42" i="3"/>
  <c r="AC42" i="3" s="1"/>
  <c r="AA40" i="3"/>
  <c r="AC40" i="3" s="1"/>
  <c r="AC39" i="3"/>
  <c r="AA38" i="3"/>
  <c r="AC38" i="3" s="1"/>
  <c r="AA37" i="3"/>
  <c r="AC37" i="3" s="1"/>
  <c r="AC35" i="3"/>
  <c r="AA35" i="3"/>
  <c r="AA32" i="3"/>
  <c r="AC32" i="3" s="1"/>
  <c r="AC30" i="3"/>
  <c r="AA30" i="3"/>
  <c r="AA31" i="3" s="1"/>
  <c r="AC31" i="3" s="1"/>
  <c r="AA29" i="3"/>
  <c r="AC29" i="3" s="1"/>
  <c r="AA28" i="3"/>
  <c r="AC28" i="3" s="1"/>
  <c r="AA23" i="3"/>
  <c r="AA24" i="3" s="1"/>
  <c r="AC24" i="3" s="1"/>
  <c r="C8" i="5"/>
  <c r="C13" i="5"/>
  <c r="S44" i="3"/>
  <c r="U44" i="3" s="1"/>
  <c r="S43" i="3"/>
  <c r="U43" i="3" s="1"/>
  <c r="S42" i="3"/>
  <c r="U42" i="3" s="1"/>
  <c r="S40" i="3"/>
  <c r="U40" i="3" s="1"/>
  <c r="U39" i="3"/>
  <c r="S38" i="3"/>
  <c r="U38" i="3" s="1"/>
  <c r="S37" i="3"/>
  <c r="U37" i="3" s="1"/>
  <c r="S35" i="3"/>
  <c r="U35" i="3" s="1"/>
  <c r="S32" i="3"/>
  <c r="U32" i="3" s="1"/>
  <c r="S30" i="3"/>
  <c r="S31" i="3" s="1"/>
  <c r="U31" i="3" s="1"/>
  <c r="S29" i="3"/>
  <c r="U29" i="3" s="1"/>
  <c r="S28" i="3"/>
  <c r="U28" i="3" s="1"/>
  <c r="S23" i="3"/>
  <c r="S24" i="3" s="1"/>
  <c r="U24" i="3" s="1"/>
  <c r="K29" i="3"/>
  <c r="K23" i="3"/>
  <c r="K24" i="3" s="1"/>
  <c r="K28" i="3"/>
  <c r="K30" i="3"/>
  <c r="K31" i="3" s="1"/>
  <c r="K32" i="3"/>
  <c r="K35" i="3"/>
  <c r="K37" i="3"/>
  <c r="K40" i="3"/>
  <c r="K42" i="3"/>
  <c r="K43" i="3"/>
  <c r="K44" i="3"/>
  <c r="C33" i="6" l="1"/>
  <c r="E33" i="6" s="1"/>
  <c r="E37" i="6"/>
  <c r="AI24" i="3"/>
  <c r="AK24" i="3" s="1"/>
  <c r="AA33" i="3"/>
  <c r="AK30" i="3"/>
  <c r="AI33" i="3"/>
  <c r="AK33" i="3" s="1"/>
  <c r="AC23" i="3"/>
  <c r="U30" i="3"/>
  <c r="S33" i="3"/>
  <c r="U33" i="3" s="1"/>
  <c r="U23" i="3"/>
  <c r="K38" i="3"/>
  <c r="K33" i="3" s="1"/>
  <c r="AC33" i="3" l="1"/>
  <c r="C10" i="5"/>
  <c r="C11" i="5" s="1"/>
  <c r="C12" i="5" s="1"/>
  <c r="R11" i="1"/>
  <c r="I15" i="1" l="1"/>
  <c r="M33" i="3"/>
  <c r="C23" i="3"/>
  <c r="C24" i="3" s="1"/>
  <c r="E24" i="3" s="1"/>
  <c r="C29" i="3"/>
  <c r="C44" i="3"/>
  <c r="E44" i="3" s="1"/>
  <c r="C43" i="3"/>
  <c r="C42" i="3"/>
  <c r="E42" i="3" s="1"/>
  <c r="C40" i="3"/>
  <c r="C37" i="3"/>
  <c r="C35" i="3"/>
  <c r="C32" i="3"/>
  <c r="C30" i="3"/>
  <c r="C31" i="3" s="1"/>
  <c r="E31" i="3" s="1"/>
  <c r="C28" i="3"/>
  <c r="E39" i="3"/>
  <c r="AC19" i="1" l="1"/>
  <c r="AC37" i="1"/>
  <c r="AC33" i="1"/>
  <c r="AC35" i="1"/>
  <c r="M40" i="3"/>
  <c r="M29" i="3"/>
  <c r="M37" i="3"/>
  <c r="M31" i="3"/>
  <c r="M24" i="3"/>
  <c r="E40" i="3"/>
  <c r="M42" i="3"/>
  <c r="M43" i="3"/>
  <c r="E43" i="3"/>
  <c r="M44" i="3"/>
  <c r="M30" i="3"/>
  <c r="C38" i="3"/>
  <c r="C33" i="3" s="1"/>
  <c r="E33" i="3" s="1"/>
  <c r="M28" i="3"/>
  <c r="M39" i="3"/>
  <c r="M38" i="3"/>
  <c r="M23" i="3"/>
  <c r="M35" i="3"/>
  <c r="M32" i="3"/>
  <c r="E29" i="3"/>
  <c r="E28" i="3"/>
  <c r="E23" i="3"/>
  <c r="E35" i="3"/>
  <c r="E37" i="3"/>
  <c r="E30" i="3"/>
  <c r="E32" i="3"/>
  <c r="AC21" i="1" l="1"/>
  <c r="J25" i="1"/>
  <c r="AC25" i="1" s="1"/>
  <c r="AC23" i="1"/>
  <c r="AC17" i="1"/>
  <c r="E38" i="3"/>
  <c r="J27" i="1" l="1"/>
  <c r="AC27" i="1" s="1"/>
  <c r="J29" i="1" l="1"/>
  <c r="AC29" i="1" s="1"/>
</calcChain>
</file>

<file path=xl/sharedStrings.xml><?xml version="1.0" encoding="utf-8"?>
<sst xmlns="http://schemas.openxmlformats.org/spreadsheetml/2006/main" count="625" uniqueCount="77">
  <si>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</si>
  <si>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</si>
  <si>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</si>
  <si>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</si>
  <si>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</si>
  <si>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</si>
  <si>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</si>
  <si>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</si>
  <si>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</si>
  <si>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</si>
  <si>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</si>
  <si>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</si>
  <si>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</si>
  <si>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</si>
  <si>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</si>
  <si>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</si>
  <si>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</si>
  <si>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</si>
  <si>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</si>
  <si>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</si>
  <si>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</si>
  <si>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</si>
  <si>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</si>
  <si>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</si>
  <si>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</si>
  <si>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</si>
  <si>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</si>
  <si>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</si>
  <si>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</si>
  <si>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</si>
  <si>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</si>
  <si>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</si>
  <si>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</si>
  <si>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</si>
  <si>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</si>
  <si>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</si>
  <si>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</si>
  <si>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</si>
  <si>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</si>
  <si>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</si>
  <si>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</si>
  <si>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</si>
  <si>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</si>
  <si>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</si>
  <si>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</si>
  <si>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</si>
  <si>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</si>
  <si>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</si>
  <si>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</si>
  <si>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</si>
  <si>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</si>
  <si>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</si>
  <si>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</si>
  <si>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Piles</t>
  </si>
  <si>
    <t xml:space="preserve">Plastered and Painted Brick Walls </t>
  </si>
  <si>
    <t xml:space="preserve">Length = </t>
  </si>
  <si>
    <t>Height =</t>
  </si>
  <si>
    <t xml:space="preserve">Double brick walls = </t>
  </si>
  <si>
    <t xml:space="preserve">Plaster =  </t>
  </si>
  <si>
    <t>Paint Work =</t>
  </si>
  <si>
    <t xml:space="preserve">DPC - Walls = </t>
  </si>
  <si>
    <t>Doors - manual Roller Shutter Doors</t>
  </si>
  <si>
    <t>Fire Escape Doors</t>
  </si>
  <si>
    <t>CFA 750mm diameter</t>
  </si>
  <si>
    <t>Main Frame - Pad Foundations</t>
  </si>
  <si>
    <t>Gable Columns - Pad Foundations</t>
  </si>
  <si>
    <t>Strip Foundations - Building Perimeter</t>
  </si>
  <si>
    <t>RO - Equipment Foundations</t>
  </si>
  <si>
    <t>UF - Equipment Foundations</t>
  </si>
  <si>
    <t>RO Building</t>
  </si>
  <si>
    <t>Slab Thickness</t>
  </si>
  <si>
    <t>mm</t>
  </si>
  <si>
    <t>RO - Building Works</t>
  </si>
  <si>
    <t>DCIS 610mm diameter</t>
  </si>
  <si>
    <t>Ro Building -Pump Plinths</t>
  </si>
  <si>
    <t>x</t>
  </si>
  <si>
    <t>Finishing (Wood Float)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</si>
</sst>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thin">
        <color rgb="FFFFC000"/>
      </left>
      <right style="thin">
        <color theme="4"/>
      </right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/>
      <right/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 style="thin">
        <color rgb="FF0070C0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rgb="FFFFC000"/>
      </bottom>
      <diagonal/>
    </border>
    <border>
      <left/>
      <right/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59996337778862885"/>
      </right>
      <top style="thin">
        <color rgb="FFFF0000"/>
      </top>
      <bottom style="thin">
        <color rgb="FFFFC000"/>
      </bottom>
      <diagonal/>
    </border>
    <border>
      <left style="thin">
        <color rgb="FF0070C0"/>
      </left>
      <right style="thin">
        <color theme="7" tint="0.59996337778862885"/>
      </right>
      <top/>
      <bottom/>
      <diagonal/>
    </border>
    <border>
      <left style="thin">
        <color rgb="FF0070C0"/>
      </left>
      <right style="thin">
        <color theme="7" tint="0.59996337778862885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59996337778862885"/>
      </left>
      <right style="thin">
        <color theme="4"/>
      </right>
      <top style="thin">
        <color rgb="FFFF0000"/>
      </top>
      <bottom style="thin">
        <color rgb="FFFFC000"/>
      </bottom>
      <diagonal/>
    </border>
    <border>
      <left style="thin">
        <color theme="7" tint="0.59996337778862885"/>
      </left>
      <right style="thin">
        <color theme="4"/>
      </right>
      <top/>
      <bottom/>
      <diagonal/>
    </border>
    <border>
      <left style="thin">
        <color theme="7" tint="0.59996337778862885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medium">
        <color auto="1"/>
      </right>
      <top style="thin">
        <color rgb="FFFFC000"/>
      </top>
      <bottom/>
      <diagonal/>
    </border>
    <border>
      <left style="thin">
        <color rgb="FF0070C0"/>
      </left>
      <right style="medium">
        <color auto="1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 style="thin">
        <color theme="4"/>
      </left>
      <right style="thin">
        <color theme="7" tint="0.39994506668294322"/>
      </right>
      <top/>
      <bottom/>
      <diagonal/>
    </border>
    <border>
      <left style="thin">
        <color theme="4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4" tint="-0.24994659260841701"/>
      </right>
      <top style="thin">
        <color rgb="FFFF0000"/>
      </top>
      <bottom style="thin">
        <color rgb="FFFFC000"/>
      </bottom>
      <diagonal/>
    </border>
    <border>
      <left style="thin">
        <color theme="7" tint="0.39994506668294322"/>
      </left>
      <right style="thin">
        <color theme="4" tint="-0.24994659260841701"/>
      </right>
      <top/>
      <bottom/>
      <diagonal/>
    </border>
    <border>
      <left style="thin">
        <color theme="7" tint="0.39994506668294322"/>
      </left>
      <right style="thin">
        <color theme="4" tint="-0.24994659260841701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FFC000"/>
      </left>
      <right/>
      <top style="medium">
        <color indexed="64"/>
      </top>
      <bottom style="thin">
        <color rgb="FFFFC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/>
      <right style="medium">
        <color indexed="64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/>
      <bottom/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C000"/>
      </left>
      <right/>
      <top style="thin">
        <color rgb="FFFF0000"/>
      </top>
      <bottom style="medium">
        <color indexed="64"/>
      </bottom>
      <diagonal/>
    </border>
    <border>
      <left style="thin">
        <color theme="7" tint="0.39994506668294322"/>
      </left>
      <right style="thin">
        <color rgb="FF0070C0"/>
      </right>
      <top/>
      <bottom style="medium">
        <color indexed="64"/>
      </bottom>
      <diagonal/>
    </border>
    <border>
      <left style="thin">
        <color rgb="FF0070C0"/>
      </left>
      <right style="thin">
        <color theme="7" tint="0.59996337778862885"/>
      </right>
      <top/>
      <bottom style="medium">
        <color indexed="64"/>
      </bottom>
      <diagonal/>
    </border>
    <border>
      <left style="thin">
        <color theme="7" tint="0.59996337778862885"/>
      </left>
      <right style="thin">
        <color theme="4"/>
      </right>
      <top/>
      <bottom style="medium">
        <color indexed="64"/>
      </bottom>
      <diagonal/>
    </border>
    <border>
      <left style="thin">
        <color theme="4"/>
      </left>
      <right style="thin">
        <color theme="7" tint="0.39994506668294322"/>
      </right>
      <top/>
      <bottom style="medium">
        <color indexed="64"/>
      </bottom>
      <diagonal/>
    </border>
    <border>
      <left style="thin">
        <color theme="7" tint="0.39994506668294322"/>
      </left>
      <right style="thin">
        <color theme="4" tint="-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theme="7" tint="0.3999450666829432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8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2" fontId="1" fillId="0" borderId="0" xfId="0" applyNumberFormat="1" applyFont="1" applyAlignment="1">
      <alignment horizontal="center"/>
    </xf>
    <xf numFmtId="0" fontId="1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0" fontId="1" fillId="2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1" fontId="2" fillId="0" borderId="0" xfId="0" applyNumberFormat="1" applyFont="1"/>
    <xf numFmtId="0" fontId="8" fillId="2" borderId="0" xfId="0" applyFont="1" applyFill="1" applyAlignment="1">
      <alignment vertical="center"/>
    </xf>
    <xf numFmtId="0" fontId="1" fillId="0" borderId="26" xfId="0" applyFont="1" applyBorder="1"/>
    <xf numFmtId="0" fontId="1" fillId="0" borderId="27" xfId="0" applyFont="1" applyBorder="1"/>
    <xf numFmtId="0" fontId="1" fillId="2" borderId="28" xfId="0" applyFont="1" applyFill="1" applyBorder="1" applyAlignment="1">
      <alignment vertical="center"/>
    </xf>
    <xf numFmtId="0" fontId="1" fillId="0" borderId="29" xfId="0" applyFont="1" applyBorder="1"/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1" fillId="0" borderId="43" xfId="0" applyFont="1" applyBorder="1"/>
    <xf numFmtId="0" fontId="1" fillId="2" borderId="44" xfId="0" applyFont="1" applyFill="1" applyBorder="1" applyAlignment="1">
      <alignment vertical="center"/>
    </xf>
    <xf numFmtId="0" fontId="8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8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10" fillId="0" borderId="0" xfId="0" applyFont="1"/>
    <xf numFmtId="0" fontId="3" fillId="0" borderId="0" xfId="0" applyFont="1"/>
    <xf numFmtId="164" fontId="2" fillId="4" borderId="0" xfId="0" applyNumberFormat="1" applyFont="1" applyFill="1"/>
    <xf numFmtId="0" fontId="0" fillId="6" borderId="0" xfId="0" applyFill="1"/>
    <xf numFmtId="0" fontId="1" fillId="0" borderId="0" xfId="0" applyFont="1" applyFill="1"/>
    <xf numFmtId="2" fontId="2" fillId="4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396240</xdr:colOff>
      <xdr:row>3</xdr:row>
      <xdr:rowOff>7620</xdr:rowOff>
    </xdr:from>
    <xdr:to>
      <xdr:col>8</xdr:col>
      <xdr:colOff>91814</xdr:colOff>
      <xdr:row>4</xdr:row>
      <xdr:rowOff>95261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76D7BC-DFE7-8DDA-973B-8DB7EB0E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" y="403860"/>
          <a:ext cx="115834" cy="121931"/>
        </a:xfrm>
        <a:prstGeom prst="rect">
          <a:avLst/>
        </a:prstGeom>
      </xdr:spPr>
    </xdr:pic>
    <xdr:clientData/>
  </xdr:twoCellAnchor>
  <xdr:twoCellAnchor editAs="oneCell">
    <xdr:from>
      <xdr:col>25</xdr:col>
      <xdr:colOff>418272</xdr:colOff>
      <xdr:row>7</xdr:row>
      <xdr:rowOff>0</xdr:rowOff>
    </xdr:from>
    <xdr:to>
      <xdr:col>26</xdr:col>
      <xdr:colOff>36774</xdr:colOff>
      <xdr:row>8</xdr:row>
      <xdr:rowOff>79304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836B5A-645E-4052-BC90-83E89408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1446" y="2074794"/>
          <a:ext cx="132024" cy="12138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7</xdr:row>
      <xdr:rowOff>0</xdr:rowOff>
    </xdr:from>
    <xdr:to>
      <xdr:col>9</xdr:col>
      <xdr:colOff>57161</xdr:colOff>
      <xdr:row>8</xdr:row>
      <xdr:rowOff>92329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D8766D-D683-B6D4-AB2F-2DC50858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3340" y="20726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10</xdr:col>
      <xdr:colOff>480060</xdr:colOff>
      <xdr:row>3</xdr:row>
      <xdr:rowOff>15240</xdr:rowOff>
    </xdr:from>
    <xdr:to>
      <xdr:col>11</xdr:col>
      <xdr:colOff>91451</xdr:colOff>
      <xdr:row>4</xdr:row>
      <xdr:rowOff>97547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964D8A9-D072-86C6-225E-C7C9F3EA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966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25</xdr:col>
      <xdr:colOff>434340</xdr:colOff>
      <xdr:row>2</xdr:row>
      <xdr:rowOff>129540</xdr:rowOff>
    </xdr:from>
    <xdr:to>
      <xdr:col>26</xdr:col>
      <xdr:colOff>41423</xdr:colOff>
      <xdr:row>4</xdr:row>
      <xdr:rowOff>95642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2DB1EC-3A6C-C114-4B97-A5D7044C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0020" y="3886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24</xdr:col>
      <xdr:colOff>495300</xdr:colOff>
      <xdr:row>2</xdr:row>
      <xdr:rowOff>129540</xdr:rowOff>
    </xdr:from>
    <xdr:to>
      <xdr:col>25</xdr:col>
      <xdr:colOff>95262</xdr:colOff>
      <xdr:row>4</xdr:row>
      <xdr:rowOff>95642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930E9-6EC4-AB27-CC7A-1864F08E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92340" y="3886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7</xdr:row>
      <xdr:rowOff>0</xdr:rowOff>
    </xdr:from>
    <xdr:to>
      <xdr:col>10</xdr:col>
      <xdr:colOff>91451</xdr:colOff>
      <xdr:row>8</xdr:row>
      <xdr:rowOff>96139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D89A1F-A238-B48E-E437-5BC357F3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0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8</xdr:col>
      <xdr:colOff>472440</xdr:colOff>
      <xdr:row>3</xdr:row>
      <xdr:rowOff>0</xdr:rowOff>
    </xdr:from>
    <xdr:to>
      <xdr:col>9</xdr:col>
      <xdr:colOff>76211</xdr:colOff>
      <xdr:row>4</xdr:row>
      <xdr:rowOff>93737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4AEC64E-55A8-F497-1297-392D67EF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8580" y="3962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3</xdr:row>
      <xdr:rowOff>7620</xdr:rowOff>
    </xdr:from>
    <xdr:to>
      <xdr:col>10</xdr:col>
      <xdr:colOff>93356</xdr:colOff>
      <xdr:row>4</xdr:row>
      <xdr:rowOff>93737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722887-63FF-AE13-782B-BF16F6F5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982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17</xdr:col>
      <xdr:colOff>447675</xdr:colOff>
      <xdr:row>7</xdr:row>
      <xdr:rowOff>0</xdr:rowOff>
    </xdr:from>
    <xdr:to>
      <xdr:col>18</xdr:col>
      <xdr:colOff>53351</xdr:colOff>
      <xdr:row>8</xdr:row>
      <xdr:rowOff>55533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6F99D94-1389-57B8-47CA-5EE4E699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47372" y="2092492"/>
          <a:ext cx="122032" cy="110782"/>
        </a:xfrm>
        <a:prstGeom prst="rect">
          <a:avLst/>
        </a:prstGeom>
      </xdr:spPr>
    </xdr:pic>
    <xdr:clientData/>
  </xdr:twoCellAnchor>
  <xdr:twoCellAnchor editAs="oneCell">
    <xdr:from>
      <xdr:col>25</xdr:col>
      <xdr:colOff>438812</xdr:colOff>
      <xdr:row>4</xdr:row>
      <xdr:rowOff>299003</xdr:rowOff>
    </xdr:from>
    <xdr:to>
      <xdr:col>26</xdr:col>
      <xdr:colOff>21627</xdr:colOff>
      <xdr:row>5</xdr:row>
      <xdr:rowOff>74605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D745489-433B-A461-D631-F3C1FF2E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61986" y="737981"/>
          <a:ext cx="103957" cy="115189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7</xdr:row>
      <xdr:rowOff>0</xdr:rowOff>
    </xdr:from>
    <xdr:to>
      <xdr:col>11</xdr:col>
      <xdr:colOff>57161</xdr:colOff>
      <xdr:row>8</xdr:row>
      <xdr:rowOff>92329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68C575-E709-F3A7-C6EA-C303250F2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966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24</xdr:col>
      <xdr:colOff>480060</xdr:colOff>
      <xdr:row>7</xdr:row>
      <xdr:rowOff>0</xdr:rowOff>
    </xdr:from>
    <xdr:to>
      <xdr:col>25</xdr:col>
      <xdr:colOff>91452</xdr:colOff>
      <xdr:row>8</xdr:row>
      <xdr:rowOff>92329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74275E2-028E-B00C-BCD0-CEA06389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7710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7</xdr:row>
      <xdr:rowOff>0</xdr:rowOff>
    </xdr:from>
    <xdr:to>
      <xdr:col>8</xdr:col>
      <xdr:colOff>97911</xdr:colOff>
      <xdr:row>8</xdr:row>
      <xdr:rowOff>96139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D7D5CFB-AEF0-491B-5565-CD544AB2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566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403860</xdr:colOff>
      <xdr:row>4</xdr:row>
      <xdr:rowOff>312420</xdr:rowOff>
    </xdr:from>
    <xdr:to>
      <xdr:col>8</xdr:col>
      <xdr:colOff>97529</xdr:colOff>
      <xdr:row>5</xdr:row>
      <xdr:rowOff>95261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7143FE-27BD-4C3F-A00A-6C5D4238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8520" y="746760"/>
          <a:ext cx="115834" cy="121931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15240</xdr:rowOff>
    </xdr:from>
    <xdr:to>
      <xdr:col>17</xdr:col>
      <xdr:colOff>57160</xdr:colOff>
      <xdr:row>4</xdr:row>
      <xdr:rowOff>97547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62F3F1-7230-F473-37D0-CEB4449A8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9496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17</xdr:col>
      <xdr:colOff>487680</xdr:colOff>
      <xdr:row>3</xdr:row>
      <xdr:rowOff>7620</xdr:rowOff>
    </xdr:from>
    <xdr:to>
      <xdr:col>18</xdr:col>
      <xdr:colOff>95261</xdr:colOff>
      <xdr:row>4</xdr:row>
      <xdr:rowOff>93737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B0F71C-A24E-E968-7E60-CFDC4E25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3</xdr:row>
      <xdr:rowOff>15240</xdr:rowOff>
    </xdr:from>
    <xdr:to>
      <xdr:col>19</xdr:col>
      <xdr:colOff>57161</xdr:colOff>
      <xdr:row>4</xdr:row>
      <xdr:rowOff>97547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4DC6B47-2900-A6A1-DFA5-6B9D10AC6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128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21</xdr:col>
      <xdr:colOff>441960</xdr:colOff>
      <xdr:row>3</xdr:row>
      <xdr:rowOff>7620</xdr:rowOff>
    </xdr:from>
    <xdr:to>
      <xdr:col>22</xdr:col>
      <xdr:colOff>53350</xdr:colOff>
      <xdr:row>4</xdr:row>
      <xdr:rowOff>93737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ADA8867-0152-7C4D-1B4C-23A52BBE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420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21</xdr:col>
      <xdr:colOff>472440</xdr:colOff>
      <xdr:row>7</xdr:row>
      <xdr:rowOff>0</xdr:rowOff>
    </xdr:from>
    <xdr:to>
      <xdr:col>22</xdr:col>
      <xdr:colOff>76210</xdr:colOff>
      <xdr:row>8</xdr:row>
      <xdr:rowOff>92329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363C6AC-A091-3EFC-FFE1-19EA24C7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6468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20</xdr:col>
      <xdr:colOff>445770</xdr:colOff>
      <xdr:row>3</xdr:row>
      <xdr:rowOff>10026</xdr:rowOff>
    </xdr:from>
    <xdr:to>
      <xdr:col>21</xdr:col>
      <xdr:colOff>57161</xdr:colOff>
      <xdr:row>4</xdr:row>
      <xdr:rowOff>96043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5CEBF-24E1-4E9C-A3F0-D7694C17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94533" y="416092"/>
          <a:ext cx="123936" cy="112787"/>
        </a:xfrm>
        <a:prstGeom prst="rect">
          <a:avLst/>
        </a:prstGeom>
      </xdr:spPr>
    </xdr:pic>
    <xdr:clientData/>
  </xdr:twoCellAnchor>
  <xdr:twoCellAnchor editAs="oneCell">
    <xdr:from>
      <xdr:col>16</xdr:col>
      <xdr:colOff>452387</xdr:colOff>
      <xdr:row>7</xdr:row>
      <xdr:rowOff>0</xdr:rowOff>
    </xdr:from>
    <xdr:to>
      <xdr:col>17</xdr:col>
      <xdr:colOff>59968</xdr:colOff>
      <xdr:row>8</xdr:row>
      <xdr:rowOff>55533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68CC0A-C7C8-45A0-95DC-6D48758D5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35729" y="2090487"/>
          <a:ext cx="123937" cy="110782"/>
        </a:xfrm>
        <a:prstGeom prst="rect">
          <a:avLst/>
        </a:prstGeom>
      </xdr:spPr>
    </xdr:pic>
    <xdr:clientData/>
  </xdr:twoCellAnchor>
  <xdr:twoCellAnchor editAs="oneCell">
    <xdr:from>
      <xdr:col>20</xdr:col>
      <xdr:colOff>451184</xdr:colOff>
      <xdr:row>7</xdr:row>
      <xdr:rowOff>0</xdr:rowOff>
    </xdr:from>
    <xdr:to>
      <xdr:col>21</xdr:col>
      <xdr:colOff>60671</xdr:colOff>
      <xdr:row>8</xdr:row>
      <xdr:rowOff>53628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9886E4-8410-4082-B254-39C2601F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3592" y="2105526"/>
          <a:ext cx="131557" cy="105067"/>
        </a:xfrm>
        <a:prstGeom prst="rect">
          <a:avLst/>
        </a:prstGeom>
      </xdr:spPr>
    </xdr:pic>
    <xdr:clientData/>
  </xdr:twoCellAnchor>
  <xdr:twoCellAnchor editAs="oneCell">
    <xdr:from>
      <xdr:col>19</xdr:col>
      <xdr:colOff>451184</xdr:colOff>
      <xdr:row>7</xdr:row>
      <xdr:rowOff>0</xdr:rowOff>
    </xdr:from>
    <xdr:to>
      <xdr:col>20</xdr:col>
      <xdr:colOff>56861</xdr:colOff>
      <xdr:row>8</xdr:row>
      <xdr:rowOff>55968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71152E-634F-43B7-A47E-852DC101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3592" y="2090487"/>
          <a:ext cx="131557" cy="108877"/>
        </a:xfrm>
        <a:prstGeom prst="rect">
          <a:avLst/>
        </a:prstGeom>
      </xdr:spPr>
    </xdr:pic>
    <xdr:clientData/>
  </xdr:twoCellAnchor>
  <xdr:twoCellAnchor editAs="oneCell">
    <xdr:from>
      <xdr:col>18</xdr:col>
      <xdr:colOff>441158</xdr:colOff>
      <xdr:row>7</xdr:row>
      <xdr:rowOff>0</xdr:rowOff>
    </xdr:from>
    <xdr:to>
      <xdr:col>19</xdr:col>
      <xdr:colOff>60170</xdr:colOff>
      <xdr:row>8</xdr:row>
      <xdr:rowOff>57438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DCB13D3-B033-4178-88D9-826DC61C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57211" y="2090487"/>
          <a:ext cx="131557" cy="112687"/>
        </a:xfrm>
        <a:prstGeom prst="rect">
          <a:avLst/>
        </a:prstGeom>
      </xdr:spPr>
    </xdr:pic>
    <xdr:clientData/>
  </xdr:twoCellAnchor>
  <xdr:twoCellAnchor editAs="oneCell">
    <xdr:from>
      <xdr:col>19</xdr:col>
      <xdr:colOff>451184</xdr:colOff>
      <xdr:row>3</xdr:row>
      <xdr:rowOff>5013</xdr:rowOff>
    </xdr:from>
    <xdr:to>
      <xdr:col>20</xdr:col>
      <xdr:colOff>54955</xdr:colOff>
      <xdr:row>4</xdr:row>
      <xdr:rowOff>93035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BDF5F7-7966-4BE4-BC45-4A798371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3592" y="411079"/>
          <a:ext cx="116316" cy="120507"/>
        </a:xfrm>
        <a:prstGeom prst="rect">
          <a:avLst/>
        </a:prstGeom>
      </xdr:spPr>
    </xdr:pic>
    <xdr:clientData/>
  </xdr:twoCellAnchor>
  <xdr:twoCellAnchor editAs="oneCell">
    <xdr:from>
      <xdr:col>22</xdr:col>
      <xdr:colOff>455543</xdr:colOff>
      <xdr:row>7</xdr:row>
      <xdr:rowOff>0</xdr:rowOff>
    </xdr:from>
    <xdr:to>
      <xdr:col>23</xdr:col>
      <xdr:colOff>55503</xdr:colOff>
      <xdr:row>8</xdr:row>
      <xdr:rowOff>94234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C782247-50CE-4507-B196-861958D3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05630" y="2062369"/>
          <a:ext cx="113482" cy="136310"/>
        </a:xfrm>
        <a:prstGeom prst="rect">
          <a:avLst/>
        </a:prstGeom>
      </xdr:spPr>
    </xdr:pic>
    <xdr:clientData/>
  </xdr:twoCellAnchor>
  <xdr:twoCellAnchor editAs="oneCell">
    <xdr:from>
      <xdr:col>23</xdr:col>
      <xdr:colOff>463825</xdr:colOff>
      <xdr:row>7</xdr:row>
      <xdr:rowOff>0</xdr:rowOff>
    </xdr:from>
    <xdr:to>
      <xdr:col>24</xdr:col>
      <xdr:colOff>56166</xdr:colOff>
      <xdr:row>8</xdr:row>
      <xdr:rowOff>96139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9C7E1EC-CBE8-422D-A23E-438DE46F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27434" y="2045804"/>
          <a:ext cx="113482" cy="136310"/>
        </a:xfrm>
        <a:prstGeom prst="rect">
          <a:avLst/>
        </a:prstGeom>
      </xdr:spPr>
    </xdr:pic>
    <xdr:clientData/>
  </xdr:twoCellAnchor>
  <xdr:twoCellAnchor editAs="oneCell">
    <xdr:from>
      <xdr:col>22</xdr:col>
      <xdr:colOff>447261</xdr:colOff>
      <xdr:row>2</xdr:row>
      <xdr:rowOff>124239</xdr:rowOff>
    </xdr:from>
    <xdr:to>
      <xdr:col>23</xdr:col>
      <xdr:colOff>58651</xdr:colOff>
      <xdr:row>4</xdr:row>
      <xdr:rowOff>92329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81A5B3F-9A0A-4317-955B-1299101D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7348" y="389282"/>
          <a:ext cx="113482" cy="136310"/>
        </a:xfrm>
        <a:prstGeom prst="rect">
          <a:avLst/>
        </a:prstGeom>
      </xdr:spPr>
    </xdr:pic>
    <xdr:clientData/>
  </xdr:twoCellAnchor>
  <xdr:twoCellAnchor editAs="oneCell">
    <xdr:from>
      <xdr:col>23</xdr:col>
      <xdr:colOff>463825</xdr:colOff>
      <xdr:row>3</xdr:row>
      <xdr:rowOff>8282</xdr:rowOff>
    </xdr:from>
    <xdr:to>
      <xdr:col>24</xdr:col>
      <xdr:colOff>56166</xdr:colOff>
      <xdr:row>4</xdr:row>
      <xdr:rowOff>97464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44B0319-A524-455C-B1F5-DCCBBA4C7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27434" y="405847"/>
          <a:ext cx="113482" cy="136310"/>
        </a:xfrm>
        <a:prstGeom prst="rect">
          <a:avLst/>
        </a:prstGeom>
      </xdr:spPr>
    </xdr:pic>
    <xdr:clientData/>
  </xdr:twoCellAnchor>
  <xdr:twoCellAnchor editAs="oneCell">
    <xdr:from>
      <xdr:col>25</xdr:col>
      <xdr:colOff>447261</xdr:colOff>
      <xdr:row>5</xdr:row>
      <xdr:rowOff>289892</xdr:rowOff>
    </xdr:from>
    <xdr:to>
      <xdr:col>26</xdr:col>
      <xdr:colOff>35791</xdr:colOff>
      <xdr:row>6</xdr:row>
      <xdr:rowOff>55969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AF59FA0-3798-4F3C-8AF6-CE9CC659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70435" y="1068457"/>
          <a:ext cx="102052" cy="115189"/>
        </a:xfrm>
        <a:prstGeom prst="rect">
          <a:avLst/>
        </a:prstGeom>
      </xdr:spPr>
    </xdr:pic>
    <xdr:clientData/>
  </xdr:twoCellAnchor>
  <xdr:twoCellAnchor editAs="oneCell">
    <xdr:from>
      <xdr:col>15</xdr:col>
      <xdr:colOff>451070</xdr:colOff>
      <xdr:row>6</xdr:row>
      <xdr:rowOff>309898</xdr:rowOff>
    </xdr:from>
    <xdr:to>
      <xdr:col>16</xdr:col>
      <xdr:colOff>54913</xdr:colOff>
      <xdr:row>8</xdr:row>
      <xdr:rowOff>18179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E58F2C0-2514-4B8E-B86C-094F80E7F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0983" y="1428050"/>
          <a:ext cx="111649" cy="112804"/>
        </a:xfrm>
        <a:prstGeom prst="rect">
          <a:avLst/>
        </a:prstGeom>
      </xdr:spPr>
    </xdr:pic>
    <xdr:clientData/>
  </xdr:twoCellAnchor>
  <xdr:twoCellAnchor editAs="oneCell">
    <xdr:from>
      <xdr:col>14</xdr:col>
      <xdr:colOff>447261</xdr:colOff>
      <xdr:row>6</xdr:row>
      <xdr:rowOff>314739</xdr:rowOff>
    </xdr:from>
    <xdr:to>
      <xdr:col>15</xdr:col>
      <xdr:colOff>60048</xdr:colOff>
      <xdr:row>8</xdr:row>
      <xdr:rowOff>58266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1677F4E-982D-4741-902F-F44F833F0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652" y="1432891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13</xdr:col>
      <xdr:colOff>438978</xdr:colOff>
      <xdr:row>6</xdr:row>
      <xdr:rowOff>323022</xdr:rowOff>
    </xdr:from>
    <xdr:to>
      <xdr:col>14</xdr:col>
      <xdr:colOff>53670</xdr:colOff>
      <xdr:row>8</xdr:row>
      <xdr:rowOff>60834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F7ECEB4-C898-4803-B22C-BD44174D4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1848" y="1441174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12</xdr:col>
      <xdr:colOff>430695</xdr:colOff>
      <xdr:row>6</xdr:row>
      <xdr:rowOff>306456</xdr:rowOff>
    </xdr:from>
    <xdr:to>
      <xdr:col>13</xdr:col>
      <xdr:colOff>60627</xdr:colOff>
      <xdr:row>8</xdr:row>
      <xdr:rowOff>57603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F755F02-385F-409C-AD48-5E63B7E4A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0043" y="1424608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11</xdr:col>
      <xdr:colOff>438978</xdr:colOff>
      <xdr:row>7</xdr:row>
      <xdr:rowOff>0</xdr:rowOff>
    </xdr:from>
    <xdr:to>
      <xdr:col>12</xdr:col>
      <xdr:colOff>53671</xdr:colOff>
      <xdr:row>8</xdr:row>
      <xdr:rowOff>92639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9BFF480-3C6B-4570-A79A-8D2533A09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4804" y="1457739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11</xdr:col>
      <xdr:colOff>447261</xdr:colOff>
      <xdr:row>2</xdr:row>
      <xdr:rowOff>124239</xdr:rowOff>
    </xdr:from>
    <xdr:to>
      <xdr:col>12</xdr:col>
      <xdr:colOff>60049</xdr:colOff>
      <xdr:row>4</xdr:row>
      <xdr:rowOff>92639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BF92635-9A59-4762-BD7A-71151040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3087" y="389282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12</xdr:col>
      <xdr:colOff>463826</xdr:colOff>
      <xdr:row>3</xdr:row>
      <xdr:rowOff>8283</xdr:rowOff>
    </xdr:from>
    <xdr:to>
      <xdr:col>13</xdr:col>
      <xdr:colOff>91853</xdr:colOff>
      <xdr:row>4</xdr:row>
      <xdr:rowOff>92060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F71C26F-1EBD-4797-840F-72A092D3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3174" y="405848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13</xdr:col>
      <xdr:colOff>447260</xdr:colOff>
      <xdr:row>3</xdr:row>
      <xdr:rowOff>0</xdr:rowOff>
    </xdr:from>
    <xdr:to>
      <xdr:col>14</xdr:col>
      <xdr:colOff>60047</xdr:colOff>
      <xdr:row>4</xdr:row>
      <xdr:rowOff>99017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36BB0C8-F7C6-43F7-A541-FB9731A7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0130" y="397565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14</xdr:col>
      <xdr:colOff>455544</xdr:colOff>
      <xdr:row>3</xdr:row>
      <xdr:rowOff>8282</xdr:rowOff>
    </xdr:from>
    <xdr:to>
      <xdr:col>15</xdr:col>
      <xdr:colOff>77856</xdr:colOff>
      <xdr:row>4</xdr:row>
      <xdr:rowOff>92059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8BAD5B1-0543-48BE-9E37-B7EC7EB1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1935" y="405847"/>
          <a:ext cx="135834" cy="132810"/>
        </a:xfrm>
        <a:prstGeom prst="rect">
          <a:avLst/>
        </a:prstGeom>
      </xdr:spPr>
    </xdr:pic>
    <xdr:clientData/>
  </xdr:twoCellAnchor>
  <xdr:twoCellAnchor editAs="oneCell">
    <xdr:from>
      <xdr:col>15</xdr:col>
      <xdr:colOff>447261</xdr:colOff>
      <xdr:row>3</xdr:row>
      <xdr:rowOff>8282</xdr:rowOff>
    </xdr:from>
    <xdr:to>
      <xdr:col>16</xdr:col>
      <xdr:colOff>60049</xdr:colOff>
      <xdr:row>4</xdr:row>
      <xdr:rowOff>92059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6A3AA45-09B7-4131-9189-8AE462D80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7174" y="405847"/>
          <a:ext cx="135834" cy="132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AP44"/>
  <sheetViews>
    <sheetView topLeftCell="Q1" workbookViewId="0">
      <selection activeCell="AN45" sqref="AN45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3.42578125" style="1" customWidth="1"/>
    <col min="18" max="18" width="26.42578125" style="1" customWidth="1"/>
    <col min="19" max="22" width="9.140625" style="1"/>
    <col min="23" max="23" width="3.7109375" style="1" customWidth="1"/>
    <col min="24" max="25" width="3.28515625" style="1" customWidth="1"/>
    <col min="26" max="26" width="26.28515625" style="1" customWidth="1"/>
    <col min="27" max="31" width="9.28515625" style="1" customWidth="1"/>
    <col min="32" max="32" width="2.7109375" style="1" bestFit="1" customWidth="1"/>
    <col min="33" max="33" width="3.42578125" style="1" customWidth="1"/>
    <col min="34" max="34" width="26.28515625" style="1" customWidth="1"/>
    <col min="35" max="40" width="9.28515625" style="1" customWidth="1"/>
    <col min="41" max="16384" width="9.140625" style="1"/>
  </cols>
  <sheetData>
    <row r="2" spans="2:40" x14ac:dyDescent="0.2">
      <c r="B2" s="2" t="s">
        <v>64</v>
      </c>
      <c r="J2" s="2" t="s">
        <v>65</v>
      </c>
      <c r="R2" s="2" t="s">
        <v>66</v>
      </c>
      <c r="Z2" s="2" t="s">
        <v>67</v>
      </c>
      <c r="AH2" s="2" t="s">
        <v>68</v>
      </c>
    </row>
    <row r="4" spans="2:40" x14ac:dyDescent="0.2">
      <c r="B4" s="13" t="s">
        <v>21</v>
      </c>
      <c r="C4" s="14">
        <v>1.8</v>
      </c>
      <c r="D4" s="13" t="s">
        <v>11</v>
      </c>
      <c r="J4" s="13" t="s">
        <v>21</v>
      </c>
      <c r="K4" s="14">
        <v>1.5</v>
      </c>
      <c r="L4" s="13" t="s">
        <v>11</v>
      </c>
      <c r="R4" s="13" t="s">
        <v>21</v>
      </c>
      <c r="S4" s="14">
        <v>0.75</v>
      </c>
      <c r="T4" s="13" t="s">
        <v>11</v>
      </c>
      <c r="Z4" s="13" t="s">
        <v>21</v>
      </c>
      <c r="AA4" s="14">
        <v>1.5</v>
      </c>
      <c r="AB4" s="13" t="s">
        <v>11</v>
      </c>
      <c r="AH4" s="13" t="s">
        <v>21</v>
      </c>
      <c r="AI4" s="14">
        <v>1.5</v>
      </c>
      <c r="AJ4" s="13" t="s">
        <v>11</v>
      </c>
    </row>
    <row r="5" spans="2:40" x14ac:dyDescent="0.2">
      <c r="B5" s="13" t="s">
        <v>22</v>
      </c>
      <c r="C5" s="15">
        <v>1.8</v>
      </c>
      <c r="D5" s="13" t="s">
        <v>11</v>
      </c>
      <c r="J5" s="13" t="s">
        <v>22</v>
      </c>
      <c r="K5" s="15">
        <v>1.5</v>
      </c>
      <c r="L5" s="13" t="s">
        <v>11</v>
      </c>
      <c r="R5" s="13" t="s">
        <v>22</v>
      </c>
      <c r="S5" s="15">
        <v>210</v>
      </c>
      <c r="T5" s="13" t="s">
        <v>11</v>
      </c>
      <c r="Z5" s="13" t="s">
        <v>22</v>
      </c>
      <c r="AA5" s="15">
        <v>3</v>
      </c>
      <c r="AB5" s="13" t="s">
        <v>11</v>
      </c>
      <c r="AH5" s="13" t="s">
        <v>22</v>
      </c>
      <c r="AI5" s="15">
        <v>3</v>
      </c>
      <c r="AJ5" s="13" t="s">
        <v>11</v>
      </c>
    </row>
    <row r="6" spans="2:40" x14ac:dyDescent="0.2">
      <c r="B6" s="13" t="s">
        <v>23</v>
      </c>
      <c r="C6" s="14">
        <v>0.5</v>
      </c>
      <c r="D6" s="13" t="s">
        <v>11</v>
      </c>
      <c r="J6" s="13" t="s">
        <v>23</v>
      </c>
      <c r="K6" s="14">
        <v>0.45</v>
      </c>
      <c r="L6" s="13" t="s">
        <v>11</v>
      </c>
      <c r="R6" s="13" t="s">
        <v>23</v>
      </c>
      <c r="S6" s="14">
        <v>0.25</v>
      </c>
      <c r="T6" s="13" t="s">
        <v>11</v>
      </c>
      <c r="Z6" s="13" t="s">
        <v>23</v>
      </c>
      <c r="AA6" s="14">
        <v>0.5</v>
      </c>
      <c r="AB6" s="13" t="s">
        <v>11</v>
      </c>
      <c r="AH6" s="13" t="s">
        <v>23</v>
      </c>
      <c r="AI6" s="14">
        <v>0.5</v>
      </c>
      <c r="AJ6" s="13" t="s">
        <v>11</v>
      </c>
    </row>
    <row r="7" spans="2:40" x14ac:dyDescent="0.2">
      <c r="B7" s="13" t="s">
        <v>24</v>
      </c>
      <c r="C7" s="14">
        <v>0.6</v>
      </c>
      <c r="D7" s="13" t="s">
        <v>11</v>
      </c>
      <c r="J7" s="13" t="s">
        <v>24</v>
      </c>
      <c r="K7" s="14">
        <v>0.6</v>
      </c>
      <c r="L7" s="13" t="s">
        <v>11</v>
      </c>
      <c r="R7" s="13" t="s">
        <v>24</v>
      </c>
      <c r="S7" s="14">
        <v>0.6</v>
      </c>
      <c r="T7" s="13" t="s">
        <v>11</v>
      </c>
      <c r="Z7" s="13" t="s">
        <v>24</v>
      </c>
      <c r="AA7" s="14">
        <v>0.6</v>
      </c>
      <c r="AB7" s="13" t="s">
        <v>11</v>
      </c>
      <c r="AH7" s="13" t="s">
        <v>24</v>
      </c>
      <c r="AI7" s="14">
        <v>0.6</v>
      </c>
      <c r="AJ7" s="13" t="s">
        <v>11</v>
      </c>
    </row>
    <row r="8" spans="2:40" x14ac:dyDescent="0.2">
      <c r="B8" s="13" t="s">
        <v>25</v>
      </c>
      <c r="C8" s="14">
        <v>0.05</v>
      </c>
      <c r="D8" s="13" t="s">
        <v>11</v>
      </c>
      <c r="J8" s="13" t="s">
        <v>25</v>
      </c>
      <c r="K8" s="14">
        <v>0.05</v>
      </c>
      <c r="L8" s="13" t="s">
        <v>11</v>
      </c>
      <c r="R8" s="13" t="s">
        <v>25</v>
      </c>
      <c r="S8" s="14">
        <v>0.05</v>
      </c>
      <c r="T8" s="13" t="s">
        <v>11</v>
      </c>
      <c r="Z8" s="13" t="s">
        <v>25</v>
      </c>
      <c r="AA8" s="14">
        <v>0.05</v>
      </c>
      <c r="AB8" s="13" t="s">
        <v>11</v>
      </c>
      <c r="AH8" s="13" t="s">
        <v>25</v>
      </c>
      <c r="AI8" s="14">
        <v>0.05</v>
      </c>
      <c r="AJ8" s="13" t="s">
        <v>11</v>
      </c>
    </row>
    <row r="9" spans="2:40" x14ac:dyDescent="0.2">
      <c r="B9" s="13"/>
      <c r="C9" s="14"/>
      <c r="D9" s="13"/>
      <c r="J9" s="13"/>
      <c r="K9" s="14"/>
      <c r="L9" s="13"/>
      <c r="R9" s="13"/>
      <c r="S9" s="14"/>
      <c r="T9" s="13"/>
      <c r="Z9" s="13"/>
      <c r="AA9" s="14"/>
      <c r="AB9" s="13"/>
      <c r="AH9" s="13"/>
      <c r="AI9" s="14"/>
      <c r="AJ9" s="13"/>
    </row>
    <row r="10" spans="2:40" x14ac:dyDescent="0.2">
      <c r="B10" s="13" t="s">
        <v>26</v>
      </c>
      <c r="C10" s="14">
        <v>1</v>
      </c>
      <c r="D10" s="13" t="s">
        <v>9</v>
      </c>
      <c r="J10" s="13" t="s">
        <v>26</v>
      </c>
      <c r="K10" s="14">
        <v>1</v>
      </c>
      <c r="L10" s="13" t="s">
        <v>9</v>
      </c>
      <c r="R10" s="13" t="s">
        <v>26</v>
      </c>
      <c r="S10" s="14">
        <v>0</v>
      </c>
      <c r="T10" s="13" t="s">
        <v>9</v>
      </c>
      <c r="Z10" s="13" t="s">
        <v>26</v>
      </c>
      <c r="AA10" s="14">
        <v>1</v>
      </c>
      <c r="AB10" s="13" t="s">
        <v>9</v>
      </c>
      <c r="AH10" s="13" t="s">
        <v>26</v>
      </c>
      <c r="AI10" s="14">
        <v>1</v>
      </c>
      <c r="AJ10" s="13" t="s">
        <v>9</v>
      </c>
    </row>
    <row r="11" spans="2:40" x14ac:dyDescent="0.2">
      <c r="B11" s="13" t="s">
        <v>27</v>
      </c>
      <c r="C11" s="14">
        <v>0.6</v>
      </c>
      <c r="D11" s="13" t="s">
        <v>11</v>
      </c>
      <c r="J11" s="13" t="s">
        <v>27</v>
      </c>
      <c r="K11" s="14">
        <v>0.6</v>
      </c>
      <c r="L11" s="13" t="s">
        <v>11</v>
      </c>
      <c r="R11" s="13" t="s">
        <v>27</v>
      </c>
      <c r="S11" s="14">
        <v>0</v>
      </c>
      <c r="T11" s="13" t="s">
        <v>11</v>
      </c>
      <c r="Z11" s="13" t="s">
        <v>27</v>
      </c>
      <c r="AA11" s="14">
        <v>0.5</v>
      </c>
      <c r="AB11" s="13" t="s">
        <v>11</v>
      </c>
      <c r="AH11" s="13" t="s">
        <v>27</v>
      </c>
      <c r="AI11" s="14">
        <v>0.5</v>
      </c>
      <c r="AJ11" s="13" t="s">
        <v>11</v>
      </c>
    </row>
    <row r="12" spans="2:40" x14ac:dyDescent="0.2">
      <c r="B12" s="13" t="s">
        <v>28</v>
      </c>
      <c r="C12" s="14">
        <v>0.6</v>
      </c>
      <c r="D12" s="13" t="s">
        <v>11</v>
      </c>
      <c r="J12" s="13" t="s">
        <v>28</v>
      </c>
      <c r="K12" s="14">
        <v>0.6</v>
      </c>
      <c r="L12" s="13" t="s">
        <v>11</v>
      </c>
      <c r="R12" s="13" t="s">
        <v>28</v>
      </c>
      <c r="S12" s="14">
        <v>0</v>
      </c>
      <c r="T12" s="13" t="s">
        <v>11</v>
      </c>
      <c r="Z12" s="13" t="s">
        <v>28</v>
      </c>
      <c r="AA12" s="14">
        <v>2.5</v>
      </c>
      <c r="AB12" s="13" t="s">
        <v>11</v>
      </c>
      <c r="AH12" s="13" t="s">
        <v>28</v>
      </c>
      <c r="AI12" s="14">
        <v>2.5</v>
      </c>
      <c r="AJ12" s="13" t="s">
        <v>11</v>
      </c>
    </row>
    <row r="13" spans="2:40" x14ac:dyDescent="0.2">
      <c r="B13" s="13" t="s">
        <v>29</v>
      </c>
      <c r="C13" s="15">
        <v>0.6</v>
      </c>
      <c r="D13" s="13" t="s">
        <v>11</v>
      </c>
      <c r="J13" s="13" t="s">
        <v>29</v>
      </c>
      <c r="K13" s="15">
        <v>1.1000000000000001</v>
      </c>
      <c r="L13" s="13" t="s">
        <v>11</v>
      </c>
      <c r="R13" s="13" t="s">
        <v>29</v>
      </c>
      <c r="S13" s="15">
        <v>0</v>
      </c>
      <c r="T13" s="13" t="s">
        <v>11</v>
      </c>
      <c r="Z13" s="13" t="s">
        <v>29</v>
      </c>
      <c r="AA13" s="15">
        <v>1</v>
      </c>
      <c r="AB13" s="13" t="s">
        <v>11</v>
      </c>
      <c r="AH13" s="13" t="s">
        <v>29</v>
      </c>
      <c r="AI13" s="15">
        <v>1</v>
      </c>
      <c r="AJ13" s="13" t="s">
        <v>11</v>
      </c>
    </row>
    <row r="14" spans="2:40" x14ac:dyDescent="0.2">
      <c r="B14" s="13" t="s">
        <v>30</v>
      </c>
      <c r="C14" s="14">
        <v>4</v>
      </c>
      <c r="D14" s="13" t="s">
        <v>9</v>
      </c>
      <c r="J14" s="13" t="s">
        <v>30</v>
      </c>
      <c r="K14" s="14">
        <v>4</v>
      </c>
      <c r="L14" s="13" t="s">
        <v>9</v>
      </c>
      <c r="R14" s="13" t="s">
        <v>30</v>
      </c>
      <c r="S14" s="14">
        <v>0</v>
      </c>
      <c r="T14" s="13" t="s">
        <v>9</v>
      </c>
      <c r="Z14" s="13" t="s">
        <v>30</v>
      </c>
      <c r="AA14" s="14">
        <v>4</v>
      </c>
      <c r="AB14" s="13" t="s">
        <v>9</v>
      </c>
      <c r="AH14" s="13" t="s">
        <v>30</v>
      </c>
      <c r="AI14" s="14">
        <v>4</v>
      </c>
      <c r="AJ14" s="13" t="s">
        <v>9</v>
      </c>
    </row>
    <row r="15" spans="2:40" x14ac:dyDescent="0.2">
      <c r="B15" s="13" t="s">
        <v>31</v>
      </c>
      <c r="C15" s="14">
        <v>115</v>
      </c>
      <c r="D15" s="13"/>
      <c r="E15" s="16" t="s">
        <v>32</v>
      </c>
      <c r="F15" s="16"/>
      <c r="G15" s="17">
        <v>38</v>
      </c>
      <c r="H15" s="12" t="s">
        <v>9</v>
      </c>
      <c r="J15" s="13" t="s">
        <v>31</v>
      </c>
      <c r="K15" s="14">
        <v>115</v>
      </c>
      <c r="L15" s="13"/>
      <c r="M15" s="16" t="s">
        <v>32</v>
      </c>
      <c r="N15" s="16"/>
      <c r="O15" s="17">
        <v>12</v>
      </c>
      <c r="P15" s="12" t="s">
        <v>9</v>
      </c>
      <c r="Q15" s="12"/>
      <c r="R15" s="13" t="s">
        <v>31</v>
      </c>
      <c r="S15" s="14">
        <v>115</v>
      </c>
      <c r="T15" s="13"/>
      <c r="U15" s="16" t="s">
        <v>32</v>
      </c>
      <c r="V15" s="16"/>
      <c r="W15" s="17">
        <v>1</v>
      </c>
      <c r="X15" s="12" t="s">
        <v>9</v>
      </c>
      <c r="Y15" s="12"/>
      <c r="Z15" s="13" t="s">
        <v>31</v>
      </c>
      <c r="AA15" s="14">
        <v>115</v>
      </c>
      <c r="AB15" s="13"/>
      <c r="AC15" s="16" t="s">
        <v>32</v>
      </c>
      <c r="AD15" s="16"/>
      <c r="AE15" s="17">
        <v>4</v>
      </c>
      <c r="AF15" s="12" t="s">
        <v>9</v>
      </c>
      <c r="AG15" s="12"/>
      <c r="AH15" s="13" t="s">
        <v>31</v>
      </c>
      <c r="AI15" s="14">
        <v>115</v>
      </c>
      <c r="AJ15" s="13"/>
      <c r="AK15" s="16" t="s">
        <v>32</v>
      </c>
      <c r="AL15" s="16"/>
      <c r="AM15" s="17">
        <v>1</v>
      </c>
      <c r="AN15" s="12" t="s">
        <v>9</v>
      </c>
    </row>
    <row r="16" spans="2:40" x14ac:dyDescent="0.2">
      <c r="B16" s="13"/>
      <c r="C16" s="14"/>
      <c r="D16" s="13"/>
      <c r="E16" s="16"/>
      <c r="F16" s="16"/>
      <c r="G16" s="17"/>
      <c r="H16" s="12"/>
      <c r="J16" s="13"/>
      <c r="K16" s="14"/>
      <c r="L16" s="13"/>
      <c r="M16" s="16"/>
      <c r="N16" s="16"/>
      <c r="O16" s="17"/>
      <c r="P16" s="12"/>
      <c r="Q16" s="12"/>
      <c r="R16" s="13"/>
      <c r="S16" s="14"/>
      <c r="T16" s="13"/>
      <c r="U16" s="16"/>
      <c r="V16" s="16"/>
      <c r="W16" s="17"/>
      <c r="X16" s="12"/>
      <c r="Y16" s="12"/>
      <c r="Z16" s="13"/>
      <c r="AA16" s="14"/>
      <c r="AB16" s="13"/>
      <c r="AC16" s="16"/>
      <c r="AD16" s="16"/>
      <c r="AE16" s="17"/>
      <c r="AF16" s="12"/>
      <c r="AG16" s="12"/>
      <c r="AH16" s="13"/>
      <c r="AI16" s="14"/>
      <c r="AJ16" s="13"/>
      <c r="AK16" s="16"/>
      <c r="AL16" s="16"/>
      <c r="AM16" s="17"/>
      <c r="AN16" s="12"/>
    </row>
    <row r="17" spans="1:42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2"/>
      <c r="S17" s="12"/>
      <c r="T17" s="12"/>
      <c r="U17" s="2" t="s">
        <v>33</v>
      </c>
      <c r="Z17" s="12"/>
      <c r="AA17" s="12"/>
      <c r="AB17" s="12"/>
      <c r="AC17" s="2" t="s">
        <v>33</v>
      </c>
      <c r="AH17" s="12"/>
      <c r="AI17" s="12"/>
      <c r="AJ17" s="12"/>
      <c r="AK17" s="2" t="s">
        <v>33</v>
      </c>
      <c r="AO17" s="18" t="s">
        <v>33</v>
      </c>
      <c r="AP17" s="19"/>
    </row>
    <row r="18" spans="1:42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12"/>
      <c r="S18" s="12"/>
      <c r="T18" s="12"/>
      <c r="U18" s="2"/>
      <c r="Z18" s="12"/>
      <c r="AA18" s="12"/>
      <c r="AB18" s="12"/>
      <c r="AC18" s="2"/>
      <c r="AH18" s="12"/>
      <c r="AI18" s="12"/>
      <c r="AJ18" s="12"/>
      <c r="AK18" s="2"/>
      <c r="AO18" s="19"/>
      <c r="AP18" s="19"/>
    </row>
    <row r="19" spans="1:42" x14ac:dyDescent="0.2">
      <c r="A19" s="12"/>
      <c r="B19" s="20" t="s">
        <v>53</v>
      </c>
      <c r="C19" s="12"/>
      <c r="D19" s="12"/>
      <c r="I19" s="12"/>
      <c r="J19" s="20" t="s">
        <v>53</v>
      </c>
      <c r="K19" s="12"/>
      <c r="L19" s="12"/>
      <c r="R19" s="20" t="s">
        <v>53</v>
      </c>
      <c r="S19" s="12"/>
      <c r="T19" s="12"/>
      <c r="Z19" s="20" t="s">
        <v>53</v>
      </c>
      <c r="AA19" s="12"/>
      <c r="AB19" s="12"/>
      <c r="AH19" s="20" t="s">
        <v>53</v>
      </c>
      <c r="AI19" s="12"/>
      <c r="AJ19" s="12"/>
      <c r="AO19" s="19"/>
      <c r="AP19" s="19"/>
    </row>
    <row r="20" spans="1:42" x14ac:dyDescent="0.2">
      <c r="A20" s="12">
        <v>1</v>
      </c>
      <c r="B20" s="12" t="s">
        <v>63</v>
      </c>
      <c r="C20" s="12">
        <v>0</v>
      </c>
      <c r="D20" s="12" t="s">
        <v>9</v>
      </c>
      <c r="E20" s="22"/>
      <c r="F20" s="23"/>
      <c r="I20" s="12"/>
      <c r="J20" s="12" t="s">
        <v>63</v>
      </c>
      <c r="K20" s="12">
        <v>0</v>
      </c>
      <c r="L20" s="12" t="s">
        <v>9</v>
      </c>
      <c r="M20" s="22"/>
      <c r="N20" s="23"/>
      <c r="R20" s="12" t="s">
        <v>63</v>
      </c>
      <c r="S20" s="12">
        <v>0</v>
      </c>
      <c r="T20" s="12" t="s">
        <v>9</v>
      </c>
      <c r="U20" s="22"/>
      <c r="V20" s="23"/>
      <c r="Z20" s="12" t="s">
        <v>63</v>
      </c>
      <c r="AA20" s="12">
        <v>0</v>
      </c>
      <c r="AB20" s="12" t="s">
        <v>9</v>
      </c>
      <c r="AC20" s="22"/>
      <c r="AD20" s="23"/>
      <c r="AH20" s="12" t="s">
        <v>63</v>
      </c>
      <c r="AI20" s="12">
        <v>0</v>
      </c>
      <c r="AJ20" s="12" t="s">
        <v>9</v>
      </c>
      <c r="AK20" s="22"/>
      <c r="AL20" s="23"/>
      <c r="AO20" s="97">
        <f>C20+K20+S20+AA20+AI20</f>
        <v>0</v>
      </c>
      <c r="AP20" s="25" t="s">
        <v>9</v>
      </c>
    </row>
    <row r="21" spans="1:42" x14ac:dyDescent="0.2">
      <c r="A21" s="12"/>
      <c r="B21" s="12"/>
      <c r="C21" s="26"/>
      <c r="D21" s="12"/>
      <c r="E21" s="22"/>
      <c r="F21" s="23"/>
      <c r="I21" s="12"/>
      <c r="J21" s="12"/>
      <c r="K21" s="26"/>
      <c r="L21" s="12"/>
      <c r="M21" s="22"/>
      <c r="N21" s="23"/>
      <c r="R21" s="12"/>
      <c r="S21" s="26"/>
      <c r="T21" s="12"/>
      <c r="U21" s="22"/>
      <c r="V21" s="23"/>
      <c r="Z21" s="12"/>
      <c r="AA21" s="26"/>
      <c r="AB21" s="12"/>
      <c r="AC21" s="22"/>
      <c r="AD21" s="23"/>
      <c r="AH21" s="12"/>
      <c r="AI21" s="26"/>
      <c r="AJ21" s="12"/>
      <c r="AK21" s="22"/>
      <c r="AL21" s="23"/>
      <c r="AO21" s="97"/>
      <c r="AP21" s="25"/>
    </row>
    <row r="22" spans="1:42" x14ac:dyDescent="0.2">
      <c r="A22" s="12"/>
      <c r="B22" s="20" t="s">
        <v>34</v>
      </c>
      <c r="C22" s="26"/>
      <c r="D22" s="12"/>
      <c r="E22" s="22"/>
      <c r="F22" s="23"/>
      <c r="I22" s="12"/>
      <c r="J22" s="20" t="s">
        <v>34</v>
      </c>
      <c r="K22" s="26"/>
      <c r="L22" s="12"/>
      <c r="M22" s="22"/>
      <c r="N22" s="23"/>
      <c r="R22" s="20" t="s">
        <v>34</v>
      </c>
      <c r="S22" s="26"/>
      <c r="T22" s="12"/>
      <c r="U22" s="22"/>
      <c r="V22" s="23"/>
      <c r="Z22" s="20" t="s">
        <v>34</v>
      </c>
      <c r="AA22" s="26"/>
      <c r="AB22" s="12"/>
      <c r="AC22" s="22"/>
      <c r="AD22" s="23"/>
      <c r="AH22" s="20" t="s">
        <v>34</v>
      </c>
      <c r="AI22" s="26"/>
      <c r="AJ22" s="12"/>
      <c r="AK22" s="22"/>
      <c r="AL22" s="23"/>
      <c r="AO22" s="97"/>
      <c r="AP22" s="25"/>
    </row>
    <row r="23" spans="1:42" x14ac:dyDescent="0.2">
      <c r="A23" s="12">
        <v>2</v>
      </c>
      <c r="B23" s="12" t="s">
        <v>35</v>
      </c>
      <c r="C23" s="26">
        <f>(C4+C7)*(C5+C7)*(C6+C8)</f>
        <v>3.1680000000000001</v>
      </c>
      <c r="D23" s="12" t="s">
        <v>6</v>
      </c>
      <c r="E23" s="27">
        <f t="shared" ref="E23:E44" si="0">C23*G$15</f>
        <v>120.384</v>
      </c>
      <c r="F23" s="23" t="s">
        <v>6</v>
      </c>
      <c r="I23" s="12"/>
      <c r="J23" s="12" t="s">
        <v>35</v>
      </c>
      <c r="K23" s="26">
        <f>(K4+K7)*(K5+K7)*(K6+K8)</f>
        <v>2.2050000000000001</v>
      </c>
      <c r="L23" s="12" t="s">
        <v>6</v>
      </c>
      <c r="M23" s="27">
        <f t="shared" ref="M23:M24" si="1">K23*O$15</f>
        <v>26.46</v>
      </c>
      <c r="N23" s="23" t="s">
        <v>6</v>
      </c>
      <c r="R23" s="12" t="s">
        <v>35</v>
      </c>
      <c r="S23" s="26">
        <f>(S4+S7)*(S5+S7)*(S6+S8)</f>
        <v>85.292999999999992</v>
      </c>
      <c r="T23" s="12" t="s">
        <v>6</v>
      </c>
      <c r="U23" s="27">
        <f t="shared" ref="U23:U24" si="2">S23*W$15</f>
        <v>85.292999999999992</v>
      </c>
      <c r="V23" s="23" t="s">
        <v>6</v>
      </c>
      <c r="Z23" s="12" t="s">
        <v>35</v>
      </c>
      <c r="AA23" s="26">
        <f>(AA4+AA7)*(AA5+AA7)*(AA6+AA8)</f>
        <v>4.1580000000000004</v>
      </c>
      <c r="AB23" s="12" t="s">
        <v>6</v>
      </c>
      <c r="AC23" s="27">
        <f t="shared" ref="AC23:AC24" si="3">AA23*AE$15</f>
        <v>16.632000000000001</v>
      </c>
      <c r="AD23" s="23" t="s">
        <v>6</v>
      </c>
      <c r="AH23" s="12" t="s">
        <v>35</v>
      </c>
      <c r="AI23" s="26">
        <f>(AI4+AI7)*(AI5+AI7)*(AI6+AI8)</f>
        <v>4.1580000000000004</v>
      </c>
      <c r="AJ23" s="12" t="s">
        <v>6</v>
      </c>
      <c r="AK23" s="27">
        <f t="shared" ref="AK23:AK24" si="4">AI23*AM$15</f>
        <v>4.1580000000000004</v>
      </c>
      <c r="AL23" s="23" t="s">
        <v>6</v>
      </c>
      <c r="AN23" s="1" t="s">
        <v>75</v>
      </c>
      <c r="AO23" s="97">
        <f>U23+AC23+AK23</f>
        <v>106.083</v>
      </c>
      <c r="AP23" s="25" t="s">
        <v>6</v>
      </c>
    </row>
    <row r="24" spans="1:42" x14ac:dyDescent="0.2">
      <c r="A24" s="12">
        <v>3</v>
      </c>
      <c r="B24" s="12" t="s">
        <v>36</v>
      </c>
      <c r="C24" s="26">
        <f>C23-(C4*C5*C6)</f>
        <v>1.548</v>
      </c>
      <c r="D24" s="12" t="s">
        <v>6</v>
      </c>
      <c r="E24" s="27">
        <f t="shared" si="0"/>
        <v>58.823999999999998</v>
      </c>
      <c r="F24" s="23" t="s">
        <v>6</v>
      </c>
      <c r="I24" s="12"/>
      <c r="J24" s="12" t="s">
        <v>36</v>
      </c>
      <c r="K24" s="26">
        <f>K23-(K4*K5*K6)</f>
        <v>1.1925000000000001</v>
      </c>
      <c r="L24" s="12" t="s">
        <v>6</v>
      </c>
      <c r="M24" s="27">
        <f t="shared" si="1"/>
        <v>14.310000000000002</v>
      </c>
      <c r="N24" s="23" t="s">
        <v>6</v>
      </c>
      <c r="R24" s="12" t="s">
        <v>36</v>
      </c>
      <c r="S24" s="26">
        <f>S23-(S4*S5*S6)</f>
        <v>45.917999999999992</v>
      </c>
      <c r="T24" s="12" t="s">
        <v>6</v>
      </c>
      <c r="U24" s="27">
        <f t="shared" si="2"/>
        <v>45.917999999999992</v>
      </c>
      <c r="V24" s="23" t="s">
        <v>6</v>
      </c>
      <c r="Z24" s="12" t="s">
        <v>36</v>
      </c>
      <c r="AA24" s="26">
        <f>AA23-(AA4*AA5*AA6)</f>
        <v>1.9080000000000004</v>
      </c>
      <c r="AB24" s="12" t="s">
        <v>6</v>
      </c>
      <c r="AC24" s="27">
        <f t="shared" si="3"/>
        <v>7.6320000000000014</v>
      </c>
      <c r="AD24" s="23" t="s">
        <v>6</v>
      </c>
      <c r="AH24" s="12" t="s">
        <v>36</v>
      </c>
      <c r="AI24" s="26">
        <f>AI23-(AI4*AI5*AI6)</f>
        <v>1.9080000000000004</v>
      </c>
      <c r="AJ24" s="12" t="s">
        <v>6</v>
      </c>
      <c r="AK24" s="27">
        <f t="shared" si="4"/>
        <v>1.9080000000000004</v>
      </c>
      <c r="AL24" s="23" t="s">
        <v>6</v>
      </c>
      <c r="AN24" s="1" t="s">
        <v>75</v>
      </c>
      <c r="AO24" s="97">
        <f>U24+AC24+AK24</f>
        <v>55.457999999999998</v>
      </c>
      <c r="AP24" s="25" t="s">
        <v>6</v>
      </c>
    </row>
    <row r="25" spans="1:42" x14ac:dyDescent="0.2">
      <c r="A25" s="12"/>
      <c r="B25" s="12"/>
      <c r="C25" s="26"/>
      <c r="D25" s="12"/>
      <c r="E25" s="27"/>
      <c r="F25" s="23"/>
      <c r="I25" s="12"/>
      <c r="J25" s="12"/>
      <c r="K25" s="26"/>
      <c r="L25" s="12"/>
      <c r="M25" s="27"/>
      <c r="N25" s="23"/>
      <c r="R25" s="12"/>
      <c r="S25" s="26"/>
      <c r="T25" s="12"/>
      <c r="U25" s="27"/>
      <c r="V25" s="23"/>
      <c r="Z25" s="12"/>
      <c r="AA25" s="26"/>
      <c r="AB25" s="12"/>
      <c r="AC25" s="27"/>
      <c r="AD25" s="23"/>
      <c r="AH25" s="12"/>
      <c r="AI25" s="26"/>
      <c r="AJ25" s="12"/>
      <c r="AK25" s="27"/>
      <c r="AL25" s="23"/>
      <c r="AO25" s="97"/>
      <c r="AP25" s="25"/>
    </row>
    <row r="26" spans="1:42" x14ac:dyDescent="0.2">
      <c r="A26" s="12"/>
      <c r="B26" s="20" t="s">
        <v>37</v>
      </c>
      <c r="C26" s="26"/>
      <c r="D26" s="12"/>
      <c r="E26" s="27"/>
      <c r="F26" s="23"/>
      <c r="I26" s="12"/>
      <c r="J26" s="20" t="s">
        <v>37</v>
      </c>
      <c r="K26" s="26"/>
      <c r="L26" s="12"/>
      <c r="M26" s="27"/>
      <c r="N26" s="23"/>
      <c r="R26" s="20" t="s">
        <v>37</v>
      </c>
      <c r="S26" s="26"/>
      <c r="T26" s="12"/>
      <c r="U26" s="27"/>
      <c r="V26" s="23"/>
      <c r="Z26" s="20" t="s">
        <v>37</v>
      </c>
      <c r="AA26" s="26"/>
      <c r="AB26" s="12"/>
      <c r="AC26" s="27"/>
      <c r="AD26" s="23"/>
      <c r="AH26" s="20" t="s">
        <v>37</v>
      </c>
      <c r="AI26" s="26"/>
      <c r="AJ26" s="12"/>
      <c r="AK26" s="27"/>
      <c r="AL26" s="23"/>
      <c r="AO26" s="97"/>
      <c r="AP26" s="25"/>
    </row>
    <row r="27" spans="1:42" x14ac:dyDescent="0.2">
      <c r="A27" s="12"/>
      <c r="B27" s="12" t="s">
        <v>17</v>
      </c>
      <c r="C27" s="26"/>
      <c r="D27" s="12"/>
      <c r="E27" s="27"/>
      <c r="F27" s="23"/>
      <c r="I27" s="12"/>
      <c r="J27" s="12" t="s">
        <v>17</v>
      </c>
      <c r="K27" s="26"/>
      <c r="L27" s="12"/>
      <c r="M27" s="27"/>
      <c r="N27" s="23"/>
      <c r="R27" s="12" t="s">
        <v>17</v>
      </c>
      <c r="S27" s="26"/>
      <c r="T27" s="12"/>
      <c r="U27" s="27"/>
      <c r="V27" s="23"/>
      <c r="Z27" s="12" t="s">
        <v>17</v>
      </c>
      <c r="AA27" s="26"/>
      <c r="AB27" s="12"/>
      <c r="AC27" s="27"/>
      <c r="AD27" s="23"/>
      <c r="AH27" s="12" t="s">
        <v>17</v>
      </c>
      <c r="AI27" s="26"/>
      <c r="AJ27" s="12"/>
      <c r="AK27" s="27"/>
      <c r="AL27" s="23"/>
      <c r="AO27" s="97"/>
      <c r="AP27" s="25"/>
    </row>
    <row r="28" spans="1:42" x14ac:dyDescent="0.2">
      <c r="A28" s="12">
        <v>4</v>
      </c>
      <c r="B28" s="11" t="s">
        <v>38</v>
      </c>
      <c r="C28" s="26">
        <f>(2*(C4*C6))+(2*(C5*C6))</f>
        <v>3.6</v>
      </c>
      <c r="D28" s="12" t="s">
        <v>1</v>
      </c>
      <c r="E28" s="27">
        <f t="shared" si="0"/>
        <v>136.80000000000001</v>
      </c>
      <c r="F28" s="23" t="s">
        <v>1</v>
      </c>
      <c r="I28" s="12"/>
      <c r="J28" s="11" t="s">
        <v>38</v>
      </c>
      <c r="K28" s="26">
        <f>(2*(K4*K6))+(2*(K5*K6))</f>
        <v>2.7</v>
      </c>
      <c r="L28" s="12" t="s">
        <v>1</v>
      </c>
      <c r="M28" s="27">
        <f t="shared" ref="M28:M33" si="5">K28*O$15</f>
        <v>32.400000000000006</v>
      </c>
      <c r="N28" s="23" t="s">
        <v>1</v>
      </c>
      <c r="R28" s="11" t="s">
        <v>38</v>
      </c>
      <c r="S28" s="26">
        <f>(2*(S4*S6))+(2*(S5*S6))</f>
        <v>105.375</v>
      </c>
      <c r="T28" s="12" t="s">
        <v>1</v>
      </c>
      <c r="U28" s="27">
        <f t="shared" ref="U28:U33" si="6">S28*W$15</f>
        <v>105.375</v>
      </c>
      <c r="V28" s="23" t="s">
        <v>1</v>
      </c>
      <c r="Z28" s="11" t="s">
        <v>38</v>
      </c>
      <c r="AA28" s="26">
        <f>(2*(AA4*AA6))+(2*(AA5*AA6))</f>
        <v>4.5</v>
      </c>
      <c r="AB28" s="12" t="s">
        <v>1</v>
      </c>
      <c r="AC28" s="27">
        <f t="shared" ref="AC28:AC33" si="7">AA28*AE$15</f>
        <v>18</v>
      </c>
      <c r="AD28" s="23" t="s">
        <v>1</v>
      </c>
      <c r="AH28" s="11" t="s">
        <v>38</v>
      </c>
      <c r="AI28" s="26">
        <f>(2*(AI4*AI6))+(2*(AI5*AI6))</f>
        <v>4.5</v>
      </c>
      <c r="AJ28" s="12" t="s">
        <v>1</v>
      </c>
      <c r="AK28" s="27">
        <f t="shared" ref="AK28:AK33" si="8">AI28*AM$15</f>
        <v>4.5</v>
      </c>
      <c r="AL28" s="23" t="s">
        <v>1</v>
      </c>
      <c r="AN28" s="1" t="s">
        <v>75</v>
      </c>
      <c r="AO28" s="97">
        <f t="shared" ref="AO28:AO33" si="9">U28+AC28+AK28</f>
        <v>127.875</v>
      </c>
      <c r="AP28" s="25" t="s">
        <v>1</v>
      </c>
    </row>
    <row r="29" spans="1:42" x14ac:dyDescent="0.2">
      <c r="A29" s="12">
        <v>5</v>
      </c>
      <c r="B29" s="11" t="s">
        <v>39</v>
      </c>
      <c r="C29" s="26">
        <f>((2*(C11*C13))+((C12*C13)*2))*C10</f>
        <v>1.44</v>
      </c>
      <c r="D29" s="12" t="s">
        <v>1</v>
      </c>
      <c r="E29" s="27">
        <f t="shared" si="0"/>
        <v>54.72</v>
      </c>
      <c r="F29" s="23" t="s">
        <v>1</v>
      </c>
      <c r="I29" s="12"/>
      <c r="J29" s="11" t="s">
        <v>39</v>
      </c>
      <c r="K29" s="26">
        <f>((2*(K11*K13))+((K12*K13)*2))*K10</f>
        <v>2.64</v>
      </c>
      <c r="L29" s="12" t="s">
        <v>1</v>
      </c>
      <c r="M29" s="27">
        <f t="shared" si="5"/>
        <v>31.68</v>
      </c>
      <c r="N29" s="23" t="s">
        <v>1</v>
      </c>
      <c r="R29" s="11" t="s">
        <v>39</v>
      </c>
      <c r="S29" s="26">
        <f>((2*(S11*S13))+((S12*S13)*2))*S10</f>
        <v>0</v>
      </c>
      <c r="T29" s="12" t="s">
        <v>1</v>
      </c>
      <c r="U29" s="27">
        <f t="shared" si="6"/>
        <v>0</v>
      </c>
      <c r="V29" s="23" t="s">
        <v>1</v>
      </c>
      <c r="Z29" s="11" t="s">
        <v>39</v>
      </c>
      <c r="AA29" s="26">
        <f>((2*(AA11*AA13))+((AA12*AA13)*2))*AA10</f>
        <v>6</v>
      </c>
      <c r="AB29" s="12" t="s">
        <v>1</v>
      </c>
      <c r="AC29" s="27">
        <f t="shared" si="7"/>
        <v>24</v>
      </c>
      <c r="AD29" s="23" t="s">
        <v>1</v>
      </c>
      <c r="AH29" s="11" t="s">
        <v>39</v>
      </c>
      <c r="AI29" s="26">
        <f>((2*(AI11*AI13))+((AI12*AI13)*2))*AI10</f>
        <v>6</v>
      </c>
      <c r="AJ29" s="12" t="s">
        <v>1</v>
      </c>
      <c r="AK29" s="27">
        <f t="shared" si="8"/>
        <v>6</v>
      </c>
      <c r="AL29" s="23" t="s">
        <v>1</v>
      </c>
      <c r="AN29" s="1" t="s">
        <v>75</v>
      </c>
      <c r="AO29" s="97">
        <f t="shared" si="9"/>
        <v>30</v>
      </c>
      <c r="AP29" s="25" t="s">
        <v>1</v>
      </c>
    </row>
    <row r="30" spans="1:42" x14ac:dyDescent="0.2">
      <c r="A30" s="12"/>
      <c r="B30" s="20" t="s">
        <v>40</v>
      </c>
      <c r="C30" s="26">
        <f>C14*C10</f>
        <v>4</v>
      </c>
      <c r="D30" s="12" t="s">
        <v>9</v>
      </c>
      <c r="E30" s="27">
        <f t="shared" si="0"/>
        <v>152</v>
      </c>
      <c r="F30" s="23" t="s">
        <v>9</v>
      </c>
      <c r="I30" s="12"/>
      <c r="J30" s="20" t="s">
        <v>40</v>
      </c>
      <c r="K30" s="26">
        <f>K14*K10</f>
        <v>4</v>
      </c>
      <c r="L30" s="12" t="s">
        <v>9</v>
      </c>
      <c r="M30" s="27">
        <f t="shared" si="5"/>
        <v>48</v>
      </c>
      <c r="N30" s="23" t="s">
        <v>9</v>
      </c>
      <c r="R30" s="20" t="s">
        <v>40</v>
      </c>
      <c r="S30" s="26">
        <f>S14*S10</f>
        <v>0</v>
      </c>
      <c r="T30" s="12" t="s">
        <v>9</v>
      </c>
      <c r="U30" s="27">
        <f t="shared" si="6"/>
        <v>0</v>
      </c>
      <c r="V30" s="23" t="s">
        <v>9</v>
      </c>
      <c r="Z30" s="20" t="s">
        <v>40</v>
      </c>
      <c r="AA30" s="26">
        <f>AA14*AA10</f>
        <v>4</v>
      </c>
      <c r="AB30" s="12" t="s">
        <v>9</v>
      </c>
      <c r="AC30" s="27">
        <f t="shared" si="7"/>
        <v>16</v>
      </c>
      <c r="AD30" s="23" t="s">
        <v>9</v>
      </c>
      <c r="AH30" s="20" t="s">
        <v>40</v>
      </c>
      <c r="AI30" s="26">
        <f>AI14*AI10</f>
        <v>4</v>
      </c>
      <c r="AJ30" s="12" t="s">
        <v>9</v>
      </c>
      <c r="AK30" s="27">
        <f t="shared" si="8"/>
        <v>4</v>
      </c>
      <c r="AL30" s="23" t="s">
        <v>9</v>
      </c>
      <c r="AN30" s="96" t="s">
        <v>75</v>
      </c>
      <c r="AO30" s="97">
        <f t="shared" si="9"/>
        <v>20</v>
      </c>
      <c r="AP30" s="25" t="s">
        <v>9</v>
      </c>
    </row>
    <row r="31" spans="1:42" x14ac:dyDescent="0.2">
      <c r="A31" s="12">
        <v>6</v>
      </c>
      <c r="B31" s="12" t="s">
        <v>41</v>
      </c>
      <c r="C31" s="26">
        <f>C30</f>
        <v>4</v>
      </c>
      <c r="D31" s="12" t="s">
        <v>9</v>
      </c>
      <c r="E31" s="27">
        <f t="shared" si="0"/>
        <v>152</v>
      </c>
      <c r="F31" s="23" t="s">
        <v>9</v>
      </c>
      <c r="I31" s="12"/>
      <c r="J31" s="12" t="s">
        <v>41</v>
      </c>
      <c r="K31" s="26">
        <f>K30</f>
        <v>4</v>
      </c>
      <c r="L31" s="12" t="s">
        <v>9</v>
      </c>
      <c r="M31" s="27">
        <f t="shared" si="5"/>
        <v>48</v>
      </c>
      <c r="N31" s="23" t="s">
        <v>9</v>
      </c>
      <c r="R31" s="12" t="s">
        <v>41</v>
      </c>
      <c r="S31" s="26">
        <f>S30</f>
        <v>0</v>
      </c>
      <c r="T31" s="12" t="s">
        <v>9</v>
      </c>
      <c r="U31" s="27">
        <f t="shared" si="6"/>
        <v>0</v>
      </c>
      <c r="V31" s="23" t="s">
        <v>9</v>
      </c>
      <c r="Z31" s="12" t="s">
        <v>41</v>
      </c>
      <c r="AA31" s="26">
        <f>AA30</f>
        <v>4</v>
      </c>
      <c r="AB31" s="12" t="s">
        <v>9</v>
      </c>
      <c r="AC31" s="27">
        <f t="shared" si="7"/>
        <v>16</v>
      </c>
      <c r="AD31" s="23" t="s">
        <v>9</v>
      </c>
      <c r="AH31" s="12" t="s">
        <v>41</v>
      </c>
      <c r="AI31" s="26">
        <f>AI30</f>
        <v>4</v>
      </c>
      <c r="AJ31" s="12" t="s">
        <v>9</v>
      </c>
      <c r="AK31" s="27">
        <f t="shared" si="8"/>
        <v>4</v>
      </c>
      <c r="AL31" s="23" t="s">
        <v>9</v>
      </c>
      <c r="AN31" s="1" t="s">
        <v>75</v>
      </c>
      <c r="AO31" s="97">
        <f t="shared" si="9"/>
        <v>20</v>
      </c>
      <c r="AP31" s="25" t="s">
        <v>9</v>
      </c>
    </row>
    <row r="32" spans="1:42" x14ac:dyDescent="0.2">
      <c r="A32" s="12">
        <v>7</v>
      </c>
      <c r="B32" s="20" t="s">
        <v>18</v>
      </c>
      <c r="C32" s="26">
        <f>(2*C11)+(2*C12)+(2*C4)+(C5*2)</f>
        <v>9.6</v>
      </c>
      <c r="D32" s="12" t="s">
        <v>11</v>
      </c>
      <c r="E32" s="27">
        <f t="shared" si="0"/>
        <v>364.8</v>
      </c>
      <c r="F32" s="23" t="s">
        <v>11</v>
      </c>
      <c r="I32" s="12"/>
      <c r="J32" s="20" t="s">
        <v>18</v>
      </c>
      <c r="K32" s="26">
        <f>(2*K11)+(2*K12)+(2*K4)+(K5*2)</f>
        <v>8.4</v>
      </c>
      <c r="L32" s="12" t="s">
        <v>11</v>
      </c>
      <c r="M32" s="27">
        <f t="shared" si="5"/>
        <v>100.80000000000001</v>
      </c>
      <c r="N32" s="23" t="s">
        <v>11</v>
      </c>
      <c r="R32" s="20" t="s">
        <v>18</v>
      </c>
      <c r="S32" s="26">
        <f>(2*S11)+(2*S12)+(2*S4)+(S5*2)</f>
        <v>421.5</v>
      </c>
      <c r="T32" s="12" t="s">
        <v>11</v>
      </c>
      <c r="U32" s="27">
        <f t="shared" si="6"/>
        <v>421.5</v>
      </c>
      <c r="V32" s="23" t="s">
        <v>11</v>
      </c>
      <c r="Z32" s="20" t="s">
        <v>18</v>
      </c>
      <c r="AA32" s="26">
        <f>(2*AA11)+(2*AA12)+(2*AA4)+(AA5*2)</f>
        <v>15</v>
      </c>
      <c r="AB32" s="12" t="s">
        <v>11</v>
      </c>
      <c r="AC32" s="27">
        <f t="shared" si="7"/>
        <v>60</v>
      </c>
      <c r="AD32" s="23" t="s">
        <v>11</v>
      </c>
      <c r="AH32" s="20" t="s">
        <v>18</v>
      </c>
      <c r="AI32" s="26">
        <f>(2*AI11)+(2*AI12)+(2*AI4)+(AI5*2)</f>
        <v>15</v>
      </c>
      <c r="AJ32" s="12" t="s">
        <v>11</v>
      </c>
      <c r="AK32" s="27">
        <f t="shared" si="8"/>
        <v>15</v>
      </c>
      <c r="AL32" s="23" t="s">
        <v>11</v>
      </c>
      <c r="AN32" s="1" t="s">
        <v>75</v>
      </c>
      <c r="AO32" s="97">
        <f t="shared" si="9"/>
        <v>496.5</v>
      </c>
      <c r="AP32" s="25" t="s">
        <v>11</v>
      </c>
    </row>
    <row r="33" spans="1:42" x14ac:dyDescent="0.2">
      <c r="A33" s="12">
        <v>8</v>
      </c>
      <c r="B33" s="20" t="s">
        <v>19</v>
      </c>
      <c r="C33" s="26">
        <f>(C37+C38+C39)*C15/1000</f>
        <v>0.21114000000000002</v>
      </c>
      <c r="D33" s="12" t="s">
        <v>20</v>
      </c>
      <c r="E33" s="22">
        <f t="shared" si="0"/>
        <v>8.02332</v>
      </c>
      <c r="F33" s="23" t="s">
        <v>20</v>
      </c>
      <c r="I33" s="12"/>
      <c r="J33" s="20" t="s">
        <v>19</v>
      </c>
      <c r="K33" s="26">
        <f>(K37+K38+K39)*K15/1000</f>
        <v>0.16197750000000002</v>
      </c>
      <c r="L33" s="12" t="s">
        <v>20</v>
      </c>
      <c r="M33" s="22">
        <f t="shared" si="5"/>
        <v>1.9437300000000004</v>
      </c>
      <c r="N33" s="23" t="s">
        <v>20</v>
      </c>
      <c r="R33" s="20" t="s">
        <v>19</v>
      </c>
      <c r="S33" s="26">
        <f>(S37+S38+S39)*S15/1000</f>
        <v>4.5281250000000002</v>
      </c>
      <c r="T33" s="12" t="s">
        <v>20</v>
      </c>
      <c r="U33" s="22">
        <f t="shared" si="6"/>
        <v>4.5281250000000002</v>
      </c>
      <c r="V33" s="23" t="s">
        <v>20</v>
      </c>
      <c r="Z33" s="20" t="s">
        <v>19</v>
      </c>
      <c r="AA33" s="26">
        <f>(AA37+AA38+AA39)*AA15/1000</f>
        <v>0.40250000000000002</v>
      </c>
      <c r="AB33" s="12" t="s">
        <v>20</v>
      </c>
      <c r="AC33" s="22">
        <f t="shared" si="7"/>
        <v>1.61</v>
      </c>
      <c r="AD33" s="23" t="s">
        <v>20</v>
      </c>
      <c r="AH33" s="20" t="s">
        <v>19</v>
      </c>
      <c r="AI33" s="26">
        <f>(AI37+AI38+AI39)*AI15/1000</f>
        <v>0.40250000000000002</v>
      </c>
      <c r="AJ33" s="12" t="s">
        <v>20</v>
      </c>
      <c r="AK33" s="22">
        <f t="shared" si="8"/>
        <v>0.40250000000000002</v>
      </c>
      <c r="AL33" s="23" t="s">
        <v>20</v>
      </c>
      <c r="AN33" s="1" t="s">
        <v>75</v>
      </c>
      <c r="AO33" s="97">
        <f t="shared" si="9"/>
        <v>6.5406250000000004</v>
      </c>
      <c r="AP33" s="25" t="s">
        <v>20</v>
      </c>
    </row>
    <row r="34" spans="1:42" x14ac:dyDescent="0.2">
      <c r="A34" s="12"/>
      <c r="B34" s="20" t="s">
        <v>4</v>
      </c>
      <c r="C34" s="26"/>
      <c r="D34" s="12"/>
      <c r="E34" s="22"/>
      <c r="F34" s="23"/>
      <c r="I34" s="12"/>
      <c r="J34" s="20" t="s">
        <v>4</v>
      </c>
      <c r="K34" s="26"/>
      <c r="L34" s="12"/>
      <c r="M34" s="22"/>
      <c r="N34" s="23"/>
      <c r="R34" s="20" t="s">
        <v>4</v>
      </c>
      <c r="S34" s="26"/>
      <c r="T34" s="12"/>
      <c r="U34" s="22"/>
      <c r="V34" s="23"/>
      <c r="Z34" s="20" t="s">
        <v>4</v>
      </c>
      <c r="AA34" s="26"/>
      <c r="AB34" s="12"/>
      <c r="AC34" s="22"/>
      <c r="AD34" s="23"/>
      <c r="AH34" s="20" t="s">
        <v>4</v>
      </c>
      <c r="AI34" s="26"/>
      <c r="AJ34" s="12"/>
      <c r="AK34" s="22"/>
      <c r="AL34" s="23"/>
      <c r="AO34" s="97"/>
      <c r="AP34" s="25"/>
    </row>
    <row r="35" spans="1:42" x14ac:dyDescent="0.2">
      <c r="A35" s="12">
        <v>9</v>
      </c>
      <c r="B35" s="12" t="s">
        <v>42</v>
      </c>
      <c r="C35" s="26">
        <f>(C4+C7)*(C5+C7)</f>
        <v>5.76</v>
      </c>
      <c r="D35" s="12" t="s">
        <v>1</v>
      </c>
      <c r="E35" s="27">
        <f t="shared" si="0"/>
        <v>218.88</v>
      </c>
      <c r="F35" s="23" t="s">
        <v>1</v>
      </c>
      <c r="I35" s="12"/>
      <c r="J35" s="12" t="s">
        <v>42</v>
      </c>
      <c r="K35" s="26">
        <f>(K4+K7)*(K5+K7)</f>
        <v>4.41</v>
      </c>
      <c r="L35" s="12" t="s">
        <v>1</v>
      </c>
      <c r="M35" s="22">
        <f t="shared" ref="M35" si="10">K35*O$15</f>
        <v>52.92</v>
      </c>
      <c r="N35" s="23" t="s">
        <v>1</v>
      </c>
      <c r="R35" s="12" t="s">
        <v>42</v>
      </c>
      <c r="S35" s="26">
        <f>(S4+S7)*(S5+S7)</f>
        <v>284.31</v>
      </c>
      <c r="T35" s="12" t="s">
        <v>1</v>
      </c>
      <c r="U35" s="22">
        <f t="shared" ref="U35" si="11">S35*W$15</f>
        <v>284.31</v>
      </c>
      <c r="V35" s="23" t="s">
        <v>1</v>
      </c>
      <c r="Z35" s="12" t="s">
        <v>42</v>
      </c>
      <c r="AA35" s="26">
        <f>(AA4+AA7)*(AA5+AA7)</f>
        <v>7.5600000000000005</v>
      </c>
      <c r="AB35" s="12" t="s">
        <v>1</v>
      </c>
      <c r="AC35" s="22">
        <f t="shared" ref="AC35" si="12">AA35*AE$15</f>
        <v>30.240000000000002</v>
      </c>
      <c r="AD35" s="23" t="s">
        <v>1</v>
      </c>
      <c r="AH35" s="12" t="s">
        <v>42</v>
      </c>
      <c r="AI35" s="26">
        <f>(AI4+AI7)*(AI5+AI7)</f>
        <v>7.5600000000000005</v>
      </c>
      <c r="AJ35" s="12" t="s">
        <v>1</v>
      </c>
      <c r="AK35" s="22">
        <f t="shared" ref="AK35" si="13">AI35*AM$15</f>
        <v>7.5600000000000005</v>
      </c>
      <c r="AL35" s="23" t="s">
        <v>1</v>
      </c>
      <c r="AN35" s="1" t="s">
        <v>75</v>
      </c>
      <c r="AO35" s="97">
        <f>U35+AC35+AK35</f>
        <v>322.11</v>
      </c>
      <c r="AP35" s="25" t="s">
        <v>1</v>
      </c>
    </row>
    <row r="36" spans="1:42" x14ac:dyDescent="0.2">
      <c r="A36" s="12"/>
      <c r="B36" s="12" t="s">
        <v>43</v>
      </c>
      <c r="C36" s="26"/>
      <c r="D36" s="12"/>
      <c r="E36" s="27"/>
      <c r="F36" s="23"/>
      <c r="I36" s="12"/>
      <c r="J36" s="12" t="s">
        <v>43</v>
      </c>
      <c r="K36" s="26"/>
      <c r="L36" s="12"/>
      <c r="M36" s="22"/>
      <c r="N36" s="23"/>
      <c r="R36" s="12" t="s">
        <v>43</v>
      </c>
      <c r="S36" s="26"/>
      <c r="T36" s="12"/>
      <c r="U36" s="22"/>
      <c r="V36" s="23"/>
      <c r="Z36" s="12" t="s">
        <v>43</v>
      </c>
      <c r="AA36" s="26"/>
      <c r="AB36" s="12"/>
      <c r="AC36" s="22"/>
      <c r="AD36" s="23"/>
      <c r="AH36" s="12" t="s">
        <v>43</v>
      </c>
      <c r="AI36" s="26"/>
      <c r="AJ36" s="12"/>
      <c r="AK36" s="22"/>
      <c r="AL36" s="23"/>
      <c r="AO36" s="97"/>
      <c r="AP36" s="25"/>
    </row>
    <row r="37" spans="1:42" x14ac:dyDescent="0.2">
      <c r="A37" s="12">
        <v>10</v>
      </c>
      <c r="B37" s="11" t="s">
        <v>44</v>
      </c>
      <c r="C37" s="26">
        <f>C4*C5*C6</f>
        <v>1.62</v>
      </c>
      <c r="D37" s="12" t="s">
        <v>6</v>
      </c>
      <c r="E37" s="27">
        <f t="shared" si="0"/>
        <v>61.56</v>
      </c>
      <c r="F37" s="23" t="s">
        <v>6</v>
      </c>
      <c r="I37" s="12"/>
      <c r="J37" s="11" t="s">
        <v>44</v>
      </c>
      <c r="K37" s="26">
        <f>K4*K5*K6</f>
        <v>1.0125</v>
      </c>
      <c r="L37" s="12" t="s">
        <v>6</v>
      </c>
      <c r="M37" s="27">
        <f t="shared" ref="M37:M40" si="14">K37*O$15</f>
        <v>12.149999999999999</v>
      </c>
      <c r="N37" s="23" t="s">
        <v>6</v>
      </c>
      <c r="R37" s="11" t="s">
        <v>44</v>
      </c>
      <c r="S37" s="26">
        <f>S4*S5*S6</f>
        <v>39.375</v>
      </c>
      <c r="T37" s="12" t="s">
        <v>6</v>
      </c>
      <c r="U37" s="27">
        <f t="shared" ref="U37:U40" si="15">S37*W$15</f>
        <v>39.375</v>
      </c>
      <c r="V37" s="23" t="s">
        <v>6</v>
      </c>
      <c r="Z37" s="11" t="s">
        <v>44</v>
      </c>
      <c r="AA37" s="26">
        <f>AA4*AA5*AA6</f>
        <v>2.25</v>
      </c>
      <c r="AB37" s="12" t="s">
        <v>6</v>
      </c>
      <c r="AC37" s="27">
        <f t="shared" ref="AC37:AC40" si="16">AA37*AE$15</f>
        <v>9</v>
      </c>
      <c r="AD37" s="23" t="s">
        <v>6</v>
      </c>
      <c r="AH37" s="11" t="s">
        <v>44</v>
      </c>
      <c r="AI37" s="26">
        <f>AI4*AI5*AI6</f>
        <v>2.25</v>
      </c>
      <c r="AJ37" s="12" t="s">
        <v>6</v>
      </c>
      <c r="AK37" s="27">
        <f t="shared" ref="AK37:AK40" si="17">AI37*AM$15</f>
        <v>2.25</v>
      </c>
      <c r="AL37" s="23" t="s">
        <v>6</v>
      </c>
      <c r="AN37" s="1" t="s">
        <v>75</v>
      </c>
      <c r="AO37" s="97">
        <f>U37+AC37+AK37</f>
        <v>50.625</v>
      </c>
      <c r="AP37" s="25" t="s">
        <v>6</v>
      </c>
    </row>
    <row r="38" spans="1:42" x14ac:dyDescent="0.2">
      <c r="A38" s="12">
        <v>11</v>
      </c>
      <c r="B38" s="11" t="s">
        <v>51</v>
      </c>
      <c r="C38" s="26">
        <f>C10*C11*C12*C13</f>
        <v>0.216</v>
      </c>
      <c r="D38" s="12" t="s">
        <v>6</v>
      </c>
      <c r="E38" s="27">
        <f t="shared" si="0"/>
        <v>8.2080000000000002</v>
      </c>
      <c r="F38" s="23" t="s">
        <v>6</v>
      </c>
      <c r="I38" s="12"/>
      <c r="J38" s="11" t="s">
        <v>51</v>
      </c>
      <c r="K38" s="26">
        <f>K10*K11*K12*K13</f>
        <v>0.39600000000000002</v>
      </c>
      <c r="L38" s="12" t="s">
        <v>6</v>
      </c>
      <c r="M38" s="27">
        <f t="shared" si="14"/>
        <v>4.7520000000000007</v>
      </c>
      <c r="N38" s="23" t="s">
        <v>6</v>
      </c>
      <c r="R38" s="11" t="s">
        <v>51</v>
      </c>
      <c r="S38" s="26">
        <f>S10*S11*S12*S13</f>
        <v>0</v>
      </c>
      <c r="T38" s="12" t="s">
        <v>6</v>
      </c>
      <c r="U38" s="27">
        <f t="shared" si="15"/>
        <v>0</v>
      </c>
      <c r="V38" s="23" t="s">
        <v>6</v>
      </c>
      <c r="Z38" s="11" t="s">
        <v>51</v>
      </c>
      <c r="AA38" s="26">
        <f>AA10*AA11*AA12*AA13</f>
        <v>1.25</v>
      </c>
      <c r="AB38" s="12" t="s">
        <v>6</v>
      </c>
      <c r="AC38" s="27">
        <f t="shared" si="16"/>
        <v>5</v>
      </c>
      <c r="AD38" s="23" t="s">
        <v>6</v>
      </c>
      <c r="AH38" s="11" t="s">
        <v>51</v>
      </c>
      <c r="AI38" s="26">
        <f>AI10*AI11*AI12*AI13</f>
        <v>1.25</v>
      </c>
      <c r="AJ38" s="12" t="s">
        <v>6</v>
      </c>
      <c r="AK38" s="27">
        <f t="shared" si="17"/>
        <v>1.25</v>
      </c>
      <c r="AL38" s="23" t="s">
        <v>6</v>
      </c>
      <c r="AN38" s="1" t="s">
        <v>75</v>
      </c>
      <c r="AO38" s="97">
        <f>U38+AC38+AK38</f>
        <v>6.25</v>
      </c>
      <c r="AP38" s="25" t="s">
        <v>6</v>
      </c>
    </row>
    <row r="39" spans="1:42" x14ac:dyDescent="0.2">
      <c r="A39" s="12">
        <v>12</v>
      </c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I39" s="12"/>
      <c r="J39" s="11" t="s">
        <v>45</v>
      </c>
      <c r="K39" s="21"/>
      <c r="L39" s="12" t="s">
        <v>6</v>
      </c>
      <c r="M39" s="27">
        <f t="shared" si="14"/>
        <v>0</v>
      </c>
      <c r="N39" s="23" t="s">
        <v>6</v>
      </c>
      <c r="R39" s="11" t="s">
        <v>45</v>
      </c>
      <c r="S39" s="21"/>
      <c r="T39" s="12" t="s">
        <v>6</v>
      </c>
      <c r="U39" s="27">
        <f t="shared" si="15"/>
        <v>0</v>
      </c>
      <c r="V39" s="23" t="s">
        <v>6</v>
      </c>
      <c r="Z39" s="11" t="s">
        <v>45</v>
      </c>
      <c r="AA39" s="21"/>
      <c r="AB39" s="12" t="s">
        <v>6</v>
      </c>
      <c r="AC39" s="27">
        <f t="shared" si="16"/>
        <v>0</v>
      </c>
      <c r="AD39" s="23" t="s">
        <v>6</v>
      </c>
      <c r="AH39" s="11" t="s">
        <v>45</v>
      </c>
      <c r="AI39" s="21"/>
      <c r="AJ39" s="12" t="s">
        <v>6</v>
      </c>
      <c r="AK39" s="27">
        <f t="shared" si="17"/>
        <v>0</v>
      </c>
      <c r="AL39" s="23" t="s">
        <v>6</v>
      </c>
      <c r="AO39" s="97">
        <f>U39+AC39+AK39</f>
        <v>0</v>
      </c>
      <c r="AP39" s="25" t="s">
        <v>6</v>
      </c>
    </row>
    <row r="40" spans="1:42" x14ac:dyDescent="0.2">
      <c r="A40" s="1">
        <v>13</v>
      </c>
      <c r="B40" s="28" t="s">
        <v>46</v>
      </c>
      <c r="C40" s="29">
        <f>C4*C5</f>
        <v>3.24</v>
      </c>
      <c r="D40" s="1" t="s">
        <v>1</v>
      </c>
      <c r="E40" s="27">
        <f t="shared" si="0"/>
        <v>123.12</v>
      </c>
      <c r="F40" s="30" t="s">
        <v>1</v>
      </c>
      <c r="J40" s="28" t="s">
        <v>46</v>
      </c>
      <c r="K40" s="29">
        <f>K4*K5</f>
        <v>2.25</v>
      </c>
      <c r="L40" s="1" t="s">
        <v>1</v>
      </c>
      <c r="M40" s="27">
        <f t="shared" si="14"/>
        <v>27</v>
      </c>
      <c r="N40" s="30" t="s">
        <v>1</v>
      </c>
      <c r="R40" s="28" t="s">
        <v>46</v>
      </c>
      <c r="S40" s="29">
        <f>S4*S5</f>
        <v>157.5</v>
      </c>
      <c r="T40" s="1" t="s">
        <v>1</v>
      </c>
      <c r="U40" s="27">
        <f t="shared" si="15"/>
        <v>157.5</v>
      </c>
      <c r="V40" s="30" t="s">
        <v>1</v>
      </c>
      <c r="Z40" s="28" t="s">
        <v>46</v>
      </c>
      <c r="AA40" s="29">
        <f>AA4*AA5</f>
        <v>4.5</v>
      </c>
      <c r="AB40" s="1" t="s">
        <v>1</v>
      </c>
      <c r="AC40" s="27">
        <f t="shared" si="16"/>
        <v>18</v>
      </c>
      <c r="AD40" s="30" t="s">
        <v>1</v>
      </c>
      <c r="AH40" s="28" t="s">
        <v>76</v>
      </c>
      <c r="AI40" s="29">
        <f>AI4*AI5</f>
        <v>4.5</v>
      </c>
      <c r="AJ40" s="1" t="s">
        <v>1</v>
      </c>
      <c r="AK40" s="27">
        <f t="shared" si="17"/>
        <v>4.5</v>
      </c>
      <c r="AL40" s="30" t="s">
        <v>1</v>
      </c>
      <c r="AN40" s="1" t="s">
        <v>75</v>
      </c>
      <c r="AO40" s="97">
        <f>U40+AC40+AK40</f>
        <v>180</v>
      </c>
      <c r="AP40" s="18" t="s">
        <v>1</v>
      </c>
    </row>
    <row r="41" spans="1:42" x14ac:dyDescent="0.2">
      <c r="A41" s="1">
        <v>14</v>
      </c>
      <c r="B41" s="1" t="s">
        <v>47</v>
      </c>
      <c r="C41" s="29"/>
      <c r="E41" s="22"/>
      <c r="F41" s="30"/>
      <c r="J41" s="1" t="s">
        <v>47</v>
      </c>
      <c r="K41" s="29"/>
      <c r="M41" s="27"/>
      <c r="N41" s="30"/>
      <c r="R41" s="1" t="s">
        <v>47</v>
      </c>
      <c r="S41" s="29"/>
      <c r="U41" s="27"/>
      <c r="V41" s="30"/>
      <c r="Z41" s="1" t="s">
        <v>47</v>
      </c>
      <c r="AA41" s="29"/>
      <c r="AC41" s="27"/>
      <c r="AD41" s="30"/>
      <c r="AH41" s="1" t="s">
        <v>47</v>
      </c>
      <c r="AI41" s="29"/>
      <c r="AK41" s="27"/>
      <c r="AL41" s="30"/>
      <c r="AO41" s="97"/>
      <c r="AP41" s="18"/>
    </row>
    <row r="42" spans="1:42" x14ac:dyDescent="0.2">
      <c r="B42" s="8" t="s">
        <v>48</v>
      </c>
      <c r="C42" s="29">
        <f>C14*C10*(0.15*0.15*0.2)</f>
        <v>1.7999999999999999E-2</v>
      </c>
      <c r="D42" s="1" t="s">
        <v>6</v>
      </c>
      <c r="E42" s="22">
        <f t="shared" si="0"/>
        <v>0.68399999999999994</v>
      </c>
      <c r="F42" s="30" t="s">
        <v>6</v>
      </c>
      <c r="J42" s="8" t="s">
        <v>48</v>
      </c>
      <c r="K42" s="29">
        <f>K14*K10*(0.15*0.15*0.2)</f>
        <v>1.7999999999999999E-2</v>
      </c>
      <c r="L42" s="1" t="s">
        <v>6</v>
      </c>
      <c r="M42" s="27">
        <f t="shared" ref="M42:M44" si="18">K42*O$15</f>
        <v>0.21599999999999997</v>
      </c>
      <c r="N42" s="30" t="s">
        <v>6</v>
      </c>
      <c r="R42" s="8" t="s">
        <v>48</v>
      </c>
      <c r="S42" s="29">
        <f>S14*S10*(0.15*0.15*0.2)</f>
        <v>0</v>
      </c>
      <c r="T42" s="1" t="s">
        <v>6</v>
      </c>
      <c r="U42" s="27">
        <f t="shared" ref="U42:U44" si="19">S42*W$15</f>
        <v>0</v>
      </c>
      <c r="V42" s="30" t="s">
        <v>6</v>
      </c>
      <c r="Z42" s="8" t="s">
        <v>48</v>
      </c>
      <c r="AA42" s="29">
        <f>AA14*AA10*(0.15*0.15*0.2)</f>
        <v>1.7999999999999999E-2</v>
      </c>
      <c r="AB42" s="1" t="s">
        <v>6</v>
      </c>
      <c r="AC42" s="27">
        <f t="shared" ref="AC42:AC44" si="20">AA42*AE$15</f>
        <v>7.1999999999999995E-2</v>
      </c>
      <c r="AD42" s="30" t="s">
        <v>6</v>
      </c>
      <c r="AH42" s="8" t="s">
        <v>48</v>
      </c>
      <c r="AI42" s="29">
        <f>AI14*AI10*(0.15*0.15*0.2)</f>
        <v>1.7999999999999999E-2</v>
      </c>
      <c r="AJ42" s="1" t="s">
        <v>6</v>
      </c>
      <c r="AK42" s="27">
        <f t="shared" ref="AK42:AK44" si="21">AI42*AM$15</f>
        <v>1.7999999999999999E-2</v>
      </c>
      <c r="AL42" s="30" t="s">
        <v>6</v>
      </c>
      <c r="AN42" s="1" t="s">
        <v>75</v>
      </c>
      <c r="AO42" s="97">
        <f>U42+AC42+AK42</f>
        <v>0.09</v>
      </c>
      <c r="AP42" s="18" t="s">
        <v>6</v>
      </c>
    </row>
    <row r="43" spans="1:42" x14ac:dyDescent="0.2">
      <c r="B43" s="8" t="s">
        <v>49</v>
      </c>
      <c r="C43" s="29">
        <f>C10*C11*C12*0.075</f>
        <v>2.7E-2</v>
      </c>
      <c r="D43" s="1" t="s">
        <v>6</v>
      </c>
      <c r="E43" s="22">
        <f t="shared" si="0"/>
        <v>1.026</v>
      </c>
      <c r="F43" s="30" t="s">
        <v>6</v>
      </c>
      <c r="J43" s="8" t="s">
        <v>49</v>
      </c>
      <c r="K43" s="29">
        <f>K10*K11*K12*0.075</f>
        <v>2.7E-2</v>
      </c>
      <c r="L43" s="1" t="s">
        <v>6</v>
      </c>
      <c r="M43" s="27">
        <f t="shared" si="18"/>
        <v>0.32400000000000001</v>
      </c>
      <c r="N43" s="30" t="s">
        <v>6</v>
      </c>
      <c r="R43" s="8" t="s">
        <v>49</v>
      </c>
      <c r="S43" s="29">
        <f>S10*S11*S12*0.075</f>
        <v>0</v>
      </c>
      <c r="T43" s="1" t="s">
        <v>6</v>
      </c>
      <c r="U43" s="27">
        <f t="shared" si="19"/>
        <v>0</v>
      </c>
      <c r="V43" s="30" t="s">
        <v>6</v>
      </c>
      <c r="Z43" s="8" t="s">
        <v>49</v>
      </c>
      <c r="AA43" s="29">
        <f>AA10*AA11*AA12*0.075</f>
        <v>9.375E-2</v>
      </c>
      <c r="AB43" s="1" t="s">
        <v>6</v>
      </c>
      <c r="AC43" s="27">
        <f t="shared" si="20"/>
        <v>0.375</v>
      </c>
      <c r="AD43" s="30" t="s">
        <v>6</v>
      </c>
      <c r="AH43" s="8" t="s">
        <v>49</v>
      </c>
      <c r="AI43" s="29">
        <f>AI10*AI11*AI12*0.075</f>
        <v>9.375E-2</v>
      </c>
      <c r="AJ43" s="1" t="s">
        <v>6</v>
      </c>
      <c r="AK43" s="27">
        <f t="shared" si="21"/>
        <v>9.375E-2</v>
      </c>
      <c r="AL43" s="30" t="s">
        <v>6</v>
      </c>
      <c r="AN43" s="1" t="s">
        <v>75</v>
      </c>
      <c r="AO43" s="97">
        <f>U43+AC43+AK43</f>
        <v>0.46875</v>
      </c>
      <c r="AP43" s="18" t="s">
        <v>6</v>
      </c>
    </row>
    <row r="44" spans="1:42" x14ac:dyDescent="0.2">
      <c r="A44" s="1">
        <v>15</v>
      </c>
      <c r="B44" s="1" t="s">
        <v>50</v>
      </c>
      <c r="C44" s="1">
        <f>(C11*2)+(C12*2)</f>
        <v>2.4</v>
      </c>
      <c r="D44" s="1" t="s">
        <v>11</v>
      </c>
      <c r="E44" s="27">
        <f t="shared" si="0"/>
        <v>91.2</v>
      </c>
      <c r="F44" s="30" t="s">
        <v>11</v>
      </c>
      <c r="J44" s="1" t="s">
        <v>50</v>
      </c>
      <c r="K44" s="1">
        <f>(K11*2)+(K12*2)</f>
        <v>2.4</v>
      </c>
      <c r="L44" s="1" t="s">
        <v>11</v>
      </c>
      <c r="M44" s="27">
        <f t="shared" si="18"/>
        <v>28.799999999999997</v>
      </c>
      <c r="N44" s="30" t="s">
        <v>11</v>
      </c>
      <c r="R44" s="1" t="s">
        <v>50</v>
      </c>
      <c r="S44" s="1">
        <f>(S11*2)+(S12*2)</f>
        <v>0</v>
      </c>
      <c r="T44" s="1" t="s">
        <v>11</v>
      </c>
      <c r="U44" s="27">
        <f t="shared" si="19"/>
        <v>0</v>
      </c>
      <c r="V44" s="30" t="s">
        <v>11</v>
      </c>
      <c r="Z44" s="1" t="s">
        <v>50</v>
      </c>
      <c r="AA44" s="1">
        <f>(AA11*2)+(AA12*2)</f>
        <v>6</v>
      </c>
      <c r="AB44" s="1" t="s">
        <v>11</v>
      </c>
      <c r="AC44" s="27">
        <f t="shared" si="20"/>
        <v>24</v>
      </c>
      <c r="AD44" s="30" t="s">
        <v>11</v>
      </c>
      <c r="AH44" s="1" t="s">
        <v>50</v>
      </c>
      <c r="AI44" s="1">
        <f>(AI11*2)+(AI12*2)</f>
        <v>6</v>
      </c>
      <c r="AJ44" s="1" t="s">
        <v>11</v>
      </c>
      <c r="AK44" s="27">
        <f t="shared" si="21"/>
        <v>6</v>
      </c>
      <c r="AL44" s="30" t="s">
        <v>11</v>
      </c>
      <c r="AN44" s="1" t="s">
        <v>75</v>
      </c>
      <c r="AO44" s="97">
        <f>U44+AC44+AK44</f>
        <v>30</v>
      </c>
      <c r="AP44" s="18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AD42"/>
  <sheetViews>
    <sheetView topLeftCell="B1" zoomScale="115" zoomScaleNormal="115" workbookViewId="0">
      <selection activeCell="P21" sqref="P21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" style="1" customWidth="1"/>
    <col min="4" max="4" width="2.710937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0" width="7.28515625" style="1" customWidth="1"/>
    <col min="11" max="26" width="7.5703125" style="1" customWidth="1"/>
    <col min="27" max="27" width="4.28515625" style="1" customWidth="1"/>
    <col min="28" max="28" width="19.140625" style="1" bestFit="1" customWidth="1"/>
    <col min="29" max="29" width="11.28515625" style="1" customWidth="1"/>
    <col min="30" max="16384" width="8.85546875" style="1"/>
  </cols>
  <sheetData>
    <row r="1" spans="2:29" x14ac:dyDescent="0.2">
      <c r="B1" s="2" t="s">
        <v>69</v>
      </c>
    </row>
    <row r="3" spans="2:29" ht="12" thickBot="1" x14ac:dyDescent="0.25"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9" ht="3" customHeight="1" x14ac:dyDescent="0.2">
      <c r="I4" s="66"/>
      <c r="J4" s="67"/>
      <c r="K4" s="67"/>
      <c r="L4" s="68"/>
      <c r="M4" s="67"/>
      <c r="N4" s="67"/>
      <c r="O4" s="67"/>
      <c r="P4" s="83"/>
      <c r="Q4" s="67"/>
      <c r="R4" s="67"/>
      <c r="S4" s="67"/>
      <c r="T4" s="67"/>
      <c r="U4" s="67"/>
      <c r="V4" s="67"/>
      <c r="W4" s="67"/>
      <c r="X4" s="67"/>
      <c r="Y4" s="67"/>
      <c r="Z4" s="69"/>
    </row>
    <row r="5" spans="2:29" s="4" customFormat="1" ht="27" customHeight="1" x14ac:dyDescent="0.2">
      <c r="E5" s="1"/>
      <c r="F5" s="4">
        <v>5</v>
      </c>
      <c r="I5" s="70"/>
      <c r="J5" s="39"/>
      <c r="K5" s="44"/>
      <c r="L5" s="45"/>
      <c r="M5" s="88"/>
      <c r="N5" s="84"/>
      <c r="O5" s="88"/>
      <c r="P5" s="84"/>
      <c r="Q5" s="39"/>
      <c r="R5" s="40"/>
      <c r="S5" s="39"/>
      <c r="T5" s="49"/>
      <c r="U5" s="52"/>
      <c r="V5" s="58"/>
      <c r="W5" s="61"/>
      <c r="X5" s="40"/>
      <c r="Y5" s="39"/>
      <c r="Z5" s="71"/>
    </row>
    <row r="6" spans="2:29" s="4" customFormat="1" ht="27" customHeight="1" x14ac:dyDescent="0.25">
      <c r="F6" s="4">
        <v>5</v>
      </c>
      <c r="I6" s="72"/>
      <c r="J6" s="34"/>
      <c r="K6" s="45"/>
      <c r="L6" s="46"/>
      <c r="M6" s="89"/>
      <c r="N6" s="85"/>
      <c r="O6" s="89"/>
      <c r="P6" s="85"/>
      <c r="Q6" s="37"/>
      <c r="R6" s="65"/>
      <c r="S6" s="37"/>
      <c r="T6" s="50"/>
      <c r="U6" s="53"/>
      <c r="V6" s="59"/>
      <c r="W6" s="62"/>
      <c r="X6" s="65"/>
      <c r="Y6" s="37"/>
      <c r="Z6" s="56"/>
    </row>
    <row r="7" spans="2:29" s="4" customFormat="1" ht="27" customHeight="1" x14ac:dyDescent="0.25">
      <c r="E7" s="48">
        <f>SUM(F5:F7)</f>
        <v>15</v>
      </c>
      <c r="F7" s="4">
        <v>5</v>
      </c>
      <c r="I7" s="73"/>
      <c r="J7" s="35"/>
      <c r="K7" s="46" t="s">
        <v>52</v>
      </c>
      <c r="L7" s="55"/>
      <c r="M7" s="90"/>
      <c r="N7" s="86"/>
      <c r="O7" s="90"/>
      <c r="P7" s="86"/>
      <c r="Q7" s="38"/>
      <c r="R7" s="36"/>
      <c r="S7" s="38"/>
      <c r="T7" s="51"/>
      <c r="U7" s="54"/>
      <c r="V7" s="60"/>
      <c r="W7" s="63"/>
      <c r="X7" s="36"/>
      <c r="Y7" s="38"/>
      <c r="Z7" s="57"/>
    </row>
    <row r="8" spans="2:29" s="4" customFormat="1" ht="3.6" customHeight="1" thickBot="1" x14ac:dyDescent="0.3">
      <c r="I8" s="74"/>
      <c r="J8" s="75"/>
      <c r="K8" s="75"/>
      <c r="L8" s="76"/>
      <c r="M8" s="91"/>
      <c r="N8" s="87"/>
      <c r="O8" s="75"/>
      <c r="P8" s="87"/>
      <c r="Q8" s="77"/>
      <c r="R8" s="75"/>
      <c r="S8" s="77"/>
      <c r="T8" s="78"/>
      <c r="U8" s="79"/>
      <c r="V8" s="80"/>
      <c r="W8" s="81"/>
      <c r="X8" s="75"/>
      <c r="Y8" s="75"/>
      <c r="Z8" s="82"/>
    </row>
    <row r="10" spans="2:29" x14ac:dyDescent="0.2"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</row>
    <row r="11" spans="2:29" s="2" customFormat="1" x14ac:dyDescent="0.2">
      <c r="Q11" s="47"/>
      <c r="R11" s="47">
        <f>SUM(I10:Z10)</f>
        <v>90</v>
      </c>
      <c r="S11" s="47"/>
      <c r="T11" s="47"/>
      <c r="U11" s="47"/>
      <c r="V11" s="47"/>
      <c r="W11" s="47"/>
      <c r="X11" s="47"/>
    </row>
    <row r="12" spans="2:29" x14ac:dyDescent="0.2"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2:29" x14ac:dyDescent="0.2">
      <c r="B13" s="2" t="s">
        <v>70</v>
      </c>
      <c r="C13" s="92">
        <v>175</v>
      </c>
      <c r="D13" s="93" t="s">
        <v>71</v>
      </c>
    </row>
    <row r="14" spans="2:29" x14ac:dyDescent="0.2">
      <c r="G14" s="43"/>
      <c r="H14" s="3"/>
      <c r="I14" s="43"/>
      <c r="J14" s="5"/>
      <c r="AC14" s="18" t="s">
        <v>33</v>
      </c>
    </row>
    <row r="15" spans="2:29" x14ac:dyDescent="0.2">
      <c r="F15" s="1" t="s">
        <v>0</v>
      </c>
      <c r="G15" s="43">
        <f>E7</f>
        <v>15</v>
      </c>
      <c r="H15" s="3"/>
      <c r="I15" s="43">
        <f>R11</f>
        <v>90</v>
      </c>
      <c r="J15" s="5">
        <f>I15*G15</f>
        <v>1350</v>
      </c>
      <c r="K15" s="1" t="s">
        <v>1</v>
      </c>
      <c r="AC15" s="19"/>
    </row>
    <row r="16" spans="2:29" x14ac:dyDescent="0.2">
      <c r="J16" s="7"/>
      <c r="AC16" s="19"/>
    </row>
    <row r="17" spans="1:30" x14ac:dyDescent="0.2">
      <c r="A17" s="1">
        <v>1</v>
      </c>
      <c r="B17" s="1" t="s">
        <v>2</v>
      </c>
      <c r="J17" s="7">
        <f>J15*1.1</f>
        <v>1485.0000000000002</v>
      </c>
      <c r="K17" s="1" t="s">
        <v>1</v>
      </c>
      <c r="AB17" s="1" t="s">
        <v>75</v>
      </c>
      <c r="AC17" s="24">
        <f>J17</f>
        <v>1485.0000000000002</v>
      </c>
      <c r="AD17" s="1" t="s">
        <v>1</v>
      </c>
    </row>
    <row r="18" spans="1:30" x14ac:dyDescent="0.2">
      <c r="J18" s="7"/>
      <c r="AC18" s="24"/>
    </row>
    <row r="19" spans="1:30" x14ac:dyDescent="0.2">
      <c r="A19" s="1">
        <v>2</v>
      </c>
      <c r="B19" s="1" t="s">
        <v>3</v>
      </c>
      <c r="J19" s="7">
        <f>(2*I15)+(2*G15)</f>
        <v>210</v>
      </c>
      <c r="K19" s="1" t="s">
        <v>11</v>
      </c>
      <c r="AB19" s="96" t="s">
        <v>75</v>
      </c>
      <c r="AC19" s="24">
        <f>J19</f>
        <v>210</v>
      </c>
      <c r="AD19" s="1" t="s">
        <v>11</v>
      </c>
    </row>
    <row r="20" spans="1:30" x14ac:dyDescent="0.2">
      <c r="J20" s="7"/>
      <c r="AC20" s="24"/>
    </row>
    <row r="21" spans="1:30" x14ac:dyDescent="0.2">
      <c r="A21" s="1">
        <v>3</v>
      </c>
      <c r="B21" s="1" t="s">
        <v>5</v>
      </c>
      <c r="J21" s="7">
        <f>J15*(C13/1000)</f>
        <v>236.24999999999997</v>
      </c>
      <c r="K21" s="1" t="s">
        <v>6</v>
      </c>
      <c r="AB21" s="1" t="s">
        <v>75</v>
      </c>
      <c r="AC21" s="24">
        <f>J21</f>
        <v>236.24999999999997</v>
      </c>
      <c r="AD21" s="1" t="s">
        <v>6</v>
      </c>
    </row>
    <row r="22" spans="1:30" x14ac:dyDescent="0.2">
      <c r="J22" s="7"/>
      <c r="AC22" s="24"/>
    </row>
    <row r="23" spans="1:30" x14ac:dyDescent="0.2">
      <c r="A23" s="1">
        <v>4</v>
      </c>
      <c r="B23" s="12" t="s">
        <v>16</v>
      </c>
      <c r="C23" s="12"/>
      <c r="D23" s="12"/>
      <c r="E23" s="12"/>
      <c r="J23" s="7">
        <f>J15</f>
        <v>1350</v>
      </c>
      <c r="K23" s="8" t="s">
        <v>1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AB23" s="96" t="s">
        <v>75</v>
      </c>
      <c r="AC23" s="24">
        <f>J23</f>
        <v>1350</v>
      </c>
      <c r="AD23" s="8" t="s">
        <v>1</v>
      </c>
    </row>
    <row r="24" spans="1:30" x14ac:dyDescent="0.2">
      <c r="J24" s="7"/>
      <c r="AC24" s="24"/>
    </row>
    <row r="25" spans="1:30" x14ac:dyDescent="0.2">
      <c r="A25" s="1">
        <v>5</v>
      </c>
      <c r="B25" s="1" t="s">
        <v>7</v>
      </c>
      <c r="J25" s="7">
        <f>J15</f>
        <v>1350</v>
      </c>
      <c r="K25" s="1" t="s">
        <v>1</v>
      </c>
      <c r="AB25" s="1" t="s">
        <v>75</v>
      </c>
      <c r="AC25" s="24">
        <f>J25</f>
        <v>1350</v>
      </c>
      <c r="AD25" s="1" t="s">
        <v>1</v>
      </c>
    </row>
    <row r="26" spans="1:30" x14ac:dyDescent="0.2">
      <c r="J26" s="7"/>
      <c r="AC26" s="24"/>
    </row>
    <row r="27" spans="1:30" x14ac:dyDescent="0.2">
      <c r="A27" s="1">
        <v>6</v>
      </c>
      <c r="B27" s="1" t="s">
        <v>8</v>
      </c>
      <c r="J27" s="7">
        <f>J25</f>
        <v>1350</v>
      </c>
      <c r="K27" s="1" t="s">
        <v>1</v>
      </c>
      <c r="AB27" s="1" t="s">
        <v>75</v>
      </c>
      <c r="AC27" s="24">
        <f>J27</f>
        <v>1350</v>
      </c>
      <c r="AD27" s="1" t="s">
        <v>1</v>
      </c>
    </row>
    <row r="28" spans="1:30" x14ac:dyDescent="0.2">
      <c r="J28" s="7"/>
      <c r="AC28" s="24"/>
    </row>
    <row r="29" spans="1:30" x14ac:dyDescent="0.2">
      <c r="A29" s="1">
        <v>7</v>
      </c>
      <c r="B29" s="16" t="s">
        <v>12</v>
      </c>
      <c r="C29" s="16"/>
      <c r="D29" s="16"/>
      <c r="E29" s="16"/>
      <c r="F29" s="16"/>
      <c r="G29" s="16"/>
      <c r="H29" s="16"/>
      <c r="I29" s="16"/>
      <c r="J29" s="42">
        <f>J27+(6*E7*3.5)+(I15*3.5)</f>
        <v>1980</v>
      </c>
      <c r="K29" s="16" t="s">
        <v>1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AB29" s="96" t="s">
        <v>75</v>
      </c>
      <c r="AC29" s="24">
        <f>J29</f>
        <v>1980</v>
      </c>
      <c r="AD29" s="16" t="s">
        <v>1</v>
      </c>
    </row>
    <row r="30" spans="1:30" x14ac:dyDescent="0.2">
      <c r="J30" s="10"/>
      <c r="AC30" s="24"/>
    </row>
    <row r="31" spans="1:30" x14ac:dyDescent="0.2">
      <c r="B31" s="1" t="s">
        <v>10</v>
      </c>
      <c r="AC31" s="24"/>
    </row>
    <row r="32" spans="1:30" x14ac:dyDescent="0.2">
      <c r="AC32" s="24"/>
    </row>
    <row r="33" spans="1:30" x14ac:dyDescent="0.2">
      <c r="A33" s="1">
        <v>8</v>
      </c>
      <c r="B33" s="9" t="s">
        <v>15</v>
      </c>
      <c r="C33" s="9"/>
      <c r="D33" s="9"/>
      <c r="E33" s="9"/>
      <c r="J33" s="6">
        <f>(I15*2)+(2*E7)</f>
        <v>210</v>
      </c>
      <c r="K33" s="1" t="s">
        <v>11</v>
      </c>
      <c r="AB33" s="1" t="s">
        <v>75</v>
      </c>
      <c r="AC33" s="24">
        <f>J33</f>
        <v>210</v>
      </c>
      <c r="AD33" s="1" t="s">
        <v>11</v>
      </c>
    </row>
    <row r="34" spans="1:30" x14ac:dyDescent="0.2">
      <c r="B34" s="8"/>
      <c r="C34" s="8"/>
      <c r="D34" s="8"/>
      <c r="E34" s="8"/>
      <c r="AC34" s="24"/>
    </row>
    <row r="35" spans="1:30" x14ac:dyDescent="0.2">
      <c r="A35" s="1">
        <v>9</v>
      </c>
      <c r="B35" s="32" t="s">
        <v>13</v>
      </c>
      <c r="C35" s="32"/>
      <c r="D35" s="32"/>
      <c r="E35" s="32"/>
      <c r="F35" s="12"/>
      <c r="G35" s="12"/>
      <c r="H35" s="12"/>
      <c r="I35" s="12"/>
      <c r="J35" s="33">
        <f>(18*E7)</f>
        <v>270</v>
      </c>
      <c r="K35" s="12" t="s">
        <v>11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AB35" s="1" t="s">
        <v>75</v>
      </c>
      <c r="AC35" s="24">
        <f>J35</f>
        <v>270</v>
      </c>
      <c r="AD35" s="12" t="s">
        <v>11</v>
      </c>
    </row>
    <row r="36" spans="1:30" x14ac:dyDescent="0.2">
      <c r="B36" s="9"/>
      <c r="C36" s="9"/>
      <c r="D36" s="9"/>
      <c r="E36" s="9"/>
      <c r="J36" s="6"/>
      <c r="AC36" s="24"/>
    </row>
    <row r="37" spans="1:30" x14ac:dyDescent="0.2">
      <c r="A37" s="1">
        <v>10</v>
      </c>
      <c r="B37" s="31" t="s">
        <v>14</v>
      </c>
      <c r="C37" s="31"/>
      <c r="D37" s="31"/>
      <c r="E37" s="31"/>
      <c r="J37" s="6">
        <f>(2*I15)</f>
        <v>180</v>
      </c>
      <c r="K37" s="1" t="s">
        <v>11</v>
      </c>
      <c r="AB37" s="96" t="s">
        <v>75</v>
      </c>
      <c r="AC37" s="24">
        <f>J37</f>
        <v>180</v>
      </c>
      <c r="AD37" s="1" t="s">
        <v>11</v>
      </c>
    </row>
    <row r="38" spans="1:30" x14ac:dyDescent="0.2">
      <c r="AC38" s="64"/>
    </row>
    <row r="39" spans="1:30" x14ac:dyDescent="0.2">
      <c r="AC39" s="64"/>
    </row>
    <row r="40" spans="1:30" x14ac:dyDescent="0.2">
      <c r="AC40" s="64"/>
    </row>
    <row r="41" spans="1:30" x14ac:dyDescent="0.2">
      <c r="AC41" s="64"/>
    </row>
    <row r="42" spans="1:30" x14ac:dyDescent="0.2">
      <c r="AC42" s="64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21D5-08AE-4195-916F-01868CD79A2A}">
  <dimension ref="B2:E16"/>
  <sheetViews>
    <sheetView workbookViewId="0">
      <selection activeCell="E16" sqref="E16"/>
    </sheetView>
  </sheetViews>
  <sheetFormatPr defaultRowHeight="15" x14ac:dyDescent="0.25"/>
  <cols>
    <col min="2" max="2" width="24.28515625" customWidth="1"/>
  </cols>
  <sheetData>
    <row r="2" spans="2:5" x14ac:dyDescent="0.25">
      <c r="B2" s="2" t="s">
        <v>72</v>
      </c>
      <c r="C2" s="1"/>
      <c r="D2" s="1"/>
    </row>
    <row r="3" spans="2:5" x14ac:dyDescent="0.25">
      <c r="B3" s="1"/>
      <c r="C3" s="1"/>
      <c r="D3" s="1"/>
    </row>
    <row r="4" spans="2:5" x14ac:dyDescent="0.25">
      <c r="B4" s="1" t="s">
        <v>54</v>
      </c>
      <c r="C4" s="1"/>
      <c r="D4" s="1"/>
    </row>
    <row r="5" spans="2:5" x14ac:dyDescent="0.25">
      <c r="B5" s="1"/>
      <c r="C5" s="1"/>
      <c r="D5" s="1"/>
    </row>
    <row r="6" spans="2:5" x14ac:dyDescent="0.25">
      <c r="B6" s="4" t="s">
        <v>55</v>
      </c>
      <c r="C6" s="4">
        <v>210</v>
      </c>
      <c r="D6" s="4" t="s">
        <v>11</v>
      </c>
    </row>
    <row r="7" spans="2:5" x14ac:dyDescent="0.25">
      <c r="B7" s="4" t="s">
        <v>56</v>
      </c>
      <c r="C7" s="4">
        <v>1.2</v>
      </c>
      <c r="D7" s="4" t="s">
        <v>11</v>
      </c>
    </row>
    <row r="8" spans="2:5" x14ac:dyDescent="0.25">
      <c r="B8" s="4" t="s">
        <v>0</v>
      </c>
      <c r="C8" s="4">
        <f>C7*C6</f>
        <v>252</v>
      </c>
      <c r="D8" s="4" t="s">
        <v>1</v>
      </c>
    </row>
    <row r="9" spans="2:5" x14ac:dyDescent="0.25">
      <c r="B9" s="4"/>
      <c r="C9" s="4"/>
      <c r="D9" s="4"/>
    </row>
    <row r="10" spans="2:5" x14ac:dyDescent="0.25">
      <c r="B10" s="4" t="s">
        <v>57</v>
      </c>
      <c r="C10" s="4">
        <f>C8</f>
        <v>252</v>
      </c>
      <c r="D10" s="4" t="s">
        <v>1</v>
      </c>
      <c r="E10" t="s">
        <v>75</v>
      </c>
    </row>
    <row r="11" spans="2:5" x14ac:dyDescent="0.25">
      <c r="B11" s="4" t="s">
        <v>58</v>
      </c>
      <c r="C11" s="4">
        <f>C10*2</f>
        <v>504</v>
      </c>
      <c r="D11" s="4" t="s">
        <v>1</v>
      </c>
      <c r="E11" t="s">
        <v>75</v>
      </c>
    </row>
    <row r="12" spans="2:5" x14ac:dyDescent="0.25">
      <c r="B12" s="4" t="s">
        <v>59</v>
      </c>
      <c r="C12" s="4">
        <f>C11</f>
        <v>504</v>
      </c>
      <c r="D12" s="4" t="s">
        <v>6</v>
      </c>
      <c r="E12" t="s">
        <v>75</v>
      </c>
    </row>
    <row r="13" spans="2:5" x14ac:dyDescent="0.25">
      <c r="B13" s="4" t="s">
        <v>60</v>
      </c>
      <c r="C13" s="4">
        <f>(C6)</f>
        <v>210</v>
      </c>
      <c r="D13" s="4" t="s">
        <v>11</v>
      </c>
      <c r="E13" s="95"/>
    </row>
    <row r="14" spans="2:5" x14ac:dyDescent="0.25">
      <c r="B14" s="4"/>
      <c r="C14" s="4"/>
      <c r="D14" s="4"/>
    </row>
    <row r="15" spans="2:5" x14ac:dyDescent="0.25">
      <c r="B15" s="4" t="s">
        <v>61</v>
      </c>
      <c r="C15" s="4">
        <v>4</v>
      </c>
      <c r="D15" s="4" t="s">
        <v>9</v>
      </c>
      <c r="E15" t="s">
        <v>75</v>
      </c>
    </row>
    <row r="16" spans="2:5" x14ac:dyDescent="0.25">
      <c r="B16" s="4" t="s">
        <v>62</v>
      </c>
      <c r="C16" s="4">
        <v>6</v>
      </c>
      <c r="D16" s="4" t="s">
        <v>9</v>
      </c>
      <c r="E16" s="98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E77E-9CA8-48EF-92C0-ED0DDADE9714}">
  <dimension ref="B2:J44"/>
  <sheetViews>
    <sheetView tabSelected="1" topLeftCell="A16" workbookViewId="0">
      <selection activeCell="H50" sqref="H50"/>
    </sheetView>
  </sheetViews>
  <sheetFormatPr defaultRowHeight="15" x14ac:dyDescent="0.25"/>
  <cols>
    <col min="2" max="2" width="25.28515625" bestFit="1" customWidth="1"/>
    <col min="3" max="3" width="8.28515625" customWidth="1"/>
  </cols>
  <sheetData>
    <row r="2" spans="2:10" x14ac:dyDescent="0.25">
      <c r="B2" s="2" t="s">
        <v>74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13" t="s">
        <v>21</v>
      </c>
      <c r="C4" s="14">
        <v>0</v>
      </c>
      <c r="D4" s="13" t="s">
        <v>11</v>
      </c>
      <c r="E4" s="1"/>
      <c r="F4" s="1"/>
      <c r="G4" s="1"/>
      <c r="H4" s="1"/>
      <c r="I4" s="1"/>
      <c r="J4" s="1"/>
    </row>
    <row r="5" spans="2:10" x14ac:dyDescent="0.25">
      <c r="B5" s="13" t="s">
        <v>22</v>
      </c>
      <c r="C5" s="15">
        <v>0</v>
      </c>
      <c r="D5" s="13" t="s">
        <v>11</v>
      </c>
      <c r="E5" s="1"/>
      <c r="F5" s="1"/>
      <c r="G5" s="1"/>
      <c r="H5" s="1"/>
      <c r="I5" s="1"/>
      <c r="J5" s="1"/>
    </row>
    <row r="6" spans="2:10" x14ac:dyDescent="0.25">
      <c r="B6" s="13" t="s">
        <v>23</v>
      </c>
      <c r="C6" s="14">
        <v>0</v>
      </c>
      <c r="D6" s="13" t="s">
        <v>11</v>
      </c>
      <c r="E6" s="1"/>
      <c r="F6" s="1"/>
      <c r="G6" s="1"/>
      <c r="H6" s="1"/>
      <c r="I6" s="1"/>
      <c r="J6" s="1"/>
    </row>
    <row r="7" spans="2:10" x14ac:dyDescent="0.25">
      <c r="B7" s="13" t="s">
        <v>24</v>
      </c>
      <c r="C7" s="14">
        <v>0</v>
      </c>
      <c r="D7" s="13" t="s">
        <v>11</v>
      </c>
      <c r="E7" s="1"/>
      <c r="F7" s="1"/>
      <c r="G7" s="1"/>
      <c r="H7" s="1"/>
      <c r="I7" s="1"/>
      <c r="J7" s="1"/>
    </row>
    <row r="8" spans="2:10" x14ac:dyDescent="0.25">
      <c r="B8" s="13" t="s">
        <v>25</v>
      </c>
      <c r="C8" s="14">
        <v>0</v>
      </c>
      <c r="D8" s="13" t="s">
        <v>11</v>
      </c>
      <c r="E8" s="1"/>
      <c r="F8" s="1"/>
      <c r="G8" s="1"/>
      <c r="H8" s="1"/>
      <c r="I8" s="1"/>
      <c r="J8" s="1"/>
    </row>
    <row r="9" spans="2:10" x14ac:dyDescent="0.25">
      <c r="B9" s="13"/>
      <c r="C9" s="14"/>
      <c r="D9" s="13"/>
      <c r="E9" s="1"/>
      <c r="F9" s="1"/>
      <c r="G9" s="1"/>
      <c r="H9" s="1"/>
      <c r="I9" s="1"/>
      <c r="J9" s="1"/>
    </row>
    <row r="10" spans="2:10" x14ac:dyDescent="0.25">
      <c r="B10" s="13" t="s">
        <v>26</v>
      </c>
      <c r="C10" s="14">
        <v>1</v>
      </c>
      <c r="D10" s="13" t="s">
        <v>9</v>
      </c>
      <c r="E10" s="1"/>
      <c r="F10" s="1"/>
      <c r="G10" s="1"/>
      <c r="H10" s="1"/>
      <c r="I10" s="1"/>
      <c r="J10" s="1"/>
    </row>
    <row r="11" spans="2:10" x14ac:dyDescent="0.25">
      <c r="B11" s="13" t="s">
        <v>27</v>
      </c>
      <c r="C11" s="14">
        <v>1.25</v>
      </c>
      <c r="D11" s="13" t="s">
        <v>11</v>
      </c>
      <c r="E11" s="1"/>
      <c r="F11" s="1"/>
      <c r="G11" s="1"/>
      <c r="H11" s="1"/>
      <c r="I11" s="1"/>
      <c r="J11" s="1"/>
    </row>
    <row r="12" spans="2:10" x14ac:dyDescent="0.25">
      <c r="B12" s="13" t="s">
        <v>28</v>
      </c>
      <c r="C12" s="14">
        <v>2.5</v>
      </c>
      <c r="D12" s="13" t="s">
        <v>11</v>
      </c>
      <c r="E12" s="1"/>
      <c r="F12" s="1"/>
      <c r="G12" s="1"/>
      <c r="H12" s="1"/>
      <c r="I12" s="1"/>
      <c r="J12" s="1"/>
    </row>
    <row r="13" spans="2:10" x14ac:dyDescent="0.25">
      <c r="B13" s="13" t="s">
        <v>29</v>
      </c>
      <c r="C13" s="15">
        <v>0.25</v>
      </c>
      <c r="D13" s="13" t="s">
        <v>11</v>
      </c>
      <c r="E13" s="1"/>
      <c r="F13" s="1"/>
      <c r="G13" s="1"/>
      <c r="H13" s="1"/>
      <c r="I13" s="1"/>
      <c r="J13" s="1"/>
    </row>
    <row r="14" spans="2:10" x14ac:dyDescent="0.25">
      <c r="B14" s="13" t="s">
        <v>30</v>
      </c>
      <c r="C14" s="14">
        <v>8</v>
      </c>
      <c r="D14" s="13" t="s">
        <v>9</v>
      </c>
      <c r="E14" s="1"/>
      <c r="F14" s="1"/>
      <c r="G14" s="1"/>
      <c r="H14" s="1"/>
      <c r="I14" s="1"/>
      <c r="J14" s="1"/>
    </row>
    <row r="15" spans="2:10" x14ac:dyDescent="0.25">
      <c r="B15" s="13" t="s">
        <v>31</v>
      </c>
      <c r="C15" s="14">
        <v>115</v>
      </c>
      <c r="D15" s="13"/>
      <c r="E15" s="16" t="s">
        <v>32</v>
      </c>
      <c r="F15" s="16"/>
      <c r="G15" s="17">
        <v>8</v>
      </c>
      <c r="H15" s="12" t="s">
        <v>9</v>
      </c>
      <c r="I15" s="1"/>
      <c r="J15" s="1"/>
    </row>
    <row r="16" spans="2:10" x14ac:dyDescent="0.25">
      <c r="B16" s="13"/>
      <c r="C16" s="14"/>
      <c r="D16" s="13"/>
      <c r="E16" s="16"/>
      <c r="F16" s="16"/>
      <c r="G16" s="17"/>
      <c r="H16" s="12"/>
      <c r="I16" s="1"/>
      <c r="J16" s="1"/>
    </row>
    <row r="17" spans="2:10" x14ac:dyDescent="0.25">
      <c r="B17" s="12"/>
      <c r="C17" s="12"/>
      <c r="D17" s="12"/>
      <c r="E17" s="2" t="s">
        <v>33</v>
      </c>
      <c r="F17" s="1"/>
      <c r="G17" s="1"/>
      <c r="H17" s="1"/>
      <c r="I17" s="18" t="s">
        <v>33</v>
      </c>
      <c r="J17" s="19"/>
    </row>
    <row r="18" spans="2:10" x14ac:dyDescent="0.25">
      <c r="B18" s="12"/>
      <c r="C18" s="12"/>
      <c r="D18" s="12"/>
      <c r="E18" s="2"/>
      <c r="F18" s="1"/>
      <c r="G18" s="1"/>
      <c r="H18" s="1"/>
      <c r="I18" s="19"/>
      <c r="J18" s="19"/>
    </row>
    <row r="19" spans="2:10" x14ac:dyDescent="0.25">
      <c r="B19" s="20" t="s">
        <v>53</v>
      </c>
      <c r="C19" s="12"/>
      <c r="D19" s="12"/>
      <c r="E19" s="1"/>
      <c r="F19" s="1"/>
      <c r="G19" s="1"/>
      <c r="H19" s="1"/>
      <c r="I19" s="19"/>
      <c r="J19" s="19"/>
    </row>
    <row r="20" spans="2:10" x14ac:dyDescent="0.25">
      <c r="B20" s="12" t="s">
        <v>73</v>
      </c>
      <c r="C20" s="12">
        <v>0</v>
      </c>
      <c r="D20" s="12" t="s">
        <v>9</v>
      </c>
      <c r="E20" s="22"/>
      <c r="F20" s="23"/>
      <c r="G20" s="1"/>
      <c r="H20" s="1"/>
      <c r="I20" s="94">
        <f>C20</f>
        <v>0</v>
      </c>
      <c r="J20" s="25" t="s">
        <v>9</v>
      </c>
    </row>
    <row r="21" spans="2:10" x14ac:dyDescent="0.25">
      <c r="B21" s="12"/>
      <c r="C21" s="26"/>
      <c r="D21" s="12"/>
      <c r="E21" s="22"/>
      <c r="F21" s="23"/>
      <c r="G21" s="1"/>
      <c r="H21" s="1"/>
      <c r="I21" s="94"/>
      <c r="J21" s="25"/>
    </row>
    <row r="22" spans="2:10" x14ac:dyDescent="0.25">
      <c r="B22" s="20" t="s">
        <v>34</v>
      </c>
      <c r="C22" s="26"/>
      <c r="D22" s="12"/>
      <c r="E22" s="22"/>
      <c r="F22" s="23"/>
      <c r="G22" s="1"/>
      <c r="H22" s="1"/>
      <c r="I22" s="94"/>
      <c r="J22" s="25"/>
    </row>
    <row r="23" spans="2:10" x14ac:dyDescent="0.25">
      <c r="B23" s="12" t="s">
        <v>35</v>
      </c>
      <c r="C23" s="26">
        <f>(C4+C7)*(C5+C7)*(C6+C8)</f>
        <v>0</v>
      </c>
      <c r="D23" s="12" t="s">
        <v>6</v>
      </c>
      <c r="E23" s="27">
        <f t="shared" ref="E23:E44" si="0">C23*G$15</f>
        <v>0</v>
      </c>
      <c r="F23" s="23" t="s">
        <v>6</v>
      </c>
      <c r="G23" s="1"/>
      <c r="H23" s="1"/>
      <c r="I23" s="94">
        <f>E23</f>
        <v>0</v>
      </c>
      <c r="J23" s="25" t="s">
        <v>6</v>
      </c>
    </row>
    <row r="24" spans="2:10" x14ac:dyDescent="0.25">
      <c r="B24" s="12" t="s">
        <v>36</v>
      </c>
      <c r="C24" s="26">
        <f>C23-(C4*C5*C6)</f>
        <v>0</v>
      </c>
      <c r="D24" s="12" t="s">
        <v>6</v>
      </c>
      <c r="E24" s="27">
        <f t="shared" si="0"/>
        <v>0</v>
      </c>
      <c r="F24" s="23" t="s">
        <v>6</v>
      </c>
      <c r="G24" s="1"/>
      <c r="H24" s="1"/>
      <c r="I24" s="94">
        <f>E24</f>
        <v>0</v>
      </c>
      <c r="J24" s="25" t="s">
        <v>6</v>
      </c>
    </row>
    <row r="25" spans="2:10" x14ac:dyDescent="0.25">
      <c r="B25" s="12"/>
      <c r="C25" s="26"/>
      <c r="D25" s="12"/>
      <c r="E25" s="27"/>
      <c r="F25" s="23"/>
      <c r="G25" s="1"/>
      <c r="H25" s="1"/>
      <c r="I25" s="94"/>
      <c r="J25" s="25"/>
    </row>
    <row r="26" spans="2:10" x14ac:dyDescent="0.25">
      <c r="B26" s="20" t="s">
        <v>37</v>
      </c>
      <c r="C26" s="26"/>
      <c r="D26" s="12"/>
      <c r="E26" s="27"/>
      <c r="F26" s="23"/>
      <c r="G26" s="1"/>
      <c r="H26" s="1"/>
      <c r="I26" s="94"/>
      <c r="J26" s="25"/>
    </row>
    <row r="27" spans="2:10" x14ac:dyDescent="0.25">
      <c r="B27" s="12" t="s">
        <v>17</v>
      </c>
      <c r="C27" s="26"/>
      <c r="D27" s="12"/>
      <c r="E27" s="27"/>
      <c r="F27" s="23"/>
      <c r="G27" s="1"/>
      <c r="H27" s="1"/>
      <c r="I27" s="94"/>
      <c r="J27" s="25"/>
    </row>
    <row r="28" spans="2:10" x14ac:dyDescent="0.25">
      <c r="B28" s="11" t="s">
        <v>38</v>
      </c>
      <c r="C28" s="26">
        <f>(2*(C4*C6))+(2*(C5*C6))</f>
        <v>0</v>
      </c>
      <c r="D28" s="12" t="s">
        <v>1</v>
      </c>
      <c r="E28" s="27">
        <f t="shared" si="0"/>
        <v>0</v>
      </c>
      <c r="F28" s="23" t="s">
        <v>1</v>
      </c>
      <c r="G28" s="1"/>
      <c r="H28" s="1"/>
      <c r="I28" s="94">
        <f t="shared" ref="I28:I33" si="1">E28</f>
        <v>0</v>
      </c>
      <c r="J28" s="25" t="s">
        <v>1</v>
      </c>
    </row>
    <row r="29" spans="2:10" x14ac:dyDescent="0.25">
      <c r="B29" s="11" t="s">
        <v>39</v>
      </c>
      <c r="C29" s="26">
        <f>((2*(C11*C13))+((C12*C13)*2))*C10</f>
        <v>1.875</v>
      </c>
      <c r="D29" s="12" t="s">
        <v>1</v>
      </c>
      <c r="E29" s="27">
        <f t="shared" si="0"/>
        <v>15</v>
      </c>
      <c r="F29" s="23" t="s">
        <v>1</v>
      </c>
      <c r="G29" s="1"/>
      <c r="H29" s="1" t="s">
        <v>75</v>
      </c>
      <c r="I29" s="94">
        <f t="shared" si="1"/>
        <v>15</v>
      </c>
      <c r="J29" s="25" t="s">
        <v>1</v>
      </c>
    </row>
    <row r="30" spans="2:10" x14ac:dyDescent="0.25">
      <c r="B30" s="20" t="s">
        <v>40</v>
      </c>
      <c r="C30" s="26">
        <f>C14*C10</f>
        <v>8</v>
      </c>
      <c r="D30" s="12" t="s">
        <v>9</v>
      </c>
      <c r="E30" s="27">
        <f t="shared" si="0"/>
        <v>64</v>
      </c>
      <c r="F30" s="23" t="s">
        <v>9</v>
      </c>
      <c r="G30" s="1"/>
      <c r="H30" s="1" t="s">
        <v>75</v>
      </c>
      <c r="I30" s="94">
        <f t="shared" si="1"/>
        <v>64</v>
      </c>
      <c r="J30" s="25" t="s">
        <v>9</v>
      </c>
    </row>
    <row r="31" spans="2:10" x14ac:dyDescent="0.25">
      <c r="B31" s="12" t="s">
        <v>41</v>
      </c>
      <c r="C31" s="26">
        <f>C30</f>
        <v>8</v>
      </c>
      <c r="D31" s="12" t="s">
        <v>9</v>
      </c>
      <c r="E31" s="27">
        <f t="shared" si="0"/>
        <v>64</v>
      </c>
      <c r="F31" s="23" t="s">
        <v>9</v>
      </c>
      <c r="G31" s="1"/>
      <c r="H31" s="1" t="s">
        <v>75</v>
      </c>
      <c r="I31" s="94">
        <f t="shared" si="1"/>
        <v>64</v>
      </c>
      <c r="J31" s="25" t="s">
        <v>9</v>
      </c>
    </row>
    <row r="32" spans="2:10" x14ac:dyDescent="0.25">
      <c r="B32" s="20" t="s">
        <v>18</v>
      </c>
      <c r="C32" s="26">
        <f>(2*C11)+(2*C12)+(2*C4)+(C5*2)</f>
        <v>7.5</v>
      </c>
      <c r="D32" s="12" t="s">
        <v>11</v>
      </c>
      <c r="E32" s="27">
        <f t="shared" si="0"/>
        <v>60</v>
      </c>
      <c r="F32" s="23" t="s">
        <v>11</v>
      </c>
      <c r="G32" s="1"/>
      <c r="H32" s="1" t="s">
        <v>75</v>
      </c>
      <c r="I32" s="94">
        <f t="shared" si="1"/>
        <v>60</v>
      </c>
      <c r="J32" s="25" t="s">
        <v>11</v>
      </c>
    </row>
    <row r="33" spans="2:10" x14ac:dyDescent="0.25">
      <c r="B33" s="20" t="s">
        <v>19</v>
      </c>
      <c r="C33" s="26">
        <f>(C37+C38+C39)*C15/1000</f>
        <v>8.984375E-2</v>
      </c>
      <c r="D33" s="12" t="s">
        <v>20</v>
      </c>
      <c r="E33" s="22">
        <f t="shared" si="0"/>
        <v>0.71875</v>
      </c>
      <c r="F33" s="23" t="s">
        <v>20</v>
      </c>
      <c r="G33" s="1"/>
      <c r="H33" s="1" t="s">
        <v>75</v>
      </c>
      <c r="I33" s="94">
        <f t="shared" si="1"/>
        <v>0.71875</v>
      </c>
      <c r="J33" s="25" t="s">
        <v>20</v>
      </c>
    </row>
    <row r="34" spans="2:10" x14ac:dyDescent="0.25">
      <c r="B34" s="20" t="s">
        <v>4</v>
      </c>
      <c r="C34" s="26"/>
      <c r="D34" s="12"/>
      <c r="E34" s="22"/>
      <c r="F34" s="23"/>
      <c r="G34" s="1"/>
      <c r="H34" s="1"/>
      <c r="I34" s="94"/>
      <c r="J34" s="25"/>
    </row>
    <row r="35" spans="2:10" x14ac:dyDescent="0.25">
      <c r="B35" s="12" t="s">
        <v>42</v>
      </c>
      <c r="C35" s="26">
        <f>(C4+C7)*(C5+C7)</f>
        <v>0</v>
      </c>
      <c r="D35" s="12" t="s">
        <v>1</v>
      </c>
      <c r="E35" s="27">
        <f t="shared" si="0"/>
        <v>0</v>
      </c>
      <c r="F35" s="23" t="s">
        <v>1</v>
      </c>
      <c r="G35" s="1"/>
      <c r="H35" s="1"/>
      <c r="I35" s="94">
        <f>E35</f>
        <v>0</v>
      </c>
      <c r="J35" s="25" t="s">
        <v>1</v>
      </c>
    </row>
    <row r="36" spans="2:10" x14ac:dyDescent="0.25">
      <c r="B36" s="12" t="s">
        <v>43</v>
      </c>
      <c r="C36" s="26"/>
      <c r="D36" s="12"/>
      <c r="E36" s="27"/>
      <c r="F36" s="23"/>
      <c r="G36" s="1"/>
      <c r="H36" s="1"/>
      <c r="I36" s="94"/>
      <c r="J36" s="25"/>
    </row>
    <row r="37" spans="2:10" x14ac:dyDescent="0.25">
      <c r="B37" s="11" t="s">
        <v>44</v>
      </c>
      <c r="C37" s="26">
        <f>C4*C5*C6</f>
        <v>0</v>
      </c>
      <c r="D37" s="12" t="s">
        <v>6</v>
      </c>
      <c r="E37" s="27">
        <f t="shared" si="0"/>
        <v>0</v>
      </c>
      <c r="F37" s="23" t="s">
        <v>6</v>
      </c>
      <c r="G37" s="1"/>
      <c r="H37" s="1"/>
      <c r="I37" s="94">
        <f>E37</f>
        <v>0</v>
      </c>
      <c r="J37" s="25" t="s">
        <v>6</v>
      </c>
    </row>
    <row r="38" spans="2:10" x14ac:dyDescent="0.25">
      <c r="B38" s="11" t="s">
        <v>51</v>
      </c>
      <c r="C38" s="26">
        <f>C10*C11*C12*C13</f>
        <v>0.78125</v>
      </c>
      <c r="D38" s="12" t="s">
        <v>6</v>
      </c>
      <c r="E38" s="27">
        <f t="shared" si="0"/>
        <v>6.25</v>
      </c>
      <c r="F38" s="23" t="s">
        <v>6</v>
      </c>
      <c r="G38" s="1"/>
      <c r="H38" s="1" t="s">
        <v>75</v>
      </c>
      <c r="I38" s="94">
        <f>E38</f>
        <v>6.25</v>
      </c>
      <c r="J38" s="25" t="s">
        <v>6</v>
      </c>
    </row>
    <row r="39" spans="2:10" x14ac:dyDescent="0.25"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G39" s="1"/>
      <c r="H39" s="1"/>
      <c r="I39" s="94">
        <f>E39</f>
        <v>0</v>
      </c>
      <c r="J39" s="25" t="s">
        <v>6</v>
      </c>
    </row>
    <row r="40" spans="2:10" x14ac:dyDescent="0.25">
      <c r="B40" s="28" t="s">
        <v>46</v>
      </c>
      <c r="C40" s="29">
        <f>C4*C5</f>
        <v>0</v>
      </c>
      <c r="D40" s="1" t="s">
        <v>1</v>
      </c>
      <c r="E40" s="27">
        <f t="shared" si="0"/>
        <v>0</v>
      </c>
      <c r="F40" s="30" t="s">
        <v>1</v>
      </c>
      <c r="G40" s="1"/>
      <c r="H40" s="1"/>
      <c r="I40" s="94">
        <f>E40</f>
        <v>0</v>
      </c>
      <c r="J40" s="18" t="s">
        <v>1</v>
      </c>
    </row>
    <row r="41" spans="2:10" x14ac:dyDescent="0.25">
      <c r="B41" s="1" t="s">
        <v>47</v>
      </c>
      <c r="C41" s="29"/>
      <c r="D41" s="1"/>
      <c r="E41" s="22"/>
      <c r="F41" s="30"/>
      <c r="G41" s="1"/>
      <c r="H41" s="1"/>
      <c r="I41" s="94"/>
      <c r="J41" s="18"/>
    </row>
    <row r="42" spans="2:10" x14ac:dyDescent="0.25">
      <c r="B42" s="8" t="s">
        <v>48</v>
      </c>
      <c r="C42" s="29">
        <f>C14*C10*(0.15*0.15*0.2)</f>
        <v>3.5999999999999997E-2</v>
      </c>
      <c r="D42" s="1" t="s">
        <v>6</v>
      </c>
      <c r="E42" s="22">
        <f t="shared" si="0"/>
        <v>0.28799999999999998</v>
      </c>
      <c r="F42" s="30" t="s">
        <v>6</v>
      </c>
      <c r="G42" s="1"/>
      <c r="H42" s="96" t="s">
        <v>75</v>
      </c>
      <c r="I42" s="97">
        <f>E42</f>
        <v>0.28799999999999998</v>
      </c>
      <c r="J42" s="18" t="s">
        <v>6</v>
      </c>
    </row>
    <row r="43" spans="2:10" x14ac:dyDescent="0.25">
      <c r="B43" s="8" t="s">
        <v>49</v>
      </c>
      <c r="C43" s="29">
        <f>C10*C11*C12*0.075</f>
        <v>0.234375</v>
      </c>
      <c r="D43" s="1" t="s">
        <v>6</v>
      </c>
      <c r="E43" s="22">
        <f t="shared" si="0"/>
        <v>1.875</v>
      </c>
      <c r="F43" s="30" t="s">
        <v>6</v>
      </c>
      <c r="G43" s="1"/>
      <c r="H43" s="96" t="s">
        <v>75</v>
      </c>
      <c r="I43" s="97">
        <f>E43</f>
        <v>1.875</v>
      </c>
      <c r="J43" s="18" t="s">
        <v>6</v>
      </c>
    </row>
    <row r="44" spans="2:10" x14ac:dyDescent="0.25">
      <c r="B44" s="1" t="s">
        <v>50</v>
      </c>
      <c r="C44" s="1">
        <f>(C11*2)+(C12*2)</f>
        <v>7.5</v>
      </c>
      <c r="D44" s="1" t="s">
        <v>11</v>
      </c>
      <c r="E44" s="27">
        <f t="shared" si="0"/>
        <v>60</v>
      </c>
      <c r="F44" s="30" t="s">
        <v>11</v>
      </c>
      <c r="G44" s="1"/>
      <c r="H44" s="96" t="s">
        <v>75</v>
      </c>
      <c r="I44" s="97">
        <f>E44</f>
        <v>60</v>
      </c>
      <c r="J44" s="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 Building</vt:lpstr>
      <vt:lpstr>Surface Bed</vt:lpstr>
      <vt:lpstr>Building Works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2023-09-14T07:07:27Z</dcterms:modified>
</cp:coreProperties>
</file>