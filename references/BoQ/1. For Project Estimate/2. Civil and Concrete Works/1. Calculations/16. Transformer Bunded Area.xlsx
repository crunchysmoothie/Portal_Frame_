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653558E3-1084-4D83-8259-D5A8B9487FA7}" xr6:coauthVersionLast="47" xr6:coauthVersionMax="47" xr10:uidLastSave="{00000000-0000-0000-0000-000000000000}"/>
  <bookViews>
    <workbookView xWindow="20370" yWindow="-120" windowWidth="29040" windowHeight="15840" activeTab="1" xr2:uid="{02E6CA28-4D7E-41BA-B5AF-451451D26AAE}"/>
  </bookViews>
  <sheets>
    <sheet name="Surface Beds" sheetId="8" r:id="rId1"/>
    <sheet name="Retaining Wall" sheetId="2" r:id="rId2"/>
    <sheet name="Sump" sheetId="6" r:id="rId3"/>
    <sheet name="Transformer Plinth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4" i="9" l="1"/>
  <c r="E44" i="9" s="1"/>
  <c r="I44" i="9" s="1"/>
  <c r="C43" i="9"/>
  <c r="E43" i="9" s="1"/>
  <c r="I43" i="9" s="1"/>
  <c r="C42" i="9"/>
  <c r="E42" i="9" s="1"/>
  <c r="I42" i="9" s="1"/>
  <c r="C40" i="9"/>
  <c r="E40" i="9" s="1"/>
  <c r="I40" i="9" s="1"/>
  <c r="E39" i="9"/>
  <c r="I39" i="9" s="1"/>
  <c r="C38" i="9"/>
  <c r="E38" i="9" s="1"/>
  <c r="I38" i="9" s="1"/>
  <c r="C37" i="9"/>
  <c r="C35" i="9"/>
  <c r="E35" i="9" s="1"/>
  <c r="I35" i="9" s="1"/>
  <c r="C32" i="9"/>
  <c r="E32" i="9" s="1"/>
  <c r="I32" i="9" s="1"/>
  <c r="C30" i="9"/>
  <c r="E30" i="9" s="1"/>
  <c r="I30" i="9" s="1"/>
  <c r="C29" i="9"/>
  <c r="E29" i="9" s="1"/>
  <c r="I29" i="9" s="1"/>
  <c r="C28" i="9"/>
  <c r="E28" i="9" s="1"/>
  <c r="I28" i="9" s="1"/>
  <c r="C24" i="9"/>
  <c r="E24" i="9" s="1"/>
  <c r="I24" i="9" s="1"/>
  <c r="C23" i="9"/>
  <c r="E23" i="9" s="1"/>
  <c r="I23" i="9" s="1"/>
  <c r="I20" i="9"/>
  <c r="C31" i="9" l="1"/>
  <c r="E31" i="9" s="1"/>
  <c r="I31" i="9" s="1"/>
  <c r="C33" i="9"/>
  <c r="E33" i="9" s="1"/>
  <c r="I33" i="9" s="1"/>
  <c r="E37" i="9"/>
  <c r="I37" i="9" s="1"/>
  <c r="B2" i="6" l="1"/>
  <c r="J2" i="2"/>
  <c r="B2" i="2"/>
  <c r="Q29" i="2"/>
  <c r="Q27" i="2"/>
  <c r="P26" i="6"/>
  <c r="P25" i="6"/>
  <c r="P24" i="6"/>
  <c r="P23" i="6"/>
  <c r="P22" i="6"/>
  <c r="P21" i="6"/>
  <c r="P20" i="6"/>
  <c r="P18" i="6"/>
  <c r="P17" i="6"/>
  <c r="P15" i="6"/>
  <c r="P14" i="6"/>
  <c r="P12" i="6"/>
  <c r="P11" i="6"/>
  <c r="M3" i="6"/>
  <c r="Q52" i="2"/>
  <c r="Q51" i="2"/>
  <c r="Q50" i="2"/>
  <c r="Q48" i="2"/>
  <c r="Q47" i="2"/>
  <c r="Q46" i="2"/>
  <c r="Q45" i="2"/>
  <c r="Q43" i="2"/>
  <c r="Q41" i="2"/>
  <c r="M71" i="2"/>
  <c r="M69" i="2"/>
  <c r="M68" i="2"/>
  <c r="M67" i="2"/>
  <c r="M62" i="2"/>
  <c r="M56" i="2" s="1"/>
  <c r="M61" i="2"/>
  <c r="M55" i="2" s="1"/>
  <c r="M59" i="2"/>
  <c r="M64" i="2" s="1"/>
  <c r="M37" i="2"/>
  <c r="M35" i="2"/>
  <c r="M33" i="2"/>
  <c r="E35" i="2"/>
  <c r="E33" i="2"/>
  <c r="F9" i="8"/>
  <c r="F17" i="8" s="1"/>
  <c r="N17" i="8" s="1"/>
  <c r="B5" i="8"/>
  <c r="Q35" i="2" l="1"/>
  <c r="Q33" i="2"/>
  <c r="F35" i="8"/>
  <c r="N35" i="8" s="1"/>
  <c r="F11" i="8"/>
  <c r="F31" i="8"/>
  <c r="N31" i="8" s="1"/>
  <c r="F33" i="8"/>
  <c r="N33" i="8" s="1"/>
  <c r="F13" i="8" l="1"/>
  <c r="N13" i="8" s="1"/>
  <c r="F19" i="8"/>
  <c r="N19" i="8" s="1"/>
  <c r="F21" i="8"/>
  <c r="N21" i="8" s="1"/>
  <c r="F23" i="8"/>
  <c r="F25" i="8" l="1"/>
  <c r="N25" i="8" s="1"/>
  <c r="N23" i="8"/>
  <c r="F27" i="8"/>
  <c r="N27" i="8" s="1"/>
  <c r="C22" i="6"/>
  <c r="C15" i="6"/>
  <c r="E6" i="6"/>
  <c r="H10" i="6"/>
  <c r="C26" i="6"/>
  <c r="C25" i="6"/>
  <c r="C24" i="6"/>
  <c r="C18" i="6" l="1"/>
  <c r="C20" i="6"/>
  <c r="C14" i="6"/>
  <c r="C11" i="6"/>
  <c r="C21" i="6"/>
  <c r="C23" i="6" l="1"/>
  <c r="C17" i="6"/>
  <c r="C12" i="6"/>
  <c r="E71" i="2" l="1"/>
  <c r="Q71" i="2" s="1"/>
  <c r="E67" i="2"/>
  <c r="Q67" i="2" s="1"/>
  <c r="E61" i="2"/>
  <c r="Q61" i="2" s="1"/>
  <c r="E62" i="2"/>
  <c r="E59" i="2"/>
  <c r="E55" i="2" l="1"/>
  <c r="Q55" i="2" s="1"/>
  <c r="E64" i="2"/>
  <c r="Q64" i="2" s="1"/>
  <c r="Q59" i="2"/>
  <c r="Q62" i="2"/>
  <c r="E56" i="2"/>
  <c r="Q56" i="2" s="1"/>
  <c r="E69" i="2"/>
  <c r="Q69" i="2" s="1"/>
  <c r="E68" i="2"/>
  <c r="Q68" i="2" s="1"/>
  <c r="E37" i="2"/>
  <c r="Q37" i="2" s="1"/>
</calcChain>
</file>

<file path=xl/sharedStrings.xml><?xml version="1.0" encoding="utf-8"?>
<sst xmlns="http://schemas.openxmlformats.org/spreadsheetml/2006/main" count="338" uniqueCount="101">
  <si>
    <t>m2</t>
  </si>
  <si>
    <t>Concrete</t>
  </si>
  <si>
    <t>m3</t>
  </si>
  <si>
    <t>No</t>
  </si>
  <si>
    <t>m</t>
  </si>
  <si>
    <t>Retaining Wall</t>
  </si>
  <si>
    <t>.</t>
  </si>
  <si>
    <t>Retaining Wall - Length</t>
  </si>
  <si>
    <t xml:space="preserve">Excavation </t>
  </si>
  <si>
    <t>Backfill</t>
  </si>
  <si>
    <t>Formwork</t>
  </si>
  <si>
    <t>Rough</t>
  </si>
  <si>
    <t>- Bases</t>
  </si>
  <si>
    <t>Smooth</t>
  </si>
  <si>
    <t>- Walls</t>
  </si>
  <si>
    <t>Chamfers</t>
  </si>
  <si>
    <t>Cast in Items</t>
  </si>
  <si>
    <t>Supply, and fix in position with all necessary templates (rates to include for the supply and fabrication of templates) and cast into concretethe following Hot-Dip Galvanized items:</t>
  </si>
  <si>
    <t xml:space="preserve">Supply, cut, bend, hoist or lower level, place and </t>
  </si>
  <si>
    <t>fix as follows:</t>
  </si>
  <si>
    <t xml:space="preserve">50 x 50 x 5mm Angle iron frame with 20 x 5mm </t>
  </si>
  <si>
    <t>(250mm long) lugs welded at 450mm centres with</t>
  </si>
  <si>
    <t>split and spread ends cast into concrete edges</t>
  </si>
  <si>
    <t>Cast-in concrete wall a 200mm diameter puddle flange pipe</t>
  </si>
  <si>
    <t>Install puddle pipes (100 to 400 diameter)</t>
  </si>
  <si>
    <t>Reinforcement</t>
  </si>
  <si>
    <t>t</t>
  </si>
  <si>
    <t>- Retaining Walls</t>
  </si>
  <si>
    <t>Concrete -30 Mpa</t>
  </si>
  <si>
    <t>Blinding</t>
  </si>
  <si>
    <t>Bases</t>
  </si>
  <si>
    <t>Finishing</t>
  </si>
  <si>
    <t>Joints in retaining wall</t>
  </si>
  <si>
    <t>'- Joint A Expansion Joint in Wall</t>
  </si>
  <si>
    <t>'- Joint E (Contraction Joint in Wall)</t>
  </si>
  <si>
    <t>'- Joint E1 (Contraction Joint in Wall)</t>
  </si>
  <si>
    <t>Peneseal Pro to be applied to inside of bunded area</t>
  </si>
  <si>
    <t>Surface Bed -225mm thick</t>
  </si>
  <si>
    <t>Total Quantities</t>
  </si>
  <si>
    <t>To Be Calculated</t>
  </si>
  <si>
    <t>Sump Volume =</t>
  </si>
  <si>
    <t>Exavation</t>
  </si>
  <si>
    <t>'- Bases</t>
  </si>
  <si>
    <t>'- Walls</t>
  </si>
  <si>
    <t xml:space="preserve">  </t>
  </si>
  <si>
    <t xml:space="preserve">Reinforcement </t>
  </si>
  <si>
    <t>' - Blinding</t>
  </si>
  <si>
    <t>' - Bases</t>
  </si>
  <si>
    <t>' - Walls</t>
  </si>
  <si>
    <t>Cast in Angles</t>
  </si>
  <si>
    <t>Mentis Grating</t>
  </si>
  <si>
    <t>Epoxy (Walls)</t>
  </si>
  <si>
    <t xml:space="preserve">Area = </t>
  </si>
  <si>
    <t>Rip and Recompact (150mm)</t>
  </si>
  <si>
    <t>Formwork &lt; 200mm</t>
  </si>
  <si>
    <t>Concrete - Surface Beds)</t>
  </si>
  <si>
    <t>DPC</t>
  </si>
  <si>
    <t>Finishing (Power Float)</t>
  </si>
  <si>
    <t>Joints</t>
  </si>
  <si>
    <t>- Isolation Joints (IJ)</t>
  </si>
  <si>
    <t>- Saw Tied Joint (STJ)</t>
  </si>
  <si>
    <t>- Keyed Construction Joints (KCJ)</t>
  </si>
  <si>
    <t>200mm Thick Concrete Slab</t>
  </si>
  <si>
    <t>Fill material G5 from Commerical Sources</t>
  </si>
  <si>
    <t>Mesh 617 (One layer)</t>
  </si>
  <si>
    <t xml:space="preserve">Surface Application (Floor Hardener &amp; Sealant) </t>
  </si>
  <si>
    <t>Transformer Bay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</si>
  <si>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</si>
  <si>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</si>
  <si>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</si>
  <si>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</si>
  <si>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</si>
  <si>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</si>
  <si>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</si>
  <si>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</si>
  <si>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</si>
  <si>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</si>
  <si>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</si>
  <si>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</si>
  <si>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Piles</t>
  </si>
  <si>
    <t>DCIS 610mm diameter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</si>
  <si>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</si>
  <si>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</si>
  <si>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</si>
  <si>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</si>
  <si>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</si>
  <si>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</si>
  <si>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</si>
  <si>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</si>
  <si>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</si>
  <si>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</si>
  <si>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</si>
  <si>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 xml:space="preserve">- Columns </t>
  </si>
  <si>
    <t>- Surface Bed</t>
  </si>
  <si>
    <t>Finishing (Steel Float) =</t>
  </si>
  <si>
    <t>Epoxy</t>
  </si>
  <si>
    <t>- HD Bolts</t>
  </si>
  <si>
    <t>- B/Plates</t>
  </si>
  <si>
    <t>Isolation Joints</t>
  </si>
  <si>
    <t>Transformer - Plinths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</si>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</sst>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7" tint="0.399975585192419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theme="7" tint="0.39994506668294322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rgb="FF0070C0"/>
      </top>
      <bottom style="thin">
        <color theme="7" tint="0.39994506668294322"/>
      </bottom>
      <diagonal/>
    </border>
    <border>
      <left/>
      <right style="thin">
        <color rgb="FFFF0000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rgb="FFFF0000"/>
      </bottom>
      <diagonal/>
    </border>
    <border>
      <left/>
      <right style="thin">
        <color rgb="FFFF0000"/>
      </right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FF0000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4" fillId="0" borderId="0" xfId="0" quotePrefix="1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" fontId="4" fillId="4" borderId="0" xfId="0" applyNumberFormat="1" applyFont="1" applyFill="1" applyAlignment="1">
      <alignment vertical="center"/>
    </xf>
    <xf numFmtId="0" fontId="4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1" fontId="2" fillId="4" borderId="0" xfId="0" applyNumberFormat="1" applyFont="1" applyFill="1"/>
    <xf numFmtId="2" fontId="4" fillId="0" borderId="0" xfId="0" applyNumberFormat="1" applyFont="1"/>
    <xf numFmtId="0" fontId="7" fillId="0" borderId="0" xfId="0" applyFont="1"/>
    <xf numFmtId="2" fontId="1" fillId="0" borderId="0" xfId="0" applyNumberFormat="1" applyFont="1"/>
    <xf numFmtId="1" fontId="4" fillId="0" borderId="0" xfId="0" applyNumberFormat="1" applyFont="1"/>
    <xf numFmtId="0" fontId="1" fillId="3" borderId="3" xfId="0" applyFont="1" applyFill="1" applyBorder="1"/>
    <xf numFmtId="0" fontId="2" fillId="0" borderId="0" xfId="0" applyFont="1" applyAlignment="1">
      <alignment horizontal="center" vertical="center"/>
    </xf>
    <xf numFmtId="1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9" fillId="4" borderId="0" xfId="0" applyFont="1" applyFill="1"/>
    <xf numFmtId="1" fontId="2" fillId="0" borderId="0" xfId="0" applyNumberFormat="1" applyFont="1"/>
    <xf numFmtId="3" fontId="2" fillId="4" borderId="0" xfId="0" applyNumberFormat="1" applyFont="1" applyFill="1"/>
    <xf numFmtId="164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Continuous" vertical="center"/>
    </xf>
    <xf numFmtId="2" fontId="1" fillId="0" borderId="0" xfId="0" applyNumberFormat="1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/>
    <xf numFmtId="3" fontId="4" fillId="5" borderId="0" xfId="0" applyNumberFormat="1" applyFont="1" applyFill="1"/>
    <xf numFmtId="4" fontId="1" fillId="0" borderId="0" xfId="0" applyNumberFormat="1" applyFont="1"/>
    <xf numFmtId="0" fontId="3" fillId="0" borderId="0" xfId="0" quotePrefix="1" applyFont="1"/>
    <xf numFmtId="1" fontId="1" fillId="0" borderId="0" xfId="0" applyNumberFormat="1" applyFont="1"/>
    <xf numFmtId="0" fontId="10" fillId="0" borderId="0" xfId="0" quotePrefix="1" applyFont="1"/>
    <xf numFmtId="0" fontId="8" fillId="0" borderId="0" xfId="0" quotePrefix="1" applyFont="1"/>
    <xf numFmtId="0" fontId="1" fillId="0" borderId="11" xfId="0" applyFont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3" fillId="2" borderId="17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19" xfId="0" applyFont="1" applyFill="1" applyBorder="1" applyAlignment="1">
      <alignment vertical="center"/>
    </xf>
    <xf numFmtId="3" fontId="6" fillId="4" borderId="0" xfId="0" applyNumberFormat="1" applyFont="1" applyFill="1"/>
    <xf numFmtId="4" fontId="2" fillId="4" borderId="0" xfId="0" applyNumberFormat="1" applyFont="1" applyFill="1"/>
    <xf numFmtId="1" fontId="6" fillId="4" borderId="0" xfId="0" applyNumberFormat="1" applyFont="1" applyFill="1"/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/>
    </xf>
    <xf numFmtId="3" fontId="2" fillId="0" borderId="0" xfId="0" applyNumberFormat="1" applyFont="1"/>
    <xf numFmtId="0" fontId="6" fillId="0" borderId="0" xfId="0" applyFont="1"/>
    <xf numFmtId="0" fontId="2" fillId="4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3" fillId="5" borderId="0" xfId="0" applyFont="1" applyFill="1"/>
    <xf numFmtId="2" fontId="2" fillId="2" borderId="0" xfId="0" applyNumberFormat="1" applyFont="1" applyFill="1"/>
    <xf numFmtId="0" fontId="6" fillId="2" borderId="0" xfId="0" applyFont="1" applyFill="1"/>
    <xf numFmtId="0" fontId="6" fillId="4" borderId="0" xfId="0" applyFont="1" applyFill="1"/>
    <xf numFmtId="1" fontId="2" fillId="2" borderId="0" xfId="0" applyNumberFormat="1" applyFont="1" applyFill="1"/>
    <xf numFmtId="0" fontId="2" fillId="2" borderId="0" xfId="0" applyFont="1" applyFill="1"/>
    <xf numFmtId="164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0</xdr:rowOff>
    </xdr:from>
    <xdr:to>
      <xdr:col>2</xdr:col>
      <xdr:colOff>228600</xdr:colOff>
      <xdr:row>20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32045D-9AF7-43C4-8071-9055C29623BA}"/>
            </a:ext>
          </a:extLst>
        </xdr:cNvPr>
        <xdr:cNvSpPr/>
      </xdr:nvSpPr>
      <xdr:spPr>
        <a:xfrm>
          <a:off x="1752600" y="533400"/>
          <a:ext cx="219075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20</xdr:row>
      <xdr:rowOff>7620</xdr:rowOff>
    </xdr:from>
    <xdr:to>
      <xdr:col>3</xdr:col>
      <xdr:colOff>0</xdr:colOff>
      <xdr:row>20</xdr:row>
      <xdr:rowOff>198120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48E296-0B2B-4DCA-ADB5-A97852A2915D}"/>
            </a:ext>
          </a:extLst>
        </xdr:cNvPr>
        <xdr:cNvSpPr/>
      </xdr:nvSpPr>
      <xdr:spPr>
        <a:xfrm>
          <a:off x="144780" y="2659380"/>
          <a:ext cx="214884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213360</xdr:colOff>
      <xdr:row>17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1E0F939-162A-4B23-BBC1-015B0D044514}"/>
            </a:ext>
          </a:extLst>
        </xdr:cNvPr>
        <xdr:cNvCxnSpPr/>
      </xdr:nvCxnSpPr>
      <xdr:spPr>
        <a:xfrm flipH="1">
          <a:off x="144780" y="225552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3</xdr:row>
      <xdr:rowOff>121920</xdr:rowOff>
    </xdr:from>
    <xdr:to>
      <xdr:col>4</xdr:col>
      <xdr:colOff>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4DE1015-886B-440E-9307-29EF98DA5541}"/>
            </a:ext>
          </a:extLst>
        </xdr:cNvPr>
        <xdr:cNvCxnSpPr/>
      </xdr:nvCxnSpPr>
      <xdr:spPr>
        <a:xfrm>
          <a:off x="2651760" y="510540"/>
          <a:ext cx="7620" cy="1562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16</xdr:row>
      <xdr:rowOff>121920</xdr:rowOff>
    </xdr:from>
    <xdr:to>
      <xdr:col>4</xdr:col>
      <xdr:colOff>0</xdr:colOff>
      <xdr:row>20</xdr:row>
      <xdr:rowOff>38100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F845341-FA46-43E8-9E59-EF4FB3E93E34}"/>
            </a:ext>
          </a:extLst>
        </xdr:cNvPr>
        <xdr:cNvCxnSpPr/>
      </xdr:nvCxnSpPr>
      <xdr:spPr>
        <a:xfrm flipH="1">
          <a:off x="2651760" y="2194560"/>
          <a:ext cx="762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7620</xdr:rowOff>
    </xdr:from>
    <xdr:to>
      <xdr:col>4</xdr:col>
      <xdr:colOff>0</xdr:colOff>
      <xdr:row>21</xdr:row>
      <xdr:rowOff>15240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5981386-4FEF-424D-9C56-46FB99B67D7C}"/>
            </a:ext>
          </a:extLst>
        </xdr:cNvPr>
        <xdr:cNvCxnSpPr/>
      </xdr:nvCxnSpPr>
      <xdr:spPr>
        <a:xfrm>
          <a:off x="2659380" y="2659380"/>
          <a:ext cx="0" cy="2362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114300</xdr:rowOff>
    </xdr:from>
    <xdr:to>
      <xdr:col>4</xdr:col>
      <xdr:colOff>0</xdr:colOff>
      <xdr:row>16</xdr:row>
      <xdr:rowOff>167640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BAC07FD-7E27-4D9B-B845-70F0D39E2D4A}"/>
            </a:ext>
          </a:extLst>
        </xdr:cNvPr>
        <xdr:cNvCxnSpPr/>
      </xdr:nvCxnSpPr>
      <xdr:spPr>
        <a:xfrm>
          <a:off x="2659380" y="2057400"/>
          <a:ext cx="0" cy="1828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22</xdr:row>
      <xdr:rowOff>0</xdr:rowOff>
    </xdr:from>
    <xdr:to>
      <xdr:col>2</xdr:col>
      <xdr:colOff>0</xdr:colOff>
      <xdr:row>22</xdr:row>
      <xdr:rowOff>9525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33BE60E-448C-4DB1-9459-451B3FDD13A5}"/>
            </a:ext>
          </a:extLst>
        </xdr:cNvPr>
        <xdr:cNvCxnSpPr/>
      </xdr:nvCxnSpPr>
      <xdr:spPr>
        <a:xfrm>
          <a:off x="104775" y="3152775"/>
          <a:ext cx="16383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21</xdr:row>
      <xdr:rowOff>205740</xdr:rowOff>
    </xdr:from>
    <xdr:to>
      <xdr:col>2</xdr:col>
      <xdr:colOff>541020</xdr:colOff>
      <xdr:row>21</xdr:row>
      <xdr:rowOff>205740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618477B-3B2A-46C4-A181-7D1638193631}"/>
            </a:ext>
          </a:extLst>
        </xdr:cNvPr>
        <xdr:cNvCxnSpPr/>
      </xdr:nvCxnSpPr>
      <xdr:spPr>
        <a:xfrm flipH="1">
          <a:off x="1981200" y="30861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1581150</xdr:colOff>
      <xdr:row>22</xdr:row>
      <xdr:rowOff>9525</xdr:rowOff>
    </xdr:from>
    <xdr:to>
      <xdr:col>2</xdr:col>
      <xdr:colOff>285750</xdr:colOff>
      <xdr:row>22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2E8F17D-D4FB-4CC1-85D7-61CCF629AE03}"/>
            </a:ext>
          </a:extLst>
        </xdr:cNvPr>
        <xdr:cNvCxnSpPr/>
      </xdr:nvCxnSpPr>
      <xdr:spPr>
        <a:xfrm flipH="1">
          <a:off x="1724025" y="31623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4</xdr:row>
      <xdr:rowOff>0</xdr:rowOff>
    </xdr:from>
    <xdr:to>
      <xdr:col>10</xdr:col>
      <xdr:colOff>228600</xdr:colOff>
      <xdr:row>20</xdr:row>
      <xdr:rowOff>190500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F427C93-96AD-4A01-AFC6-2D7CDDF35647}"/>
            </a:ext>
          </a:extLst>
        </xdr:cNvPr>
        <xdr:cNvSpPr/>
      </xdr:nvSpPr>
      <xdr:spPr>
        <a:xfrm>
          <a:off x="1754505" y="533400"/>
          <a:ext cx="217170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9</xdr:col>
      <xdr:colOff>0</xdr:colOff>
      <xdr:row>20</xdr:row>
      <xdr:rowOff>7620</xdr:rowOff>
    </xdr:from>
    <xdr:to>
      <xdr:col>11</xdr:col>
      <xdr:colOff>0</xdr:colOff>
      <xdr:row>20</xdr:row>
      <xdr:rowOff>198120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F1D6906-F9F8-4E18-A21A-C9661DAAE06E}"/>
            </a:ext>
          </a:extLst>
        </xdr:cNvPr>
        <xdr:cNvSpPr/>
      </xdr:nvSpPr>
      <xdr:spPr>
        <a:xfrm>
          <a:off x="142875" y="2724150"/>
          <a:ext cx="215265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10</xdr:col>
      <xdr:colOff>213360</xdr:colOff>
      <xdr:row>17</xdr:row>
      <xdr:rowOff>7620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1245401-3E8E-4124-B638-12C50EB9CF67}"/>
            </a:ext>
          </a:extLst>
        </xdr:cNvPr>
        <xdr:cNvCxnSpPr/>
      </xdr:nvCxnSpPr>
      <xdr:spPr>
        <a:xfrm flipH="1">
          <a:off x="142875" y="2314575"/>
          <a:ext cx="1809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358140</xdr:colOff>
      <xdr:row>3</xdr:row>
      <xdr:rowOff>121920</xdr:rowOff>
    </xdr:from>
    <xdr:to>
      <xdr:col>12</xdr:col>
      <xdr:colOff>0</xdr:colOff>
      <xdr:row>16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69040010-3E5E-467E-AC5C-53DEB539A6CF}"/>
            </a:ext>
          </a:extLst>
        </xdr:cNvPr>
        <xdr:cNvCxnSpPr/>
      </xdr:nvCxnSpPr>
      <xdr:spPr>
        <a:xfrm>
          <a:off x="2657475" y="523875"/>
          <a:ext cx="0" cy="16097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358140</xdr:colOff>
      <xdr:row>16</xdr:row>
      <xdr:rowOff>121920</xdr:rowOff>
    </xdr:from>
    <xdr:to>
      <xdr:col>12</xdr:col>
      <xdr:colOff>0</xdr:colOff>
      <xdr:row>20</xdr:row>
      <xdr:rowOff>38100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B254ED6-BEFB-41F2-BBC7-F4E6C0D075CC}"/>
            </a:ext>
          </a:extLst>
        </xdr:cNvPr>
        <xdr:cNvCxnSpPr/>
      </xdr:nvCxnSpPr>
      <xdr:spPr>
        <a:xfrm flipH="1">
          <a:off x="2657475" y="2257425"/>
          <a:ext cx="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</xdr:row>
      <xdr:rowOff>7620</xdr:rowOff>
    </xdr:from>
    <xdr:to>
      <xdr:col>12</xdr:col>
      <xdr:colOff>0</xdr:colOff>
      <xdr:row>21</xdr:row>
      <xdr:rowOff>15240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049F42D-43DA-4347-8519-2770D696D9ED}"/>
            </a:ext>
          </a:extLst>
        </xdr:cNvPr>
        <xdr:cNvCxnSpPr/>
      </xdr:nvCxnSpPr>
      <xdr:spPr>
        <a:xfrm>
          <a:off x="2657475" y="2724150"/>
          <a:ext cx="0" cy="238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114300</xdr:rowOff>
    </xdr:from>
    <xdr:to>
      <xdr:col>12</xdr:col>
      <xdr:colOff>0</xdr:colOff>
      <xdr:row>16</xdr:row>
      <xdr:rowOff>167640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7C388A50-427E-475C-A707-4C4931745C63}"/>
            </a:ext>
          </a:extLst>
        </xdr:cNvPr>
        <xdr:cNvCxnSpPr/>
      </xdr:nvCxnSpPr>
      <xdr:spPr>
        <a:xfrm>
          <a:off x="2657475" y="2114550"/>
          <a:ext cx="0" cy="1905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104775</xdr:colOff>
      <xdr:row>22</xdr:row>
      <xdr:rowOff>0</xdr:rowOff>
    </xdr:from>
    <xdr:to>
      <xdr:col>10</xdr:col>
      <xdr:colOff>0</xdr:colOff>
      <xdr:row>22</xdr:row>
      <xdr:rowOff>9525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CCC9136A-0F0B-4D41-97F0-C52C240A49FB}"/>
            </a:ext>
          </a:extLst>
        </xdr:cNvPr>
        <xdr:cNvCxnSpPr/>
      </xdr:nvCxnSpPr>
      <xdr:spPr>
        <a:xfrm>
          <a:off x="102870" y="3152775"/>
          <a:ext cx="1640205" cy="114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236220</xdr:colOff>
      <xdr:row>21</xdr:row>
      <xdr:rowOff>205740</xdr:rowOff>
    </xdr:from>
    <xdr:to>
      <xdr:col>10</xdr:col>
      <xdr:colOff>541020</xdr:colOff>
      <xdr:row>21</xdr:row>
      <xdr:rowOff>205740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BB58ABA8-96AA-496D-8A1F-6D07B71BAA27}"/>
            </a:ext>
          </a:extLst>
        </xdr:cNvPr>
        <xdr:cNvCxnSpPr/>
      </xdr:nvCxnSpPr>
      <xdr:spPr>
        <a:xfrm flipH="1">
          <a:off x="1981200" y="3152775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1581150</xdr:colOff>
      <xdr:row>22</xdr:row>
      <xdr:rowOff>9525</xdr:rowOff>
    </xdr:from>
    <xdr:to>
      <xdr:col>10</xdr:col>
      <xdr:colOff>285750</xdr:colOff>
      <xdr:row>22</xdr:row>
      <xdr:rowOff>9525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BDD95675-A9E4-428E-B611-7F9811E28AC7}"/>
            </a:ext>
          </a:extLst>
        </xdr:cNvPr>
        <xdr:cNvCxnSpPr/>
      </xdr:nvCxnSpPr>
      <xdr:spPr>
        <a:xfrm flipH="1">
          <a:off x="1720215" y="3164205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4</xdr:row>
      <xdr:rowOff>28575</xdr:rowOff>
    </xdr:from>
    <xdr:to>
      <xdr:col>6</xdr:col>
      <xdr:colOff>0</xdr:colOff>
      <xdr:row>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50A61A-71CC-4FB4-A518-DA6F0DE556C2}"/>
            </a:ext>
          </a:extLst>
        </xdr:cNvPr>
        <xdr:cNvSpPr/>
      </xdr:nvSpPr>
      <xdr:spPr>
        <a:xfrm>
          <a:off x="3253740" y="762000"/>
          <a:ext cx="1813560" cy="47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289560</xdr:colOff>
      <xdr:row>2</xdr:row>
      <xdr:rowOff>175260</xdr:rowOff>
    </xdr:from>
    <xdr:to>
      <xdr:col>5</xdr:col>
      <xdr:colOff>289560</xdr:colOff>
      <xdr:row>4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95CFFBE-882A-4057-9D58-12FC8C58B5BD}"/>
            </a:ext>
          </a:extLst>
        </xdr:cNvPr>
        <xdr:cNvCxnSpPr/>
      </xdr:nvCxnSpPr>
      <xdr:spPr>
        <a:xfrm>
          <a:off x="4267200" y="4572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4</xdr:row>
      <xdr:rowOff>66675</xdr:rowOff>
    </xdr:from>
    <xdr:to>
      <xdr:col>5</xdr:col>
      <xdr:colOff>285750</xdr:colOff>
      <xdr:row>7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EA3B430-06D3-4090-A082-647EE4BC56F9}"/>
            </a:ext>
          </a:extLst>
        </xdr:cNvPr>
        <xdr:cNvCxnSpPr/>
      </xdr:nvCxnSpPr>
      <xdr:spPr>
        <a:xfrm>
          <a:off x="4743450" y="800100"/>
          <a:ext cx="0" cy="4762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2</xdr:row>
      <xdr:rowOff>182880</xdr:rowOff>
    </xdr:from>
    <xdr:to>
      <xdr:col>4</xdr:col>
      <xdr:colOff>426720</xdr:colOff>
      <xdr:row>8</xdr:row>
      <xdr:rowOff>7620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7C42677-E5BB-46DA-A607-728902B2C64D}"/>
            </a:ext>
          </a:extLst>
        </xdr:cNvPr>
        <xdr:cNvCxnSpPr/>
      </xdr:nvCxnSpPr>
      <xdr:spPr>
        <a:xfrm>
          <a:off x="3800475" y="45720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601980</xdr:colOff>
      <xdr:row>9</xdr:row>
      <xdr:rowOff>0</xdr:rowOff>
    </xdr:from>
    <xdr:to>
      <xdr:col>11</xdr:col>
      <xdr:colOff>7620</xdr:colOff>
      <xdr:row>9</xdr:row>
      <xdr:rowOff>7620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19B54D8-C43B-4A93-ABB5-756BDD26E552}"/>
            </a:ext>
          </a:extLst>
        </xdr:cNvPr>
        <xdr:cNvCxnSpPr/>
      </xdr:nvCxnSpPr>
      <xdr:spPr>
        <a:xfrm>
          <a:off x="3971925" y="1257300"/>
          <a:ext cx="21336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2531-E91E-4610-855B-0C060B683C37}">
  <dimension ref="A1:O38"/>
  <sheetViews>
    <sheetView topLeftCell="A7" workbookViewId="0">
      <selection activeCell="K36" sqref="K36"/>
    </sheetView>
  </sheetViews>
  <sheetFormatPr defaultRowHeight="15" x14ac:dyDescent="0.25"/>
  <cols>
    <col min="1" max="1" width="4" customWidth="1"/>
    <col min="9" max="9" width="2" customWidth="1"/>
    <col min="12" max="13" width="1.7109375" customWidth="1"/>
  </cols>
  <sheetData>
    <row r="1" spans="1:15" x14ac:dyDescent="0.25">
      <c r="A1" s="1"/>
      <c r="B1" s="2" t="s">
        <v>66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2"/>
      <c r="D3" s="2"/>
      <c r="E3" s="64"/>
      <c r="F3" s="64"/>
      <c r="G3" s="64"/>
      <c r="H3" s="64"/>
      <c r="I3" s="3"/>
      <c r="J3" s="3"/>
      <c r="K3" s="1"/>
      <c r="L3" s="1"/>
      <c r="M3" s="3"/>
      <c r="N3" s="3"/>
      <c r="O3" s="1"/>
    </row>
    <row r="4" spans="1:15" x14ac:dyDescent="0.25">
      <c r="A4" s="4"/>
      <c r="B4" s="4"/>
      <c r="C4" s="43">
        <v>1.5</v>
      </c>
      <c r="D4" s="2"/>
      <c r="E4" s="65"/>
      <c r="F4" s="66"/>
      <c r="G4" s="76"/>
      <c r="H4" s="67"/>
      <c r="I4" s="4"/>
      <c r="J4" s="4"/>
      <c r="K4" s="4"/>
      <c r="L4" s="4"/>
      <c r="M4" s="4"/>
      <c r="N4" s="4"/>
      <c r="O4" s="4"/>
    </row>
    <row r="5" spans="1:15" x14ac:dyDescent="0.25">
      <c r="A5" s="4"/>
      <c r="B5" s="51">
        <f>SUM(C4:C6)</f>
        <v>5</v>
      </c>
      <c r="C5" s="43">
        <v>1.5</v>
      </c>
      <c r="D5" s="4"/>
      <c r="E5" s="68"/>
      <c r="F5" s="52"/>
      <c r="G5" s="53"/>
      <c r="H5" s="69"/>
      <c r="I5" s="4"/>
      <c r="J5" s="70" t="s">
        <v>62</v>
      </c>
      <c r="K5" s="70"/>
      <c r="L5" s="70"/>
      <c r="M5" s="4"/>
      <c r="N5" s="70"/>
      <c r="O5" s="70"/>
    </row>
    <row r="6" spans="1:15" x14ac:dyDescent="0.25">
      <c r="A6" s="4"/>
      <c r="B6" s="4"/>
      <c r="C6" s="43">
        <v>2</v>
      </c>
      <c r="D6" s="4"/>
      <c r="E6" s="71"/>
      <c r="F6" s="54"/>
      <c r="G6" s="55"/>
      <c r="H6" s="72"/>
      <c r="I6" s="4"/>
      <c r="J6" s="4"/>
      <c r="K6" s="4"/>
      <c r="L6" s="4"/>
      <c r="M6" s="4"/>
      <c r="N6" s="4"/>
      <c r="O6" s="4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/>
      <c r="B8" s="1"/>
      <c r="C8" s="1"/>
      <c r="D8" s="1"/>
      <c r="E8" s="73">
        <v>4</v>
      </c>
      <c r="F8" s="73">
        <v>4</v>
      </c>
      <c r="G8" s="73">
        <v>4</v>
      </c>
      <c r="H8" s="73">
        <v>4</v>
      </c>
      <c r="I8" s="73"/>
      <c r="J8" s="1"/>
      <c r="K8" s="1"/>
      <c r="L8" s="1"/>
      <c r="M8" s="73"/>
      <c r="N8" s="1"/>
      <c r="O8" s="1"/>
    </row>
    <row r="9" spans="1:15" x14ac:dyDescent="0.25">
      <c r="A9" s="2"/>
      <c r="B9" s="2"/>
      <c r="C9" s="2"/>
      <c r="D9" s="2"/>
      <c r="E9" s="2"/>
      <c r="F9" s="75">
        <f>SUM(E8:I8)</f>
        <v>16</v>
      </c>
      <c r="G9" s="75"/>
      <c r="H9" s="74"/>
      <c r="I9" s="2"/>
      <c r="J9" s="74"/>
      <c r="K9" s="2"/>
      <c r="L9" s="2"/>
      <c r="M9" s="2"/>
      <c r="N9" s="74"/>
      <c r="O9" s="2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 t="s">
        <v>52</v>
      </c>
      <c r="F11" s="56">
        <f>B5*F9</f>
        <v>80</v>
      </c>
      <c r="G11" s="56"/>
      <c r="H11" s="1"/>
      <c r="I11" s="1"/>
      <c r="J11" s="1"/>
      <c r="K11" s="1"/>
      <c r="L11" s="1"/>
      <c r="M11" s="1"/>
      <c r="N11" s="25" t="s">
        <v>38</v>
      </c>
      <c r="O11" s="26"/>
    </row>
    <row r="12" spans="1:15" x14ac:dyDescent="0.25">
      <c r="A12" s="1"/>
      <c r="B12" s="1"/>
      <c r="C12" s="1"/>
      <c r="D12" s="1"/>
      <c r="E12" s="1"/>
      <c r="F12" s="57"/>
      <c r="G12" s="57"/>
      <c r="H12" s="1"/>
      <c r="I12" s="1"/>
      <c r="J12" s="1"/>
      <c r="K12" s="1"/>
      <c r="L12" s="1"/>
      <c r="M12" s="1"/>
      <c r="N12" s="26"/>
      <c r="O12" s="26"/>
    </row>
    <row r="13" spans="1:15" x14ac:dyDescent="0.25">
      <c r="A13" s="1">
        <v>1</v>
      </c>
      <c r="B13" s="1" t="s">
        <v>53</v>
      </c>
      <c r="C13" s="1"/>
      <c r="D13" s="1"/>
      <c r="E13" s="1"/>
      <c r="F13" s="57">
        <f>F11*1.1</f>
        <v>88</v>
      </c>
      <c r="G13" s="57" t="s">
        <v>0</v>
      </c>
      <c r="H13" s="1"/>
      <c r="I13" s="1"/>
      <c r="J13" s="1"/>
      <c r="K13" s="1"/>
      <c r="L13" s="1"/>
      <c r="M13" s="1" t="s">
        <v>100</v>
      </c>
      <c r="N13" s="40">
        <f>F13</f>
        <v>88</v>
      </c>
      <c r="O13" s="40" t="s">
        <v>0</v>
      </c>
    </row>
    <row r="14" spans="1:15" x14ac:dyDescent="0.25">
      <c r="A14" s="1"/>
      <c r="B14" s="1"/>
      <c r="C14" s="1"/>
      <c r="D14" s="1"/>
      <c r="E14" s="1"/>
      <c r="F14" s="57"/>
      <c r="G14" s="57"/>
      <c r="H14" s="1"/>
      <c r="I14" s="1"/>
      <c r="J14" s="1"/>
      <c r="K14" s="1"/>
      <c r="L14" s="1"/>
      <c r="M14" s="1"/>
      <c r="N14" s="29"/>
      <c r="O14" s="40"/>
    </row>
    <row r="15" spans="1:15" x14ac:dyDescent="0.25">
      <c r="A15" s="1">
        <v>2</v>
      </c>
      <c r="B15" s="1" t="s">
        <v>63</v>
      </c>
      <c r="C15" s="1"/>
      <c r="D15" s="1"/>
      <c r="E15" s="1"/>
      <c r="F15" s="57"/>
      <c r="G15" s="57"/>
      <c r="H15" s="1"/>
      <c r="I15" s="1"/>
      <c r="J15" s="1"/>
      <c r="K15" s="1"/>
      <c r="L15" s="1"/>
      <c r="M15" s="1"/>
      <c r="N15" s="29"/>
      <c r="O15" s="40"/>
    </row>
    <row r="16" spans="1:15" x14ac:dyDescent="0.25">
      <c r="A16" s="1"/>
      <c r="B16" s="1"/>
      <c r="C16" s="1"/>
      <c r="D16" s="1"/>
      <c r="E16" s="1"/>
      <c r="F16" s="57"/>
      <c r="G16" s="57"/>
      <c r="H16" s="1"/>
      <c r="I16" s="1"/>
      <c r="J16" s="1"/>
      <c r="K16" s="1"/>
      <c r="L16" s="1"/>
      <c r="M16" s="1"/>
      <c r="N16" s="29"/>
      <c r="O16" s="40"/>
    </row>
    <row r="17" spans="1:15" x14ac:dyDescent="0.25">
      <c r="A17" s="1">
        <v>3</v>
      </c>
      <c r="B17" s="1" t="s">
        <v>54</v>
      </c>
      <c r="C17" s="1"/>
      <c r="D17" s="1"/>
      <c r="E17" s="1"/>
      <c r="F17" s="57">
        <f>(2*F9)+(2*B5)</f>
        <v>42</v>
      </c>
      <c r="G17" s="57" t="s">
        <v>4</v>
      </c>
      <c r="H17" s="1"/>
      <c r="I17" s="1"/>
      <c r="J17" s="1"/>
      <c r="K17" s="1"/>
      <c r="L17" s="1"/>
      <c r="M17" s="1" t="s">
        <v>100</v>
      </c>
      <c r="N17" s="40">
        <f>F17</f>
        <v>42</v>
      </c>
      <c r="O17" s="40" t="s">
        <v>4</v>
      </c>
    </row>
    <row r="18" spans="1:15" x14ac:dyDescent="0.25">
      <c r="A18" s="1"/>
      <c r="B18" s="1"/>
      <c r="C18" s="1"/>
      <c r="D18" s="1"/>
      <c r="E18" s="1"/>
      <c r="F18" s="57"/>
      <c r="G18" s="57"/>
      <c r="H18" s="1"/>
      <c r="I18" s="1"/>
      <c r="J18" s="1"/>
      <c r="K18" s="1"/>
      <c r="L18" s="1"/>
      <c r="M18" s="1"/>
      <c r="N18" s="29"/>
      <c r="O18" s="40"/>
    </row>
    <row r="19" spans="1:15" x14ac:dyDescent="0.25">
      <c r="A19" s="1">
        <v>4</v>
      </c>
      <c r="B19" s="1" t="s">
        <v>55</v>
      </c>
      <c r="C19" s="1"/>
      <c r="D19" s="1"/>
      <c r="E19" s="1"/>
      <c r="F19" s="57">
        <f>F11*0.2</f>
        <v>16</v>
      </c>
      <c r="G19" s="57" t="s">
        <v>2</v>
      </c>
      <c r="H19" s="1"/>
      <c r="I19" s="1"/>
      <c r="J19" s="1"/>
      <c r="K19" s="1"/>
      <c r="L19" s="1"/>
      <c r="M19" s="1" t="s">
        <v>100</v>
      </c>
      <c r="N19" s="40">
        <f>F19</f>
        <v>16</v>
      </c>
      <c r="O19" s="40" t="s">
        <v>2</v>
      </c>
    </row>
    <row r="20" spans="1:15" x14ac:dyDescent="0.25">
      <c r="A20" s="1"/>
      <c r="B20" s="1"/>
      <c r="C20" s="1"/>
      <c r="D20" s="1"/>
      <c r="E20" s="1"/>
      <c r="F20" s="57"/>
      <c r="G20" s="57"/>
      <c r="H20" s="1"/>
      <c r="I20" s="1"/>
      <c r="J20" s="1"/>
      <c r="K20" s="1"/>
      <c r="L20" s="1"/>
      <c r="M20" s="1"/>
      <c r="N20" s="29"/>
      <c r="O20" s="40"/>
    </row>
    <row r="21" spans="1:15" x14ac:dyDescent="0.25">
      <c r="A21" s="1">
        <v>5</v>
      </c>
      <c r="B21" s="8" t="s">
        <v>64</v>
      </c>
      <c r="C21" s="8"/>
      <c r="D21" s="8"/>
      <c r="E21" s="1"/>
      <c r="F21" s="57">
        <f>F11*1</f>
        <v>80</v>
      </c>
      <c r="G21" s="57" t="s">
        <v>0</v>
      </c>
      <c r="H21" s="5"/>
      <c r="I21" s="5"/>
      <c r="J21" s="5"/>
      <c r="K21" s="1"/>
      <c r="L21" s="1"/>
      <c r="M21" s="5" t="s">
        <v>100</v>
      </c>
      <c r="N21" s="40">
        <f>F21</f>
        <v>80</v>
      </c>
      <c r="O21" s="40" t="s">
        <v>0</v>
      </c>
    </row>
    <row r="22" spans="1:15" x14ac:dyDescent="0.25">
      <c r="A22" s="1"/>
      <c r="B22" s="1"/>
      <c r="C22" s="1"/>
      <c r="D22" s="1"/>
      <c r="E22" s="1"/>
      <c r="F22" s="57"/>
      <c r="G22" s="57"/>
      <c r="H22" s="1"/>
      <c r="I22" s="1"/>
      <c r="J22" s="1"/>
      <c r="K22" s="1"/>
      <c r="L22" s="1"/>
      <c r="M22" s="1"/>
      <c r="N22" s="29"/>
      <c r="O22" s="40"/>
    </row>
    <row r="23" spans="1:15" x14ac:dyDescent="0.25">
      <c r="A23" s="1">
        <v>6</v>
      </c>
      <c r="B23" s="1" t="s">
        <v>56</v>
      </c>
      <c r="C23" s="1"/>
      <c r="D23" s="1"/>
      <c r="E23" s="1"/>
      <c r="F23" s="57">
        <f>F11</f>
        <v>80</v>
      </c>
      <c r="G23" s="57" t="s">
        <v>0</v>
      </c>
      <c r="H23" s="1"/>
      <c r="I23" s="1"/>
      <c r="J23" s="1"/>
      <c r="K23" s="1"/>
      <c r="L23" s="1"/>
      <c r="M23" s="1" t="s">
        <v>100</v>
      </c>
      <c r="N23" s="40">
        <f>F23</f>
        <v>80</v>
      </c>
      <c r="O23" s="40" t="s">
        <v>0</v>
      </c>
    </row>
    <row r="24" spans="1:15" x14ac:dyDescent="0.25">
      <c r="A24" s="1"/>
      <c r="B24" s="1"/>
      <c r="C24" s="1"/>
      <c r="D24" s="1"/>
      <c r="E24" s="1"/>
      <c r="F24" s="57"/>
      <c r="G24" s="57"/>
      <c r="H24" s="1"/>
      <c r="I24" s="1"/>
      <c r="J24" s="1"/>
      <c r="K24" s="1"/>
      <c r="L24" s="1"/>
      <c r="M24" s="1"/>
      <c r="N24" s="29"/>
      <c r="O24" s="40"/>
    </row>
    <row r="25" spans="1:15" x14ac:dyDescent="0.25">
      <c r="A25" s="1">
        <v>7</v>
      </c>
      <c r="B25" s="1" t="s">
        <v>57</v>
      </c>
      <c r="C25" s="1"/>
      <c r="D25" s="1"/>
      <c r="E25" s="1"/>
      <c r="F25" s="57">
        <f>F23</f>
        <v>80</v>
      </c>
      <c r="G25" s="57" t="s">
        <v>0</v>
      </c>
      <c r="H25" s="1"/>
      <c r="I25" s="1"/>
      <c r="J25" s="1"/>
      <c r="K25" s="1"/>
      <c r="L25" s="1"/>
      <c r="M25" s="1" t="s">
        <v>100</v>
      </c>
      <c r="N25" s="40">
        <f>F25</f>
        <v>80</v>
      </c>
      <c r="O25" s="40" t="s">
        <v>0</v>
      </c>
    </row>
    <row r="26" spans="1:15" x14ac:dyDescent="0.25">
      <c r="A26" s="1"/>
      <c r="B26" s="1"/>
      <c r="C26" s="1"/>
      <c r="D26" s="1"/>
      <c r="E26" s="1"/>
      <c r="F26" s="57"/>
      <c r="G26" s="57"/>
      <c r="H26" s="1"/>
      <c r="I26" s="1"/>
      <c r="J26" s="1"/>
      <c r="K26" s="1"/>
      <c r="L26" s="1"/>
      <c r="M26" s="1"/>
      <c r="N26" s="29"/>
      <c r="O26" s="40"/>
    </row>
    <row r="27" spans="1:15" ht="16.899999999999999" customHeight="1" x14ac:dyDescent="0.25">
      <c r="A27" s="1">
        <v>8</v>
      </c>
      <c r="B27" s="24" t="s">
        <v>65</v>
      </c>
      <c r="C27" s="24"/>
      <c r="D27" s="24"/>
      <c r="E27" s="24"/>
      <c r="F27" s="58">
        <f>F25</f>
        <v>80</v>
      </c>
      <c r="G27" s="58" t="s">
        <v>0</v>
      </c>
      <c r="H27" s="24"/>
      <c r="I27" s="24"/>
      <c r="J27" s="24"/>
      <c r="K27" s="1"/>
      <c r="L27" s="1"/>
      <c r="M27" s="24" t="s">
        <v>100</v>
      </c>
      <c r="N27" s="40">
        <f>F27</f>
        <v>80</v>
      </c>
      <c r="O27" s="77" t="s">
        <v>0</v>
      </c>
    </row>
    <row r="28" spans="1:15" x14ac:dyDescent="0.25">
      <c r="A28" s="1"/>
      <c r="B28" s="1"/>
      <c r="C28" s="1"/>
      <c r="D28" s="1"/>
      <c r="E28" s="1"/>
      <c r="F28" s="59"/>
      <c r="G28" s="59"/>
      <c r="H28" s="1"/>
      <c r="I28" s="1"/>
      <c r="J28" s="1"/>
      <c r="K28" s="1"/>
      <c r="L28" s="1"/>
      <c r="M28" s="1"/>
      <c r="N28" s="29"/>
      <c r="O28" s="78"/>
    </row>
    <row r="29" spans="1:15" x14ac:dyDescent="0.25">
      <c r="A29" s="1"/>
      <c r="B29" s="1" t="s">
        <v>58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9"/>
      <c r="O29" s="25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9"/>
      <c r="O30" s="25"/>
    </row>
    <row r="31" spans="1:15" x14ac:dyDescent="0.25">
      <c r="A31" s="1">
        <v>9</v>
      </c>
      <c r="B31" s="60" t="s">
        <v>59</v>
      </c>
      <c r="C31" s="60"/>
      <c r="D31" s="60"/>
      <c r="E31" s="1"/>
      <c r="F31" s="61">
        <f>(2*B5)+(F9*2)</f>
        <v>42</v>
      </c>
      <c r="G31" s="61" t="s">
        <v>4</v>
      </c>
      <c r="H31" s="1"/>
      <c r="I31" s="1"/>
      <c r="J31" s="1"/>
      <c r="K31" s="1"/>
      <c r="L31" s="1"/>
      <c r="M31" s="1" t="s">
        <v>100</v>
      </c>
      <c r="N31" s="40">
        <f>F31</f>
        <v>42</v>
      </c>
      <c r="O31" s="29" t="s">
        <v>4</v>
      </c>
    </row>
    <row r="32" spans="1:15" x14ac:dyDescent="0.25">
      <c r="A32" s="1"/>
      <c r="B32" s="5"/>
      <c r="C32" s="5"/>
      <c r="D32" s="5"/>
      <c r="E32" s="1"/>
      <c r="F32" s="1"/>
      <c r="G32" s="1"/>
      <c r="H32" s="1"/>
      <c r="I32" s="1"/>
      <c r="J32" s="1"/>
      <c r="K32" s="1"/>
      <c r="L32" s="1"/>
      <c r="M32" s="1"/>
      <c r="N32" s="29"/>
      <c r="O32" s="25"/>
    </row>
    <row r="33" spans="1:15" x14ac:dyDescent="0.25">
      <c r="A33" s="1">
        <v>10</v>
      </c>
      <c r="B33" s="62" t="s">
        <v>60</v>
      </c>
      <c r="C33" s="62"/>
      <c r="D33" s="62"/>
      <c r="E33" s="8"/>
      <c r="F33" s="33">
        <f>(B5*3)</f>
        <v>15</v>
      </c>
      <c r="G33" s="33" t="s">
        <v>4</v>
      </c>
      <c r="H33" s="8"/>
      <c r="I33" s="8"/>
      <c r="J33" s="8"/>
      <c r="K33" s="1"/>
      <c r="L33" s="1"/>
      <c r="M33" s="8" t="s">
        <v>100</v>
      </c>
      <c r="N33" s="40">
        <f>F33</f>
        <v>15</v>
      </c>
      <c r="O33" s="79" t="s">
        <v>4</v>
      </c>
    </row>
    <row r="34" spans="1:15" x14ac:dyDescent="0.25">
      <c r="A34" s="1"/>
      <c r="B34" s="60"/>
      <c r="C34" s="60"/>
      <c r="D34" s="60"/>
      <c r="E34" s="1"/>
      <c r="F34" s="61"/>
      <c r="G34" s="61"/>
      <c r="H34" s="1"/>
      <c r="I34" s="1"/>
      <c r="J34" s="1"/>
      <c r="K34" s="1"/>
      <c r="L34" s="1"/>
      <c r="M34" s="1"/>
      <c r="N34" s="29"/>
      <c r="O34" s="29"/>
    </row>
    <row r="35" spans="1:15" x14ac:dyDescent="0.25">
      <c r="A35" s="1">
        <v>11</v>
      </c>
      <c r="B35" s="63" t="s">
        <v>61</v>
      </c>
      <c r="C35" s="63"/>
      <c r="D35" s="63"/>
      <c r="E35" s="1"/>
      <c r="F35" s="61">
        <f>(2*B5)+(2*F9)</f>
        <v>42</v>
      </c>
      <c r="G35" s="61" t="s">
        <v>4</v>
      </c>
      <c r="H35" s="1"/>
      <c r="I35" s="1"/>
      <c r="J35" s="1"/>
      <c r="K35" s="1"/>
      <c r="L35" s="1"/>
      <c r="M35" s="1" t="s">
        <v>100</v>
      </c>
      <c r="N35" s="40">
        <f>F35</f>
        <v>42</v>
      </c>
      <c r="O35" s="29" t="s">
        <v>4</v>
      </c>
    </row>
    <row r="36" spans="1:15" x14ac:dyDescent="0.25">
      <c r="N36" s="39"/>
      <c r="O36" s="2"/>
    </row>
    <row r="37" spans="1:15" x14ac:dyDescent="0.25">
      <c r="N37" s="39"/>
      <c r="O37" s="2"/>
    </row>
    <row r="38" spans="1:15" x14ac:dyDescent="0.25">
      <c r="N38" s="39"/>
      <c r="O3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3763-44B9-4822-BCF6-8914F94EFC45}">
  <dimension ref="B2:R72"/>
  <sheetViews>
    <sheetView tabSelected="1" topLeftCell="A18" workbookViewId="0">
      <selection activeCell="O69" sqref="O69"/>
    </sheetView>
  </sheetViews>
  <sheetFormatPr defaultColWidth="11.28515625" defaultRowHeight="11.25" x14ac:dyDescent="0.2"/>
  <cols>
    <col min="1" max="1" width="2.140625" style="1" customWidth="1"/>
    <col min="2" max="2" width="23.28515625" style="1" customWidth="1"/>
    <col min="3" max="3" width="8" style="1" customWidth="1"/>
    <col min="4" max="4" width="5.28515625" style="1" customWidth="1"/>
    <col min="5" max="5" width="8.140625" style="1" customWidth="1"/>
    <col min="6" max="7" width="11.28515625" style="1"/>
    <col min="8" max="8" width="5.28515625" style="1" customWidth="1"/>
    <col min="9" max="9" width="2.140625" style="1" customWidth="1"/>
    <col min="10" max="10" width="23.28515625" style="1" customWidth="1"/>
    <col min="11" max="11" width="8" style="1" customWidth="1"/>
    <col min="12" max="12" width="5.28515625" style="1" customWidth="1"/>
    <col min="13" max="13" width="8.140625" style="1" customWidth="1"/>
    <col min="14" max="16384" width="11.28515625" style="1"/>
  </cols>
  <sheetData>
    <row r="2" spans="2:15" x14ac:dyDescent="0.2">
      <c r="B2" s="2" t="str">
        <f>'Surface Beds'!B1</f>
        <v>Transformer Bay</v>
      </c>
      <c r="J2" s="2" t="str">
        <f>B2</f>
        <v>Transformer Bay</v>
      </c>
    </row>
    <row r="3" spans="2:15" x14ac:dyDescent="0.2">
      <c r="B3" s="2"/>
      <c r="J3" s="2"/>
    </row>
    <row r="4" spans="2:15" x14ac:dyDescent="0.2">
      <c r="B4" s="2" t="s">
        <v>5</v>
      </c>
      <c r="C4" s="6">
        <v>0.2</v>
      </c>
      <c r="J4" s="2" t="s">
        <v>5</v>
      </c>
      <c r="K4" s="6">
        <v>0.2</v>
      </c>
    </row>
    <row r="5" spans="2:15" x14ac:dyDescent="0.2">
      <c r="E5" s="4"/>
      <c r="M5" s="4"/>
    </row>
    <row r="6" spans="2:15" x14ac:dyDescent="0.2">
      <c r="D6" s="6"/>
      <c r="L6" s="6"/>
    </row>
    <row r="7" spans="2:15" x14ac:dyDescent="0.2">
      <c r="B7" s="4"/>
      <c r="C7" s="4"/>
      <c r="D7" s="9"/>
      <c r="E7" s="4"/>
      <c r="J7" s="4"/>
      <c r="K7" s="4"/>
      <c r="L7" s="9"/>
      <c r="M7" s="4"/>
    </row>
    <row r="8" spans="2:15" x14ac:dyDescent="0.2">
      <c r="B8" s="4"/>
      <c r="C8" s="4"/>
      <c r="D8" s="9"/>
      <c r="E8" s="4"/>
      <c r="J8" s="4"/>
      <c r="K8" s="4"/>
      <c r="L8" s="9"/>
      <c r="M8" s="4"/>
    </row>
    <row r="9" spans="2:15" x14ac:dyDescent="0.2">
      <c r="B9" s="4"/>
      <c r="C9" s="4"/>
      <c r="D9" s="9"/>
      <c r="E9" s="4"/>
      <c r="J9" s="4"/>
      <c r="K9" s="4"/>
      <c r="L9" s="9"/>
      <c r="M9" s="4"/>
    </row>
    <row r="10" spans="2:15" x14ac:dyDescent="0.2">
      <c r="B10" s="4"/>
      <c r="C10" s="4"/>
      <c r="D10" s="9"/>
      <c r="E10" s="4"/>
      <c r="J10" s="4"/>
      <c r="K10" s="4"/>
      <c r="L10" s="9"/>
      <c r="M10" s="4"/>
    </row>
    <row r="11" spans="2:15" x14ac:dyDescent="0.2">
      <c r="B11" s="4"/>
      <c r="C11" s="10"/>
      <c r="D11" s="9"/>
      <c r="E11" s="4"/>
      <c r="J11" s="4"/>
      <c r="K11" s="10"/>
      <c r="L11" s="9"/>
      <c r="M11" s="4"/>
    </row>
    <row r="12" spans="2:15" x14ac:dyDescent="0.2">
      <c r="D12" s="21">
        <v>2.15</v>
      </c>
      <c r="L12" s="21">
        <v>0.5</v>
      </c>
    </row>
    <row r="13" spans="2:15" x14ac:dyDescent="0.2">
      <c r="B13" s="4"/>
      <c r="D13" s="3"/>
      <c r="E13" s="4"/>
      <c r="J13" s="4"/>
      <c r="L13" s="3"/>
      <c r="M13" s="4"/>
    </row>
    <row r="14" spans="2:15" x14ac:dyDescent="0.2">
      <c r="B14" s="4"/>
      <c r="C14" s="4"/>
      <c r="D14" s="9"/>
      <c r="E14" s="4"/>
      <c r="J14" s="4"/>
      <c r="K14" s="4"/>
      <c r="L14" s="9"/>
      <c r="M14" s="4"/>
    </row>
    <row r="15" spans="2:15" x14ac:dyDescent="0.2">
      <c r="B15" s="4"/>
      <c r="C15" s="4"/>
      <c r="D15" s="9"/>
      <c r="E15" s="4"/>
      <c r="G15" s="1" t="s">
        <v>6</v>
      </c>
      <c r="J15" s="4"/>
      <c r="K15" s="4"/>
      <c r="L15" s="9"/>
      <c r="M15" s="4"/>
      <c r="O15" s="1" t="s">
        <v>6</v>
      </c>
    </row>
    <row r="16" spans="2:15" x14ac:dyDescent="0.2">
      <c r="B16" s="4"/>
      <c r="C16" s="80"/>
      <c r="D16" s="81"/>
      <c r="E16" s="11" t="s">
        <v>37</v>
      </c>
      <c r="F16" s="34"/>
      <c r="J16" s="4"/>
      <c r="K16" s="80"/>
      <c r="L16" s="81"/>
      <c r="M16" s="11" t="s">
        <v>37</v>
      </c>
      <c r="N16" s="34"/>
    </row>
    <row r="17" spans="2:18" ht="14.45" customHeight="1" x14ac:dyDescent="0.2">
      <c r="B17" s="11" t="s">
        <v>37</v>
      </c>
      <c r="D17" s="9">
        <v>0.2</v>
      </c>
      <c r="J17" s="11" t="s">
        <v>37</v>
      </c>
      <c r="L17" s="9">
        <v>0.2</v>
      </c>
    </row>
    <row r="18" spans="2:18" x14ac:dyDescent="0.2">
      <c r="B18" s="4"/>
      <c r="C18" s="4"/>
      <c r="D18" s="9"/>
      <c r="E18" s="35"/>
      <c r="J18" s="4"/>
      <c r="K18" s="4"/>
      <c r="L18" s="9"/>
      <c r="M18" s="35"/>
    </row>
    <row r="19" spans="2:18" x14ac:dyDescent="0.2">
      <c r="B19" s="4"/>
      <c r="D19" s="9">
        <v>0.3</v>
      </c>
      <c r="E19" s="9"/>
      <c r="J19" s="4"/>
      <c r="L19" s="9">
        <v>0.3</v>
      </c>
      <c r="M19" s="9"/>
    </row>
    <row r="20" spans="2:18" x14ac:dyDescent="0.2">
      <c r="B20" s="4"/>
      <c r="C20" s="4"/>
      <c r="D20" s="9"/>
      <c r="E20" s="4"/>
      <c r="J20" s="4"/>
      <c r="K20" s="4"/>
      <c r="L20" s="9"/>
      <c r="M20" s="4"/>
    </row>
    <row r="21" spans="2:18" ht="18" customHeight="1" x14ac:dyDescent="0.2">
      <c r="B21" s="4"/>
      <c r="C21" s="4"/>
      <c r="D21" s="14">
        <v>0.4</v>
      </c>
      <c r="J21" s="4"/>
      <c r="K21" s="4"/>
      <c r="L21" s="14">
        <v>0.4</v>
      </c>
    </row>
    <row r="22" spans="2:18" ht="16.899999999999999" customHeight="1" x14ac:dyDescent="0.2">
      <c r="B22" s="41">
        <v>1</v>
      </c>
      <c r="C22" s="22">
        <v>0.25</v>
      </c>
      <c r="D22" s="9"/>
      <c r="J22" s="41">
        <v>0.5</v>
      </c>
      <c r="K22" s="22">
        <v>0.25</v>
      </c>
      <c r="L22" s="9"/>
    </row>
    <row r="23" spans="2:18" ht="14.45" customHeight="1" x14ac:dyDescent="0.2">
      <c r="B23" s="4"/>
      <c r="C23" s="10">
        <v>0.2</v>
      </c>
      <c r="E23" s="4"/>
      <c r="J23" s="4"/>
      <c r="K23" s="10">
        <v>0.2</v>
      </c>
      <c r="M23" s="4"/>
    </row>
    <row r="24" spans="2:18" s="4" customFormat="1" ht="14.45" customHeight="1" x14ac:dyDescent="0.25">
      <c r="C24" s="10"/>
      <c r="D24" s="10"/>
      <c r="K24" s="10"/>
      <c r="L24" s="10"/>
    </row>
    <row r="25" spans="2:18" x14ac:dyDescent="0.2">
      <c r="B25" s="12" t="s">
        <v>7</v>
      </c>
      <c r="C25" s="12"/>
      <c r="D25" s="12"/>
      <c r="E25" s="23">
        <v>36</v>
      </c>
      <c r="F25" s="12" t="s">
        <v>4</v>
      </c>
      <c r="G25" s="27"/>
      <c r="H25" s="8"/>
      <c r="J25" s="12" t="s">
        <v>7</v>
      </c>
      <c r="K25" s="12"/>
      <c r="L25" s="12"/>
      <c r="M25" s="23">
        <v>16</v>
      </c>
      <c r="N25" s="12" t="s">
        <v>4</v>
      </c>
      <c r="O25" s="27"/>
      <c r="Q25" s="25" t="s">
        <v>38</v>
      </c>
      <c r="R25" s="26"/>
    </row>
    <row r="26" spans="2:18" x14ac:dyDescent="0.2">
      <c r="B26" s="4"/>
      <c r="C26" s="9"/>
      <c r="D26" s="9"/>
      <c r="E26" s="4"/>
      <c r="F26" s="4"/>
      <c r="G26" s="8"/>
      <c r="H26" s="8"/>
      <c r="J26" s="4"/>
      <c r="K26" s="9"/>
      <c r="L26" s="9"/>
      <c r="M26" s="4"/>
      <c r="N26" s="4"/>
      <c r="O26" s="8"/>
      <c r="Q26" s="26"/>
      <c r="R26" s="26"/>
    </row>
    <row r="27" spans="2:18" s="8" customFormat="1" x14ac:dyDescent="0.2">
      <c r="B27" s="13" t="s">
        <v>8</v>
      </c>
      <c r="C27" s="14" t="s">
        <v>2</v>
      </c>
      <c r="D27" s="14"/>
      <c r="E27" s="36">
        <v>46</v>
      </c>
      <c r="F27" s="13"/>
      <c r="G27" s="8" t="s">
        <v>39</v>
      </c>
      <c r="J27" s="13" t="s">
        <v>8</v>
      </c>
      <c r="K27" s="14" t="s">
        <v>2</v>
      </c>
      <c r="L27" s="14"/>
      <c r="M27" s="36">
        <v>14</v>
      </c>
      <c r="N27" s="13"/>
      <c r="O27" s="8" t="s">
        <v>39</v>
      </c>
      <c r="P27" s="8" t="s">
        <v>100</v>
      </c>
      <c r="Q27" s="29">
        <f>E27+M27</f>
        <v>60</v>
      </c>
      <c r="R27" s="82" t="s">
        <v>2</v>
      </c>
    </row>
    <row r="28" spans="2:18" s="8" customFormat="1" x14ac:dyDescent="0.2">
      <c r="B28" s="13"/>
      <c r="C28" s="14"/>
      <c r="D28" s="14"/>
      <c r="E28" s="13"/>
      <c r="F28" s="13"/>
      <c r="J28" s="13"/>
      <c r="K28" s="14"/>
      <c r="L28" s="14"/>
      <c r="M28" s="13"/>
      <c r="N28" s="13"/>
      <c r="Q28" s="29"/>
      <c r="R28" s="82"/>
    </row>
    <row r="29" spans="2:18" s="8" customFormat="1" x14ac:dyDescent="0.2">
      <c r="B29" s="13" t="s">
        <v>9</v>
      </c>
      <c r="C29" s="14" t="s">
        <v>2</v>
      </c>
      <c r="D29" s="14"/>
      <c r="E29" s="36">
        <v>26</v>
      </c>
      <c r="F29" s="13"/>
      <c r="G29" s="8" t="s">
        <v>39</v>
      </c>
      <c r="H29" s="30"/>
      <c r="J29" s="13" t="s">
        <v>9</v>
      </c>
      <c r="K29" s="14" t="s">
        <v>2</v>
      </c>
      <c r="L29" s="14"/>
      <c r="M29" s="36">
        <v>8</v>
      </c>
      <c r="N29" s="13"/>
      <c r="O29" s="8" t="s">
        <v>39</v>
      </c>
      <c r="P29" s="8" t="s">
        <v>100</v>
      </c>
      <c r="Q29" s="29">
        <f>E29+M29</f>
        <v>34</v>
      </c>
      <c r="R29" s="82" t="s">
        <v>2</v>
      </c>
    </row>
    <row r="30" spans="2:18" x14ac:dyDescent="0.2">
      <c r="B30" s="4"/>
      <c r="C30" s="9"/>
      <c r="D30" s="9"/>
      <c r="E30" s="4"/>
      <c r="F30" s="4"/>
      <c r="G30" s="8"/>
      <c r="H30" s="30"/>
      <c r="J30" s="4"/>
      <c r="K30" s="9"/>
      <c r="L30" s="9"/>
      <c r="M30" s="4"/>
      <c r="N30" s="4"/>
      <c r="O30" s="8"/>
      <c r="Q30" s="29"/>
      <c r="R30" s="83"/>
    </row>
    <row r="31" spans="2:18" x14ac:dyDescent="0.2">
      <c r="B31" s="37" t="s">
        <v>10</v>
      </c>
      <c r="C31" s="9"/>
      <c r="D31" s="9"/>
      <c r="E31" s="4"/>
      <c r="F31" s="4"/>
      <c r="G31" s="8"/>
      <c r="H31" s="30"/>
      <c r="J31" s="37" t="s">
        <v>10</v>
      </c>
      <c r="K31" s="9"/>
      <c r="L31" s="9"/>
      <c r="M31" s="4"/>
      <c r="N31" s="4"/>
      <c r="O31" s="8"/>
      <c r="Q31" s="29"/>
      <c r="R31" s="83"/>
    </row>
    <row r="32" spans="2:18" x14ac:dyDescent="0.2">
      <c r="B32" s="4" t="s">
        <v>11</v>
      </c>
      <c r="C32" s="9"/>
      <c r="D32" s="9"/>
      <c r="E32" s="4"/>
      <c r="F32" s="4"/>
      <c r="G32" s="8"/>
      <c r="H32" s="30"/>
      <c r="J32" s="4" t="s">
        <v>11</v>
      </c>
      <c r="K32" s="9"/>
      <c r="L32" s="9"/>
      <c r="M32" s="4"/>
      <c r="N32" s="4"/>
      <c r="O32" s="8"/>
      <c r="Q32" s="29"/>
      <c r="R32" s="83"/>
    </row>
    <row r="33" spans="2:18" ht="13.15" customHeight="1" x14ac:dyDescent="0.2">
      <c r="B33" s="16" t="s">
        <v>12</v>
      </c>
      <c r="C33" s="9" t="s">
        <v>0</v>
      </c>
      <c r="D33" s="9"/>
      <c r="E33" s="15">
        <f>(2*E25*D21)+(2*E25*D22)</f>
        <v>28.8</v>
      </c>
      <c r="F33" s="4"/>
      <c r="G33" s="27"/>
      <c r="H33" s="30"/>
      <c r="J33" s="16" t="s">
        <v>12</v>
      </c>
      <c r="K33" s="9" t="s">
        <v>0</v>
      </c>
      <c r="L33" s="9"/>
      <c r="M33" s="15">
        <f>(2*M25*L21)+(2*M25*L22)</f>
        <v>12.8</v>
      </c>
      <c r="N33" s="4"/>
      <c r="O33" s="27"/>
      <c r="P33" s="1" t="s">
        <v>100</v>
      </c>
      <c r="Q33" s="29">
        <f>E33+M33</f>
        <v>41.6</v>
      </c>
      <c r="R33" s="83" t="s">
        <v>0</v>
      </c>
    </row>
    <row r="34" spans="2:18" x14ac:dyDescent="0.2">
      <c r="B34" s="4" t="s">
        <v>13</v>
      </c>
      <c r="C34" s="9"/>
      <c r="D34" s="9"/>
      <c r="E34" s="15"/>
      <c r="F34" s="4"/>
      <c r="G34" s="8"/>
      <c r="H34" s="30"/>
      <c r="J34" s="4" t="s">
        <v>13</v>
      </c>
      <c r="K34" s="9"/>
      <c r="L34" s="9"/>
      <c r="M34" s="15"/>
      <c r="N34" s="4"/>
      <c r="O34" s="8"/>
      <c r="Q34" s="29"/>
      <c r="R34" s="83"/>
    </row>
    <row r="35" spans="2:18" x14ac:dyDescent="0.2">
      <c r="B35" s="16" t="s">
        <v>14</v>
      </c>
      <c r="C35" s="9" t="s">
        <v>0</v>
      </c>
      <c r="D35" s="9"/>
      <c r="E35" s="15">
        <f>E25*2*(D12+D17+D19)</f>
        <v>190.79999999999998</v>
      </c>
      <c r="F35" s="4"/>
      <c r="G35" s="7"/>
      <c r="H35" s="30"/>
      <c r="J35" s="16" t="s">
        <v>14</v>
      </c>
      <c r="K35" s="9" t="s">
        <v>0</v>
      </c>
      <c r="L35" s="9"/>
      <c r="M35" s="15">
        <f>M25*2*(L12+L17+L19)</f>
        <v>32</v>
      </c>
      <c r="N35" s="4"/>
      <c r="O35" s="7"/>
      <c r="P35" s="1" t="s">
        <v>100</v>
      </c>
      <c r="Q35" s="29">
        <f>E35+M35</f>
        <v>222.79999999999998</v>
      </c>
      <c r="R35" s="83" t="s">
        <v>0</v>
      </c>
    </row>
    <row r="36" spans="2:18" x14ac:dyDescent="0.2">
      <c r="B36" s="4"/>
      <c r="C36" s="9"/>
      <c r="D36" s="9"/>
      <c r="E36" s="15"/>
      <c r="F36" s="4"/>
      <c r="G36" s="7"/>
      <c r="H36" s="30"/>
      <c r="J36" s="4"/>
      <c r="K36" s="9"/>
      <c r="L36" s="9"/>
      <c r="M36" s="15"/>
      <c r="N36" s="4"/>
      <c r="O36" s="7"/>
      <c r="Q36" s="29"/>
      <c r="R36" s="83"/>
    </row>
    <row r="37" spans="2:18" x14ac:dyDescent="0.2">
      <c r="B37" s="4" t="s">
        <v>15</v>
      </c>
      <c r="C37" s="9" t="s">
        <v>4</v>
      </c>
      <c r="D37" s="9"/>
      <c r="E37" s="15">
        <f>E25*2</f>
        <v>72</v>
      </c>
      <c r="F37" s="4"/>
      <c r="G37" s="27"/>
      <c r="H37" s="30"/>
      <c r="J37" s="4" t="s">
        <v>15</v>
      </c>
      <c r="K37" s="9" t="s">
        <v>4</v>
      </c>
      <c r="L37" s="9"/>
      <c r="M37" s="15">
        <f>M25*2</f>
        <v>32</v>
      </c>
      <c r="N37" s="4"/>
      <c r="O37" s="27"/>
      <c r="P37" s="1" t="s">
        <v>100</v>
      </c>
      <c r="Q37" s="29">
        <f>E37+M37</f>
        <v>104</v>
      </c>
      <c r="R37" s="83" t="s">
        <v>4</v>
      </c>
    </row>
    <row r="38" spans="2:18" x14ac:dyDescent="0.2">
      <c r="B38" s="4"/>
      <c r="C38" s="9"/>
      <c r="D38" s="9"/>
      <c r="E38" s="15"/>
      <c r="F38" s="4"/>
      <c r="G38" s="8"/>
      <c r="H38" s="30"/>
      <c r="J38" s="4"/>
      <c r="K38" s="9"/>
      <c r="L38" s="9"/>
      <c r="M38" s="15"/>
      <c r="N38" s="4"/>
      <c r="O38" s="8"/>
      <c r="Q38" s="29"/>
      <c r="R38" s="83"/>
    </row>
    <row r="39" spans="2:18" x14ac:dyDescent="0.2">
      <c r="B39" s="13" t="s">
        <v>16</v>
      </c>
      <c r="C39" s="9"/>
      <c r="D39" s="9"/>
      <c r="E39" s="15"/>
      <c r="F39" s="4"/>
      <c r="G39" s="27"/>
      <c r="H39" s="30"/>
      <c r="J39" s="13" t="s">
        <v>16</v>
      </c>
      <c r="K39" s="9"/>
      <c r="L39" s="9"/>
      <c r="M39" s="15"/>
      <c r="N39" s="4"/>
      <c r="O39" s="27"/>
      <c r="Q39" s="29"/>
      <c r="R39" s="83"/>
    </row>
    <row r="40" spans="2:18" x14ac:dyDescent="0.2">
      <c r="B40" s="13"/>
      <c r="C40" s="9"/>
      <c r="D40" s="9"/>
      <c r="E40" s="15"/>
      <c r="F40" s="4"/>
      <c r="G40" s="27"/>
      <c r="H40" s="30"/>
      <c r="J40" s="13"/>
      <c r="K40" s="9"/>
      <c r="L40" s="9"/>
      <c r="M40" s="15"/>
      <c r="N40" s="4"/>
      <c r="O40" s="27"/>
      <c r="Q40" s="29"/>
      <c r="R40" s="83"/>
    </row>
    <row r="41" spans="2:18" ht="67.5" hidden="1" x14ac:dyDescent="0.2">
      <c r="B41" s="17" t="s">
        <v>17</v>
      </c>
      <c r="F41" s="4"/>
      <c r="G41" s="27"/>
      <c r="H41" s="30"/>
      <c r="J41" s="17" t="s">
        <v>17</v>
      </c>
      <c r="N41" s="4"/>
      <c r="O41" s="27"/>
      <c r="Q41" s="29">
        <f t="shared" ref="Q41" si="0">M41</f>
        <v>0</v>
      </c>
      <c r="R41" s="25"/>
    </row>
    <row r="42" spans="2:18" hidden="1" x14ac:dyDescent="0.2">
      <c r="B42" s="18"/>
      <c r="C42" s="9"/>
      <c r="D42" s="9"/>
      <c r="E42" s="15"/>
      <c r="F42" s="4"/>
      <c r="G42" s="8"/>
      <c r="H42" s="30"/>
      <c r="J42" s="18"/>
      <c r="K42" s="9"/>
      <c r="L42" s="9"/>
      <c r="M42" s="15"/>
      <c r="N42" s="4"/>
      <c r="O42" s="8"/>
      <c r="Q42" s="29"/>
      <c r="R42" s="83"/>
    </row>
    <row r="43" spans="2:18" ht="22.5" hidden="1" x14ac:dyDescent="0.2">
      <c r="B43" s="17" t="s">
        <v>18</v>
      </c>
      <c r="C43" s="9"/>
      <c r="D43" s="9"/>
      <c r="E43" s="15"/>
      <c r="F43" s="4"/>
      <c r="G43" s="8"/>
      <c r="H43" s="30"/>
      <c r="J43" s="17" t="s">
        <v>18</v>
      </c>
      <c r="K43" s="9"/>
      <c r="L43" s="9"/>
      <c r="M43" s="15"/>
      <c r="N43" s="4"/>
      <c r="O43" s="8"/>
      <c r="Q43" s="29">
        <f>M43</f>
        <v>0</v>
      </c>
      <c r="R43" s="83"/>
    </row>
    <row r="44" spans="2:18" hidden="1" x14ac:dyDescent="0.2">
      <c r="B44" s="17" t="s">
        <v>19</v>
      </c>
      <c r="C44" s="9"/>
      <c r="D44" s="9"/>
      <c r="E44" s="15"/>
      <c r="F44" s="4"/>
      <c r="G44" s="7"/>
      <c r="H44" s="30"/>
      <c r="J44" s="17" t="s">
        <v>19</v>
      </c>
      <c r="K44" s="9"/>
      <c r="L44" s="9"/>
      <c r="M44" s="15"/>
      <c r="N44" s="4"/>
      <c r="O44" s="7"/>
      <c r="Q44" s="29"/>
      <c r="R44" s="83"/>
    </row>
    <row r="45" spans="2:18" hidden="1" x14ac:dyDescent="0.2">
      <c r="B45" s="18"/>
      <c r="C45" s="9"/>
      <c r="D45" s="9"/>
      <c r="E45" s="15"/>
      <c r="F45" s="4"/>
      <c r="G45" s="7"/>
      <c r="H45" s="30"/>
      <c r="J45" s="18"/>
      <c r="K45" s="9"/>
      <c r="L45" s="9"/>
      <c r="M45" s="15"/>
      <c r="N45" s="4"/>
      <c r="O45" s="7"/>
      <c r="Q45" s="29">
        <f>M45</f>
        <v>0</v>
      </c>
      <c r="R45" s="83"/>
    </row>
    <row r="46" spans="2:18" ht="22.5" hidden="1" x14ac:dyDescent="0.2">
      <c r="B46" s="17" t="s">
        <v>20</v>
      </c>
      <c r="C46" s="9"/>
      <c r="D46" s="9"/>
      <c r="E46" s="15"/>
      <c r="F46" s="4"/>
      <c r="G46" s="7"/>
      <c r="H46" s="28"/>
      <c r="J46" s="17" t="s">
        <v>20</v>
      </c>
      <c r="K46" s="9"/>
      <c r="L46" s="9"/>
      <c r="M46" s="15"/>
      <c r="N46" s="4"/>
      <c r="O46" s="7"/>
      <c r="Q46" s="29">
        <f>M46</f>
        <v>0</v>
      </c>
      <c r="R46" s="83"/>
    </row>
    <row r="47" spans="2:18" ht="22.5" hidden="1" x14ac:dyDescent="0.2">
      <c r="B47" s="17" t="s">
        <v>21</v>
      </c>
      <c r="C47" s="9" t="s">
        <v>4</v>
      </c>
      <c r="D47" s="9"/>
      <c r="E47" s="15"/>
      <c r="F47" s="4"/>
      <c r="G47" s="31"/>
      <c r="H47" s="32"/>
      <c r="J47" s="17" t="s">
        <v>21</v>
      </c>
      <c r="K47" s="9" t="s">
        <v>4</v>
      </c>
      <c r="L47" s="9"/>
      <c r="M47" s="15"/>
      <c r="N47" s="4"/>
      <c r="O47" s="31"/>
      <c r="Q47" s="29">
        <f>M47</f>
        <v>0</v>
      </c>
      <c r="R47" s="83" t="s">
        <v>4</v>
      </c>
    </row>
    <row r="48" spans="2:18" ht="22.5" hidden="1" x14ac:dyDescent="0.2">
      <c r="B48" s="17" t="s">
        <v>22</v>
      </c>
      <c r="C48" s="9"/>
      <c r="D48" s="9"/>
      <c r="E48" s="15"/>
      <c r="F48" s="4"/>
      <c r="H48" s="32"/>
      <c r="J48" s="17" t="s">
        <v>22</v>
      </c>
      <c r="K48" s="9"/>
      <c r="L48" s="9"/>
      <c r="M48" s="15"/>
      <c r="N48" s="4"/>
      <c r="Q48" s="29">
        <f>M48</f>
        <v>0</v>
      </c>
      <c r="R48" s="83"/>
    </row>
    <row r="49" spans="2:18" hidden="1" x14ac:dyDescent="0.2">
      <c r="B49" s="18"/>
      <c r="C49" s="9"/>
      <c r="D49" s="9"/>
      <c r="E49" s="15"/>
      <c r="F49" s="4"/>
      <c r="G49" s="5"/>
      <c r="H49" s="32"/>
      <c r="J49" s="18"/>
      <c r="K49" s="9"/>
      <c r="L49" s="9"/>
      <c r="M49" s="15"/>
      <c r="N49" s="4"/>
      <c r="O49" s="5"/>
      <c r="Q49" s="29"/>
      <c r="R49" s="83"/>
    </row>
    <row r="50" spans="2:18" ht="22.5" hidden="1" x14ac:dyDescent="0.2">
      <c r="B50" s="17" t="s">
        <v>23</v>
      </c>
      <c r="C50" s="9" t="s">
        <v>3</v>
      </c>
      <c r="D50" s="9"/>
      <c r="E50" s="15"/>
      <c r="F50" s="4"/>
      <c r="G50" s="5"/>
      <c r="H50" s="32"/>
      <c r="J50" s="17" t="s">
        <v>23</v>
      </c>
      <c r="K50" s="9" t="s">
        <v>3</v>
      </c>
      <c r="L50" s="9"/>
      <c r="M50" s="15"/>
      <c r="N50" s="4"/>
      <c r="O50" s="5"/>
      <c r="Q50" s="29">
        <f>M50</f>
        <v>0</v>
      </c>
      <c r="R50" s="83" t="s">
        <v>3</v>
      </c>
    </row>
    <row r="51" spans="2:18" hidden="1" x14ac:dyDescent="0.2">
      <c r="B51" s="18"/>
      <c r="C51" s="9"/>
      <c r="D51" s="9"/>
      <c r="E51" s="15"/>
      <c r="F51" s="4"/>
      <c r="J51" s="18"/>
      <c r="K51" s="9"/>
      <c r="L51" s="9"/>
      <c r="M51" s="15"/>
      <c r="N51" s="4"/>
      <c r="Q51" s="29">
        <f>M51</f>
        <v>0</v>
      </c>
      <c r="R51" s="83"/>
    </row>
    <row r="52" spans="2:18" ht="22.5" hidden="1" x14ac:dyDescent="0.2">
      <c r="B52" s="17" t="s">
        <v>24</v>
      </c>
      <c r="C52" s="9" t="s">
        <v>3</v>
      </c>
      <c r="D52" s="9"/>
      <c r="E52" s="15"/>
      <c r="F52" s="4"/>
      <c r="J52" s="17" t="s">
        <v>24</v>
      </c>
      <c r="K52" s="9" t="s">
        <v>3</v>
      </c>
      <c r="L52" s="9"/>
      <c r="M52" s="15"/>
      <c r="N52" s="4"/>
      <c r="Q52" s="29">
        <f>M52</f>
        <v>0</v>
      </c>
      <c r="R52" s="83" t="s">
        <v>3</v>
      </c>
    </row>
    <row r="53" spans="2:18" hidden="1" x14ac:dyDescent="0.2">
      <c r="B53" s="18"/>
      <c r="C53" s="9"/>
      <c r="D53" s="9"/>
      <c r="E53" s="15"/>
      <c r="F53" s="4"/>
      <c r="J53" s="18"/>
      <c r="K53" s="9"/>
      <c r="L53" s="9"/>
      <c r="M53" s="15"/>
      <c r="N53" s="4"/>
      <c r="Q53" s="25"/>
      <c r="R53" s="83"/>
    </row>
    <row r="54" spans="2:18" x14ac:dyDescent="0.2">
      <c r="B54" s="18" t="s">
        <v>25</v>
      </c>
      <c r="C54" s="9"/>
      <c r="D54" s="9"/>
      <c r="E54" s="15"/>
      <c r="F54" s="4"/>
      <c r="J54" s="18" t="s">
        <v>25</v>
      </c>
      <c r="K54" s="9"/>
      <c r="L54" s="9"/>
      <c r="M54" s="15"/>
      <c r="N54" s="4"/>
      <c r="Q54" s="25"/>
      <c r="R54" s="83"/>
    </row>
    <row r="55" spans="2:18" x14ac:dyDescent="0.2">
      <c r="B55" s="16" t="s">
        <v>12</v>
      </c>
      <c r="C55" s="9" t="s">
        <v>26</v>
      </c>
      <c r="D55" s="9"/>
      <c r="E55" s="19">
        <f>0.11*E61</f>
        <v>2.2967999999999997</v>
      </c>
      <c r="F55" s="4"/>
      <c r="J55" s="16" t="s">
        <v>12</v>
      </c>
      <c r="K55" s="9" t="s">
        <v>26</v>
      </c>
      <c r="L55" s="9"/>
      <c r="M55" s="19">
        <f>0.11*M61</f>
        <v>0.66880000000000006</v>
      </c>
      <c r="N55" s="4"/>
      <c r="P55" s="1" t="s">
        <v>100</v>
      </c>
      <c r="Q55" s="97">
        <f>E55+M55</f>
        <v>2.9655999999999998</v>
      </c>
      <c r="R55" s="83" t="s">
        <v>26</v>
      </c>
    </row>
    <row r="56" spans="2:18" x14ac:dyDescent="0.2">
      <c r="B56" s="16" t="s">
        <v>27</v>
      </c>
      <c r="C56" s="9" t="s">
        <v>26</v>
      </c>
      <c r="D56" s="9"/>
      <c r="E56" s="19">
        <f>0.15*E62</f>
        <v>2.8619999999999997</v>
      </c>
      <c r="F56" s="19"/>
      <c r="J56" s="16" t="s">
        <v>27</v>
      </c>
      <c r="K56" s="9" t="s">
        <v>26</v>
      </c>
      <c r="L56" s="9"/>
      <c r="M56" s="19">
        <f>0.15*M62</f>
        <v>0.48</v>
      </c>
      <c r="N56" s="19"/>
      <c r="P56" s="1" t="s">
        <v>100</v>
      </c>
      <c r="Q56" s="97">
        <f>E56+M56</f>
        <v>3.3419999999999996</v>
      </c>
      <c r="R56" s="83" t="s">
        <v>26</v>
      </c>
    </row>
    <row r="57" spans="2:18" x14ac:dyDescent="0.2">
      <c r="B57" s="4"/>
      <c r="C57" s="9"/>
      <c r="D57" s="9"/>
      <c r="E57" s="15"/>
      <c r="F57" s="4"/>
      <c r="J57" s="4"/>
      <c r="K57" s="9"/>
      <c r="L57" s="9"/>
      <c r="M57" s="15"/>
      <c r="N57" s="4"/>
      <c r="Q57" s="25"/>
      <c r="R57" s="83"/>
    </row>
    <row r="58" spans="2:18" x14ac:dyDescent="0.2">
      <c r="B58" s="4" t="s">
        <v>28</v>
      </c>
      <c r="C58" s="9"/>
      <c r="D58" s="9"/>
      <c r="E58" s="15"/>
      <c r="F58" s="4"/>
      <c r="J58" s="4" t="s">
        <v>28</v>
      </c>
      <c r="K58" s="9"/>
      <c r="L58" s="9"/>
      <c r="M58" s="15"/>
      <c r="N58" s="4"/>
      <c r="Q58" s="25"/>
      <c r="R58" s="83"/>
    </row>
    <row r="59" spans="2:18" x14ac:dyDescent="0.2">
      <c r="B59" s="4" t="s">
        <v>29</v>
      </c>
      <c r="C59" s="9" t="s">
        <v>0</v>
      </c>
      <c r="D59" s="9"/>
      <c r="E59" s="15">
        <f>(E25*(B22+C23+C22))</f>
        <v>52.199999999999996</v>
      </c>
      <c r="F59" s="4"/>
      <c r="J59" s="4" t="s">
        <v>29</v>
      </c>
      <c r="K59" s="9" t="s">
        <v>0</v>
      </c>
      <c r="L59" s="9"/>
      <c r="M59" s="15">
        <f>(M25*(J22+K23+K22))</f>
        <v>15.2</v>
      </c>
      <c r="N59" s="4"/>
      <c r="P59" s="1" t="s">
        <v>100</v>
      </c>
      <c r="Q59" s="29">
        <f>E59+M59</f>
        <v>67.399999999999991</v>
      </c>
      <c r="R59" s="83" t="s">
        <v>0</v>
      </c>
    </row>
    <row r="60" spans="2:18" x14ac:dyDescent="0.2">
      <c r="B60" s="4"/>
      <c r="C60" s="9"/>
      <c r="D60" s="9"/>
      <c r="E60" s="15"/>
      <c r="F60" s="4"/>
      <c r="J60" s="4"/>
      <c r="K60" s="9"/>
      <c r="L60" s="9"/>
      <c r="M60" s="15"/>
      <c r="N60" s="4"/>
      <c r="Q60" s="25"/>
      <c r="R60" s="83"/>
    </row>
    <row r="61" spans="2:18" x14ac:dyDescent="0.2">
      <c r="B61" s="4" t="s">
        <v>30</v>
      </c>
      <c r="C61" s="9" t="s">
        <v>2</v>
      </c>
      <c r="D61" s="9"/>
      <c r="E61" s="15">
        <f>(E25*(B22+C23+C22)*D21)</f>
        <v>20.88</v>
      </c>
      <c r="F61" s="4"/>
      <c r="J61" s="4" t="s">
        <v>30</v>
      </c>
      <c r="K61" s="9" t="s">
        <v>2</v>
      </c>
      <c r="L61" s="9"/>
      <c r="M61" s="15">
        <f>(M25*(J22+K23+K22)*L21)</f>
        <v>6.08</v>
      </c>
      <c r="N61" s="4"/>
      <c r="P61" s="1" t="s">
        <v>100</v>
      </c>
      <c r="Q61" s="29">
        <f>E61+M61</f>
        <v>26.96</v>
      </c>
      <c r="R61" s="83" t="s">
        <v>2</v>
      </c>
    </row>
    <row r="62" spans="2:18" x14ac:dyDescent="0.2">
      <c r="B62" s="4" t="s">
        <v>5</v>
      </c>
      <c r="C62" s="9" t="s">
        <v>2</v>
      </c>
      <c r="D62" s="9"/>
      <c r="E62" s="15">
        <f>(E25*(C4+C23)/2*(D19+D17+D12))</f>
        <v>19.079999999999998</v>
      </c>
      <c r="F62" s="4"/>
      <c r="J62" s="4" t="s">
        <v>5</v>
      </c>
      <c r="K62" s="9" t="s">
        <v>2</v>
      </c>
      <c r="L62" s="9"/>
      <c r="M62" s="15">
        <f>(M25*(K4+K23)/2*(L19+L17+L12))</f>
        <v>3.2</v>
      </c>
      <c r="N62" s="4"/>
      <c r="P62" s="1" t="s">
        <v>100</v>
      </c>
      <c r="Q62" s="29">
        <f>E62+M62</f>
        <v>22.279999999999998</v>
      </c>
      <c r="R62" s="83" t="s">
        <v>2</v>
      </c>
    </row>
    <row r="63" spans="2:18" x14ac:dyDescent="0.2">
      <c r="B63" s="4"/>
      <c r="C63" s="9"/>
      <c r="D63" s="9"/>
      <c r="E63" s="15"/>
      <c r="F63" s="4"/>
      <c r="J63" s="4"/>
      <c r="K63" s="9"/>
      <c r="L63" s="9"/>
      <c r="M63" s="15"/>
      <c r="N63" s="4"/>
      <c r="Q63" s="25"/>
      <c r="R63" s="83"/>
    </row>
    <row r="64" spans="2:18" x14ac:dyDescent="0.2">
      <c r="B64" s="4" t="s">
        <v>31</v>
      </c>
      <c r="C64" s="9" t="s">
        <v>0</v>
      </c>
      <c r="D64" s="9"/>
      <c r="E64" s="15">
        <f>E59</f>
        <v>52.199999999999996</v>
      </c>
      <c r="J64" s="4" t="s">
        <v>31</v>
      </c>
      <c r="K64" s="9" t="s">
        <v>0</v>
      </c>
      <c r="L64" s="9"/>
      <c r="M64" s="15">
        <f>M59</f>
        <v>15.2</v>
      </c>
      <c r="P64" s="1" t="s">
        <v>100</v>
      </c>
      <c r="Q64" s="29">
        <f>E64+M64</f>
        <v>67.399999999999991</v>
      </c>
      <c r="R64" s="83" t="s">
        <v>0</v>
      </c>
    </row>
    <row r="65" spans="2:18" x14ac:dyDescent="0.2">
      <c r="B65" s="4"/>
      <c r="C65" s="9"/>
      <c r="D65" s="9"/>
      <c r="E65" s="15"/>
      <c r="J65" s="4"/>
      <c r="K65" s="9"/>
      <c r="L65" s="9"/>
      <c r="M65" s="15"/>
      <c r="Q65" s="25"/>
      <c r="R65" s="83"/>
    </row>
    <row r="66" spans="2:18" x14ac:dyDescent="0.2">
      <c r="B66" s="13" t="s">
        <v>32</v>
      </c>
      <c r="E66" s="15"/>
      <c r="J66" s="13" t="s">
        <v>32</v>
      </c>
      <c r="M66" s="15"/>
      <c r="Q66" s="25"/>
      <c r="R66" s="25"/>
    </row>
    <row r="67" spans="2:18" x14ac:dyDescent="0.2">
      <c r="B67" s="20" t="s">
        <v>33</v>
      </c>
      <c r="C67" s="9" t="s">
        <v>4</v>
      </c>
      <c r="D67" s="9"/>
      <c r="E67" s="15">
        <f>E25/8*(B22+D21+D19+D17+D12)</f>
        <v>18.224999999999998</v>
      </c>
      <c r="J67" s="20" t="s">
        <v>33</v>
      </c>
      <c r="K67" s="9" t="s">
        <v>4</v>
      </c>
      <c r="L67" s="9"/>
      <c r="M67" s="15">
        <f>M25/8*(J22+L21+L19+L17+L12)</f>
        <v>3.8</v>
      </c>
      <c r="P67" s="1" t="s">
        <v>100</v>
      </c>
      <c r="Q67" s="29">
        <f>E67+M67</f>
        <v>22.024999999999999</v>
      </c>
      <c r="R67" s="83" t="s">
        <v>4</v>
      </c>
    </row>
    <row r="68" spans="2:18" ht="22.5" x14ac:dyDescent="0.2">
      <c r="B68" s="20" t="s">
        <v>34</v>
      </c>
      <c r="C68" s="9" t="s">
        <v>4</v>
      </c>
      <c r="D68" s="9"/>
      <c r="E68" s="15">
        <f>(E25/10)*(B22+D21+D19+D17+D12)</f>
        <v>14.58</v>
      </c>
      <c r="J68" s="20" t="s">
        <v>34</v>
      </c>
      <c r="K68" s="9" t="s">
        <v>4</v>
      </c>
      <c r="L68" s="9"/>
      <c r="M68" s="15">
        <f>(M25/10)*(J22+L21+L19+L17+L12)</f>
        <v>3.04</v>
      </c>
      <c r="P68" s="1" t="s">
        <v>100</v>
      </c>
      <c r="Q68" s="29">
        <f>E68+M68</f>
        <v>17.62</v>
      </c>
      <c r="R68" s="83" t="s">
        <v>4</v>
      </c>
    </row>
    <row r="69" spans="2:18" ht="22.5" x14ac:dyDescent="0.2">
      <c r="B69" s="20" t="s">
        <v>35</v>
      </c>
      <c r="C69" s="9" t="s">
        <v>4</v>
      </c>
      <c r="D69" s="9"/>
      <c r="E69" s="15">
        <f>(E25/15)*(B22+D21+D19+D17+D12)</f>
        <v>9.7199999999999989</v>
      </c>
      <c r="J69" s="20" t="s">
        <v>35</v>
      </c>
      <c r="K69" s="9" t="s">
        <v>4</v>
      </c>
      <c r="L69" s="9"/>
      <c r="M69" s="15">
        <f>(M25/15)*(J22+L21+L19+L17+L12)</f>
        <v>2.0266666666666664</v>
      </c>
      <c r="P69" s="1" t="s">
        <v>100</v>
      </c>
      <c r="Q69" s="29">
        <f>E69+M69</f>
        <v>11.746666666666666</v>
      </c>
      <c r="R69" s="83" t="s">
        <v>4</v>
      </c>
    </row>
    <row r="70" spans="2:18" x14ac:dyDescent="0.2">
      <c r="B70" s="4"/>
      <c r="C70" s="9"/>
      <c r="D70" s="9"/>
      <c r="E70" s="15"/>
      <c r="J70" s="4"/>
      <c r="K70" s="9"/>
      <c r="L70" s="9"/>
      <c r="M70" s="15"/>
      <c r="Q70" s="25"/>
      <c r="R70" s="83"/>
    </row>
    <row r="71" spans="2:18" ht="22.5" x14ac:dyDescent="0.2">
      <c r="B71" s="18" t="s">
        <v>36</v>
      </c>
      <c r="C71" s="9" t="s">
        <v>0</v>
      </c>
      <c r="D71" s="9"/>
      <c r="E71" s="15">
        <f>E25*2*(D12+D17+D19)</f>
        <v>190.79999999999998</v>
      </c>
      <c r="J71" s="18" t="s">
        <v>36</v>
      </c>
      <c r="K71" s="9" t="s">
        <v>0</v>
      </c>
      <c r="L71" s="9"/>
      <c r="M71" s="15">
        <f>M25*2*(L12+L17+L19)</f>
        <v>32</v>
      </c>
      <c r="P71" s="1" t="s">
        <v>100</v>
      </c>
      <c r="Q71" s="29">
        <f>E71+M71</f>
        <v>222.79999999999998</v>
      </c>
      <c r="R71" s="84" t="s">
        <v>0</v>
      </c>
    </row>
    <row r="72" spans="2:18" x14ac:dyDescent="0.2">
      <c r="B72" s="4"/>
      <c r="C72" s="4"/>
      <c r="D72" s="4"/>
      <c r="E72" s="15"/>
      <c r="J72" s="4"/>
      <c r="K72" s="4"/>
      <c r="L72" s="4"/>
      <c r="M72" s="15"/>
    </row>
  </sheetData>
  <pageMargins left="0.7" right="0.7" top="0.75" bottom="0.75" header="0.3" footer="0.3"/>
  <pageSetup paperSize="8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15F8-2145-4AAE-9309-BC3F23246F7F}">
  <dimension ref="B2:Q31"/>
  <sheetViews>
    <sheetView workbookViewId="0">
      <selection activeCell="B3" sqref="B3"/>
    </sheetView>
  </sheetViews>
  <sheetFormatPr defaultRowHeight="15" x14ac:dyDescent="0.25"/>
  <cols>
    <col min="2" max="2" width="13.7109375" customWidth="1"/>
    <col min="4" max="4" width="4" customWidth="1"/>
    <col min="5" max="5" width="7.5703125" customWidth="1"/>
    <col min="6" max="6" width="5.28515625" customWidth="1"/>
    <col min="7" max="7" width="4.42578125" customWidth="1"/>
    <col min="10" max="10" width="4.5703125" customWidth="1"/>
    <col min="11" max="11" width="5.28515625" customWidth="1"/>
    <col min="12" max="12" width="10.7109375" bestFit="1" customWidth="1"/>
    <col min="13" max="13" width="5.42578125" customWidth="1"/>
    <col min="14" max="14" width="3.42578125" customWidth="1"/>
    <col min="15" max="15" width="1.7109375" customWidth="1"/>
    <col min="16" max="16" width="8.28515625" customWidth="1"/>
  </cols>
  <sheetData>
    <row r="2" spans="2:17" x14ac:dyDescent="0.25">
      <c r="B2" s="37" t="str">
        <f>'Surface Beds'!B1</f>
        <v>Transformer Bay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P2" s="37"/>
      <c r="Q2" s="37"/>
    </row>
    <row r="3" spans="2:17" ht="15.75" thickBot="1" x14ac:dyDescent="0.3">
      <c r="B3" s="4"/>
      <c r="C3" s="4"/>
      <c r="D3" s="4"/>
      <c r="E3" s="4"/>
      <c r="F3" s="4"/>
      <c r="G3" s="9">
        <v>0.25</v>
      </c>
      <c r="H3" s="42">
        <v>1</v>
      </c>
      <c r="I3" s="42"/>
      <c r="J3" s="9">
        <v>0.25</v>
      </c>
      <c r="K3" s="4"/>
      <c r="L3" s="4" t="s">
        <v>40</v>
      </c>
      <c r="M3" s="43">
        <f>H3*H3*(F6+F4)</f>
        <v>1</v>
      </c>
      <c r="N3" s="4" t="s">
        <v>2</v>
      </c>
      <c r="P3" s="43"/>
      <c r="Q3" s="4"/>
    </row>
    <row r="4" spans="2:17" x14ac:dyDescent="0.25">
      <c r="B4" s="4"/>
      <c r="C4" s="4"/>
      <c r="D4" s="4"/>
      <c r="E4" s="4"/>
      <c r="F4" s="10">
        <v>0.5</v>
      </c>
      <c r="G4" s="44"/>
      <c r="H4" s="4"/>
      <c r="I4" s="4"/>
      <c r="J4" s="44"/>
      <c r="K4" s="4"/>
      <c r="L4" s="4"/>
      <c r="M4" s="4"/>
      <c r="N4" s="4"/>
      <c r="P4" s="4"/>
      <c r="Q4" s="4"/>
    </row>
    <row r="5" spans="2:17" x14ac:dyDescent="0.25">
      <c r="B5" s="4"/>
      <c r="C5" s="4"/>
      <c r="D5" s="4"/>
      <c r="E5" s="4"/>
      <c r="F5" s="4"/>
      <c r="G5" s="45"/>
      <c r="H5" s="4"/>
      <c r="I5" s="4"/>
      <c r="J5" s="45"/>
      <c r="K5" s="4"/>
      <c r="L5" s="4"/>
      <c r="M5" s="4"/>
      <c r="N5" s="9"/>
      <c r="P5" s="4"/>
      <c r="Q5" s="9"/>
    </row>
    <row r="6" spans="2:17" x14ac:dyDescent="0.25">
      <c r="B6" s="4"/>
      <c r="C6" s="4"/>
      <c r="D6" s="4"/>
      <c r="E6" s="10">
        <f>F4+F6+L8</f>
        <v>1.4</v>
      </c>
      <c r="F6" s="10">
        <v>0.5</v>
      </c>
      <c r="G6" s="45"/>
      <c r="H6" s="4"/>
      <c r="I6" s="4"/>
      <c r="J6" s="45"/>
      <c r="K6" s="4"/>
      <c r="L6" s="4"/>
      <c r="M6" s="43"/>
      <c r="N6" s="43"/>
      <c r="P6" s="43"/>
      <c r="Q6" s="43"/>
    </row>
    <row r="7" spans="2:17" x14ac:dyDescent="0.25">
      <c r="B7" s="4"/>
      <c r="C7" s="4"/>
      <c r="D7" s="4"/>
      <c r="E7" s="4"/>
      <c r="F7" s="4"/>
      <c r="G7" s="45"/>
      <c r="H7" s="4"/>
      <c r="I7" s="4"/>
      <c r="J7" s="45"/>
      <c r="K7" s="4"/>
      <c r="L7" s="4"/>
      <c r="M7" s="4"/>
      <c r="N7" s="4"/>
      <c r="P7" s="4"/>
      <c r="Q7" s="4"/>
    </row>
    <row r="8" spans="2:17" x14ac:dyDescent="0.25">
      <c r="B8" s="4"/>
      <c r="C8" s="4"/>
      <c r="D8" s="4"/>
      <c r="E8" s="4"/>
      <c r="F8" s="46"/>
      <c r="G8" s="47"/>
      <c r="H8" s="47"/>
      <c r="I8" s="47"/>
      <c r="J8" s="47"/>
      <c r="K8" s="48"/>
      <c r="L8" s="10">
        <v>0.4</v>
      </c>
      <c r="M8" s="4"/>
      <c r="N8" s="4"/>
      <c r="P8" s="4"/>
      <c r="Q8" s="4"/>
    </row>
    <row r="9" spans="2:17" x14ac:dyDescent="0.25">
      <c r="B9" s="4"/>
      <c r="C9" s="4"/>
      <c r="D9" s="4"/>
      <c r="E9" s="4"/>
      <c r="F9" s="9">
        <v>0.4</v>
      </c>
      <c r="G9" s="9">
        <v>0.25</v>
      </c>
      <c r="H9" s="49">
        <v>1</v>
      </c>
      <c r="I9" s="49"/>
      <c r="J9" s="9">
        <v>0.25</v>
      </c>
      <c r="K9" s="9">
        <v>0.4</v>
      </c>
      <c r="L9" s="4"/>
      <c r="M9" s="4"/>
      <c r="N9" s="4"/>
      <c r="P9" s="38" t="s">
        <v>38</v>
      </c>
      <c r="Q9" s="26"/>
    </row>
    <row r="10" spans="2:17" x14ac:dyDescent="0.25">
      <c r="B10" s="4"/>
      <c r="C10" s="4"/>
      <c r="D10" s="4"/>
      <c r="E10" s="4"/>
      <c r="F10" s="4"/>
      <c r="G10" s="4"/>
      <c r="H10" s="49">
        <f>SUM(F9:K9)</f>
        <v>2.2999999999999998</v>
      </c>
      <c r="I10" s="49"/>
      <c r="J10" s="4"/>
      <c r="K10" s="4"/>
      <c r="L10" s="4"/>
      <c r="M10" s="4"/>
      <c r="N10" s="4"/>
      <c r="P10" s="26"/>
      <c r="Q10" s="26"/>
    </row>
    <row r="11" spans="2:17" x14ac:dyDescent="0.25">
      <c r="B11" s="4" t="s">
        <v>41</v>
      </c>
      <c r="C11" s="4">
        <f>(H10+1.2)*(H10+1.2)*E6</f>
        <v>17.149999999999999</v>
      </c>
      <c r="D11" s="37" t="s">
        <v>2</v>
      </c>
      <c r="E11" s="4"/>
      <c r="F11" s="4"/>
      <c r="G11" s="4"/>
      <c r="H11" s="4"/>
      <c r="I11" s="4"/>
      <c r="J11" s="4"/>
      <c r="K11" s="4"/>
      <c r="L11" s="4"/>
      <c r="M11" s="4"/>
      <c r="N11" s="4"/>
      <c r="P11" s="78">
        <f>C11</f>
        <v>17.149999999999999</v>
      </c>
      <c r="Q11" s="87" t="s">
        <v>2</v>
      </c>
    </row>
    <row r="12" spans="2:17" x14ac:dyDescent="0.25">
      <c r="B12" s="4" t="s">
        <v>9</v>
      </c>
      <c r="C12" s="4">
        <f>C11-((F6+F4)*(G3+H3+J3)*(G3+H3+J3))-(H10*H10*L8)</f>
        <v>12.783999999999999</v>
      </c>
      <c r="D12" s="37" t="s">
        <v>2</v>
      </c>
      <c r="E12" s="4"/>
      <c r="F12" s="4"/>
      <c r="G12" s="4"/>
      <c r="H12" s="4"/>
      <c r="I12" s="4"/>
      <c r="J12" s="4"/>
      <c r="K12" s="4"/>
      <c r="L12" s="4"/>
      <c r="M12" s="4"/>
      <c r="N12" s="4"/>
      <c r="P12" s="78">
        <f>C12</f>
        <v>12.783999999999999</v>
      </c>
      <c r="Q12" s="87" t="s">
        <v>2</v>
      </c>
    </row>
    <row r="13" spans="2:17" x14ac:dyDescent="0.25">
      <c r="B13" s="4" t="s">
        <v>10</v>
      </c>
      <c r="C13" s="4"/>
      <c r="D13" s="37"/>
      <c r="E13" s="4"/>
      <c r="F13" s="4"/>
      <c r="G13" s="4"/>
      <c r="H13" s="4"/>
      <c r="I13" s="4"/>
      <c r="J13" s="4"/>
      <c r="K13" s="4"/>
      <c r="L13" s="4"/>
      <c r="M13" s="4"/>
      <c r="N13" s="4"/>
      <c r="P13" s="78"/>
      <c r="Q13" s="87"/>
    </row>
    <row r="14" spans="2:17" x14ac:dyDescent="0.25">
      <c r="B14" s="16" t="s">
        <v>42</v>
      </c>
      <c r="C14" s="4">
        <f>(H10*4*L8)</f>
        <v>3.6799999999999997</v>
      </c>
      <c r="D14" s="37" t="s"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P14" s="78">
        <f>C14</f>
        <v>3.6799999999999997</v>
      </c>
      <c r="Q14" s="87" t="s">
        <v>0</v>
      </c>
    </row>
    <row r="15" spans="2:17" x14ac:dyDescent="0.25">
      <c r="B15" s="16" t="s">
        <v>43</v>
      </c>
      <c r="C15" s="4">
        <f>(2*(G3+H3+J3)*(F6+F4))+(2*(H3)*(F6+F4))</f>
        <v>5</v>
      </c>
      <c r="D15" s="37" t="s">
        <v>0</v>
      </c>
      <c r="E15" s="4"/>
      <c r="F15" s="4"/>
      <c r="G15" s="4" t="s">
        <v>44</v>
      </c>
      <c r="H15" s="4"/>
      <c r="I15" s="4"/>
      <c r="J15" s="4"/>
      <c r="K15" s="4"/>
      <c r="L15" s="4"/>
      <c r="M15" s="4"/>
      <c r="N15" s="4"/>
      <c r="P15" s="78">
        <f>C15</f>
        <v>5</v>
      </c>
      <c r="Q15" s="87" t="s">
        <v>0</v>
      </c>
    </row>
    <row r="16" spans="2:17" x14ac:dyDescent="0.25">
      <c r="B16" s="4" t="s">
        <v>45</v>
      </c>
      <c r="C16" s="4"/>
      <c r="D16" s="37"/>
      <c r="E16" s="4"/>
      <c r="F16" s="4"/>
      <c r="G16" s="4"/>
      <c r="H16" s="4"/>
      <c r="I16" s="4"/>
      <c r="J16" s="4"/>
      <c r="K16" s="4"/>
      <c r="L16" s="4"/>
      <c r="M16" s="4"/>
      <c r="N16" s="4"/>
      <c r="P16" s="78"/>
      <c r="Q16" s="87"/>
    </row>
    <row r="17" spans="2:17" x14ac:dyDescent="0.25">
      <c r="B17" s="16" t="s">
        <v>42</v>
      </c>
      <c r="C17" s="4">
        <f>0.1*C21</f>
        <v>0.21159999999999998</v>
      </c>
      <c r="D17" s="37" t="s">
        <v>26</v>
      </c>
      <c r="E17" s="4"/>
      <c r="F17" s="4"/>
      <c r="G17" s="4"/>
      <c r="H17" s="4"/>
      <c r="I17" s="4"/>
      <c r="J17" s="4"/>
      <c r="K17" s="4"/>
      <c r="L17" s="4"/>
      <c r="M17" s="4"/>
      <c r="N17" s="4"/>
      <c r="P17" s="78">
        <f>C17</f>
        <v>0.21159999999999998</v>
      </c>
      <c r="Q17" s="87" t="s">
        <v>26</v>
      </c>
    </row>
    <row r="18" spans="2:17" x14ac:dyDescent="0.25">
      <c r="B18" s="16" t="s">
        <v>43</v>
      </c>
      <c r="C18" s="4">
        <f>0.15*C22</f>
        <v>0.1875</v>
      </c>
      <c r="D18" s="37" t="s">
        <v>26</v>
      </c>
      <c r="E18" s="4"/>
      <c r="F18" s="4"/>
      <c r="G18" s="4"/>
      <c r="H18" s="4"/>
      <c r="I18" s="4"/>
      <c r="J18" s="4"/>
      <c r="K18" s="4"/>
      <c r="L18" s="4"/>
      <c r="M18" s="4"/>
      <c r="N18" s="4"/>
      <c r="P18" s="78">
        <f>C18</f>
        <v>0.1875</v>
      </c>
      <c r="Q18" s="87" t="s">
        <v>26</v>
      </c>
    </row>
    <row r="19" spans="2:17" x14ac:dyDescent="0.25">
      <c r="B19" s="4" t="s">
        <v>1</v>
      </c>
      <c r="C19" s="4"/>
      <c r="D19" s="37"/>
      <c r="E19" s="4"/>
      <c r="F19" s="4"/>
      <c r="G19" s="4"/>
      <c r="H19" s="4"/>
      <c r="I19" s="4"/>
      <c r="J19" s="4"/>
      <c r="K19" s="4"/>
      <c r="L19" s="4"/>
      <c r="M19" s="4"/>
      <c r="N19" s="4"/>
      <c r="P19" s="78"/>
      <c r="Q19" s="87"/>
    </row>
    <row r="20" spans="2:17" x14ac:dyDescent="0.25">
      <c r="B20" s="16" t="s">
        <v>46</v>
      </c>
      <c r="C20" s="4">
        <f>H10*H10</f>
        <v>5.2899999999999991</v>
      </c>
      <c r="D20" s="37" t="s"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P20" s="78">
        <f t="shared" ref="P20:P26" si="0">C20</f>
        <v>5.2899999999999991</v>
      </c>
      <c r="Q20" s="87" t="s">
        <v>0</v>
      </c>
    </row>
    <row r="21" spans="2:17" x14ac:dyDescent="0.25">
      <c r="B21" s="16" t="s">
        <v>47</v>
      </c>
      <c r="C21" s="4">
        <f>H10*H10*L8</f>
        <v>2.1159999999999997</v>
      </c>
      <c r="D21" s="37" t="s">
        <v>2</v>
      </c>
      <c r="E21" s="4"/>
      <c r="F21" s="4"/>
      <c r="G21" s="4"/>
      <c r="H21" s="4"/>
      <c r="I21" s="4"/>
      <c r="J21" s="4"/>
      <c r="K21" s="4"/>
      <c r="L21" s="4"/>
      <c r="M21" s="4"/>
      <c r="N21" s="4"/>
      <c r="P21" s="78">
        <f t="shared" si="0"/>
        <v>2.1159999999999997</v>
      </c>
      <c r="Q21" s="87" t="s">
        <v>2</v>
      </c>
    </row>
    <row r="22" spans="2:17" x14ac:dyDescent="0.25">
      <c r="B22" s="16" t="s">
        <v>48</v>
      </c>
      <c r="C22" s="4">
        <f>(2*(G3*(F6+F4)*(G3+H3+J3))+(2*(G3*(F6+F4)*H3)))</f>
        <v>1.25</v>
      </c>
      <c r="D22" s="37" t="s">
        <v>2</v>
      </c>
      <c r="E22" s="4"/>
      <c r="F22" s="4"/>
      <c r="G22" s="4"/>
      <c r="H22" s="4"/>
      <c r="I22" s="4"/>
      <c r="J22" s="4"/>
      <c r="K22" s="4"/>
      <c r="L22" s="4"/>
      <c r="M22" s="4"/>
      <c r="N22" s="4"/>
      <c r="P22" s="78">
        <f t="shared" si="0"/>
        <v>1.25</v>
      </c>
      <c r="Q22" s="87" t="s">
        <v>2</v>
      </c>
    </row>
    <row r="23" spans="2:17" x14ac:dyDescent="0.25">
      <c r="B23" s="4" t="s">
        <v>31</v>
      </c>
      <c r="C23" s="4">
        <f>C20</f>
        <v>5.2899999999999991</v>
      </c>
      <c r="D23" s="37" t="s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P23" s="78">
        <f t="shared" si="0"/>
        <v>5.2899999999999991</v>
      </c>
      <c r="Q23" s="87" t="s">
        <v>0</v>
      </c>
    </row>
    <row r="24" spans="2:17" x14ac:dyDescent="0.25">
      <c r="B24" s="50" t="s">
        <v>49</v>
      </c>
      <c r="C24" s="4">
        <f>H3*4</f>
        <v>4</v>
      </c>
      <c r="D24" s="37" t="s">
        <v>4</v>
      </c>
      <c r="E24" s="4"/>
      <c r="F24" s="4"/>
      <c r="G24" s="4"/>
      <c r="H24" s="4"/>
      <c r="I24" s="4"/>
      <c r="J24" s="4"/>
      <c r="K24" s="4"/>
      <c r="L24" s="4"/>
      <c r="M24" s="4"/>
      <c r="N24" s="4"/>
      <c r="P24" s="78">
        <f t="shared" si="0"/>
        <v>4</v>
      </c>
      <c r="Q24" s="87" t="s">
        <v>4</v>
      </c>
    </row>
    <row r="25" spans="2:17" x14ac:dyDescent="0.25">
      <c r="B25" s="50" t="s">
        <v>50</v>
      </c>
      <c r="C25" s="4">
        <f>H3*H3</f>
        <v>1</v>
      </c>
      <c r="D25" s="37" t="s">
        <v>0</v>
      </c>
      <c r="E25" s="4"/>
      <c r="F25" s="4"/>
      <c r="G25" s="4"/>
      <c r="H25" s="4"/>
      <c r="I25" s="4"/>
      <c r="J25" s="4"/>
      <c r="K25" s="4"/>
      <c r="L25" s="4"/>
      <c r="M25" s="4"/>
      <c r="N25" s="4"/>
      <c r="P25" s="78">
        <f t="shared" si="0"/>
        <v>1</v>
      </c>
      <c r="Q25" s="87" t="s">
        <v>0</v>
      </c>
    </row>
    <row r="26" spans="2:17" x14ac:dyDescent="0.25">
      <c r="B26" s="50" t="s">
        <v>51</v>
      </c>
      <c r="C26" s="4">
        <f>(F6+F4)*4</f>
        <v>4</v>
      </c>
      <c r="D26" s="37" t="s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P26" s="78">
        <f t="shared" si="0"/>
        <v>4</v>
      </c>
      <c r="Q26" s="87" t="s">
        <v>0</v>
      </c>
    </row>
    <row r="27" spans="2:17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P27" s="85"/>
      <c r="Q27" s="86"/>
    </row>
    <row r="28" spans="2:17" x14ac:dyDescent="0.25">
      <c r="P28" s="85"/>
      <c r="Q28" s="86"/>
    </row>
    <row r="29" spans="2:17" x14ac:dyDescent="0.25">
      <c r="P29" s="39"/>
      <c r="Q29" s="86"/>
    </row>
    <row r="30" spans="2:17" x14ac:dyDescent="0.25">
      <c r="P30" s="85"/>
      <c r="Q30" s="86"/>
    </row>
    <row r="31" spans="2:17" x14ac:dyDescent="0.25">
      <c r="P31" s="85"/>
      <c r="Q31" s="8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38AD-C66E-465E-8B81-46B241BCD6BE}">
  <dimension ref="B2:J44"/>
  <sheetViews>
    <sheetView topLeftCell="A10" workbookViewId="0">
      <selection activeCell="R31" sqref="R31"/>
    </sheetView>
  </sheetViews>
  <sheetFormatPr defaultRowHeight="15" x14ac:dyDescent="0.25"/>
  <cols>
    <col min="2" max="2" width="25.28515625" bestFit="1" customWidth="1"/>
  </cols>
  <sheetData>
    <row r="2" spans="2:10" x14ac:dyDescent="0.25">
      <c r="B2" s="2" t="s">
        <v>99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88" t="s">
        <v>67</v>
      </c>
      <c r="C4" s="89">
        <v>0</v>
      </c>
      <c r="D4" s="88" t="s">
        <v>4</v>
      </c>
      <c r="E4" s="1"/>
      <c r="F4" s="1"/>
      <c r="G4" s="1"/>
      <c r="H4" s="1"/>
      <c r="I4" s="1"/>
      <c r="J4" s="1"/>
    </row>
    <row r="5" spans="2:10" x14ac:dyDescent="0.25">
      <c r="B5" s="88" t="s">
        <v>68</v>
      </c>
      <c r="C5" s="90">
        <v>0</v>
      </c>
      <c r="D5" s="88" t="s">
        <v>4</v>
      </c>
      <c r="E5" s="1"/>
      <c r="F5" s="1"/>
      <c r="G5" s="1"/>
      <c r="H5" s="1"/>
      <c r="I5" s="1"/>
      <c r="J5" s="1"/>
    </row>
    <row r="6" spans="2:10" x14ac:dyDescent="0.25">
      <c r="B6" s="88" t="s">
        <v>69</v>
      </c>
      <c r="C6" s="89">
        <v>0</v>
      </c>
      <c r="D6" s="88" t="s">
        <v>4</v>
      </c>
      <c r="E6" s="1"/>
      <c r="F6" s="1"/>
      <c r="G6" s="1"/>
      <c r="H6" s="1"/>
      <c r="I6" s="1"/>
      <c r="J6" s="1"/>
    </row>
    <row r="7" spans="2:10" x14ac:dyDescent="0.25">
      <c r="B7" s="88" t="s">
        <v>70</v>
      </c>
      <c r="C7" s="89">
        <v>0</v>
      </c>
      <c r="D7" s="88" t="s">
        <v>4</v>
      </c>
      <c r="E7" s="1"/>
      <c r="F7" s="1"/>
      <c r="G7" s="1"/>
      <c r="H7" s="1"/>
      <c r="I7" s="1"/>
      <c r="J7" s="1"/>
    </row>
    <row r="8" spans="2:10" x14ac:dyDescent="0.25">
      <c r="B8" s="88" t="s">
        <v>71</v>
      </c>
      <c r="C8" s="89">
        <v>0</v>
      </c>
      <c r="D8" s="88" t="s">
        <v>4</v>
      </c>
      <c r="E8" s="1"/>
      <c r="F8" s="1"/>
      <c r="G8" s="1"/>
      <c r="H8" s="1"/>
      <c r="I8" s="1"/>
      <c r="J8" s="1"/>
    </row>
    <row r="9" spans="2:10" x14ac:dyDescent="0.25">
      <c r="B9" s="88"/>
      <c r="C9" s="89"/>
      <c r="D9" s="88"/>
      <c r="E9" s="1"/>
      <c r="F9" s="1"/>
      <c r="G9" s="1"/>
      <c r="H9" s="1"/>
      <c r="I9" s="1"/>
      <c r="J9" s="1"/>
    </row>
    <row r="10" spans="2:10" x14ac:dyDescent="0.25">
      <c r="B10" s="88" t="s">
        <v>72</v>
      </c>
      <c r="C10" s="89">
        <v>1</v>
      </c>
      <c r="D10" s="88" t="s">
        <v>3</v>
      </c>
      <c r="E10" s="1"/>
      <c r="F10" s="1"/>
      <c r="G10" s="1"/>
      <c r="H10" s="1"/>
      <c r="I10" s="1"/>
      <c r="J10" s="1"/>
    </row>
    <row r="11" spans="2:10" x14ac:dyDescent="0.25">
      <c r="B11" s="88" t="s">
        <v>73</v>
      </c>
      <c r="C11" s="89">
        <v>1.8</v>
      </c>
      <c r="D11" s="88" t="s">
        <v>4</v>
      </c>
      <c r="E11" s="1"/>
      <c r="F11" s="1"/>
      <c r="G11" s="1"/>
      <c r="H11" s="1"/>
      <c r="I11" s="1"/>
      <c r="J11" s="1"/>
    </row>
    <row r="12" spans="2:10" x14ac:dyDescent="0.25">
      <c r="B12" s="88" t="s">
        <v>74</v>
      </c>
      <c r="C12" s="89">
        <v>2.4</v>
      </c>
      <c r="D12" s="88" t="s">
        <v>4</v>
      </c>
      <c r="E12" s="1"/>
      <c r="F12" s="1"/>
      <c r="G12" s="1"/>
      <c r="H12" s="1"/>
      <c r="I12" s="1"/>
      <c r="J12" s="1"/>
    </row>
    <row r="13" spans="2:10" x14ac:dyDescent="0.25">
      <c r="B13" s="88" t="s">
        <v>75</v>
      </c>
      <c r="C13" s="90">
        <v>0.5</v>
      </c>
      <c r="D13" s="88" t="s">
        <v>4</v>
      </c>
      <c r="E13" s="1"/>
      <c r="F13" s="1"/>
      <c r="G13" s="1"/>
      <c r="H13" s="1"/>
      <c r="I13" s="1"/>
      <c r="J13" s="1"/>
    </row>
    <row r="14" spans="2:10" x14ac:dyDescent="0.25">
      <c r="B14" s="88" t="s">
        <v>76</v>
      </c>
      <c r="C14" s="89">
        <v>0</v>
      </c>
      <c r="D14" s="88" t="s">
        <v>3</v>
      </c>
      <c r="E14" s="1"/>
      <c r="F14" s="1"/>
      <c r="G14" s="1"/>
      <c r="H14" s="1"/>
      <c r="I14" s="1"/>
      <c r="J14" s="1"/>
    </row>
    <row r="15" spans="2:10" x14ac:dyDescent="0.25">
      <c r="B15" s="88" t="s">
        <v>77</v>
      </c>
      <c r="C15" s="89">
        <v>115</v>
      </c>
      <c r="D15" s="88"/>
      <c r="E15" s="24" t="s">
        <v>78</v>
      </c>
      <c r="F15" s="24"/>
      <c r="G15" s="91">
        <v>4</v>
      </c>
      <c r="H15" s="8" t="s">
        <v>3</v>
      </c>
      <c r="I15" s="1"/>
      <c r="J15" s="1"/>
    </row>
    <row r="16" spans="2:10" x14ac:dyDescent="0.25">
      <c r="B16" s="88"/>
      <c r="C16" s="89"/>
      <c r="D16" s="88"/>
      <c r="E16" s="24"/>
      <c r="F16" s="24"/>
      <c r="G16" s="91"/>
      <c r="H16" s="8"/>
      <c r="I16" s="1"/>
      <c r="J16" s="1"/>
    </row>
    <row r="17" spans="2:10" x14ac:dyDescent="0.25">
      <c r="B17" s="8"/>
      <c r="C17" s="8"/>
      <c r="D17" s="8"/>
      <c r="E17" s="2" t="s">
        <v>38</v>
      </c>
      <c r="F17" s="1"/>
      <c r="G17" s="1"/>
      <c r="H17" s="1"/>
      <c r="I17" s="25" t="s">
        <v>38</v>
      </c>
      <c r="J17" s="26"/>
    </row>
    <row r="18" spans="2:10" x14ac:dyDescent="0.25">
      <c r="B18" s="8"/>
      <c r="C18" s="8"/>
      <c r="D18" s="8"/>
      <c r="E18" s="2"/>
      <c r="F18" s="1"/>
      <c r="G18" s="1"/>
      <c r="H18" s="1"/>
      <c r="I18" s="26"/>
      <c r="J18" s="26"/>
    </row>
    <row r="19" spans="2:10" x14ac:dyDescent="0.25">
      <c r="B19" s="27" t="s">
        <v>79</v>
      </c>
      <c r="C19" s="8"/>
      <c r="D19" s="8"/>
      <c r="E19" s="1"/>
      <c r="F19" s="1"/>
      <c r="G19" s="1"/>
      <c r="H19" s="1"/>
      <c r="I19" s="26"/>
      <c r="J19" s="26"/>
    </row>
    <row r="20" spans="2:10" x14ac:dyDescent="0.25">
      <c r="B20" s="8" t="s">
        <v>80</v>
      </c>
      <c r="C20" s="8">
        <v>0</v>
      </c>
      <c r="D20" s="8" t="s">
        <v>3</v>
      </c>
      <c r="E20" s="92"/>
      <c r="F20" s="93"/>
      <c r="G20" s="1"/>
      <c r="H20" s="1"/>
      <c r="I20" s="29">
        <f>C20</f>
        <v>0</v>
      </c>
      <c r="J20" s="94" t="s">
        <v>3</v>
      </c>
    </row>
    <row r="21" spans="2:10" x14ac:dyDescent="0.25">
      <c r="B21" s="8"/>
      <c r="C21" s="30"/>
      <c r="D21" s="8"/>
      <c r="E21" s="92"/>
      <c r="F21" s="93"/>
      <c r="G21" s="1"/>
      <c r="H21" s="1"/>
      <c r="I21" s="29"/>
      <c r="J21" s="94"/>
    </row>
    <row r="22" spans="2:10" x14ac:dyDescent="0.25">
      <c r="B22" s="27" t="s">
        <v>81</v>
      </c>
      <c r="C22" s="30"/>
      <c r="D22" s="8"/>
      <c r="E22" s="92"/>
      <c r="F22" s="93"/>
      <c r="G22" s="1"/>
      <c r="H22" s="1"/>
      <c r="I22" s="29"/>
      <c r="J22" s="94"/>
    </row>
    <row r="23" spans="2:10" x14ac:dyDescent="0.25">
      <c r="B23" s="8" t="s">
        <v>82</v>
      </c>
      <c r="C23" s="30">
        <f>(C4+C7)*(C5+C7)*(C6+C8)</f>
        <v>0</v>
      </c>
      <c r="D23" s="8" t="s">
        <v>2</v>
      </c>
      <c r="E23" s="95">
        <f t="shared" ref="E23:E44" si="0">C23*G$15</f>
        <v>0</v>
      </c>
      <c r="F23" s="93" t="s">
        <v>2</v>
      </c>
      <c r="G23" s="1"/>
      <c r="H23" s="1"/>
      <c r="I23" s="29">
        <f>E23</f>
        <v>0</v>
      </c>
      <c r="J23" s="94" t="s">
        <v>2</v>
      </c>
    </row>
    <row r="24" spans="2:10" x14ac:dyDescent="0.25">
      <c r="B24" s="8" t="s">
        <v>83</v>
      </c>
      <c r="C24" s="30">
        <f>C23-(C4*C5*C6)</f>
        <v>0</v>
      </c>
      <c r="D24" s="8" t="s">
        <v>2</v>
      </c>
      <c r="E24" s="95">
        <f t="shared" si="0"/>
        <v>0</v>
      </c>
      <c r="F24" s="93" t="s">
        <v>2</v>
      </c>
      <c r="G24" s="1"/>
      <c r="H24" s="1"/>
      <c r="I24" s="29">
        <f>E24</f>
        <v>0</v>
      </c>
      <c r="J24" s="94" t="s">
        <v>2</v>
      </c>
    </row>
    <row r="25" spans="2:10" x14ac:dyDescent="0.25">
      <c r="B25" s="8"/>
      <c r="C25" s="30"/>
      <c r="D25" s="8"/>
      <c r="E25" s="95"/>
      <c r="F25" s="93"/>
      <c r="G25" s="1"/>
      <c r="H25" s="1"/>
      <c r="I25" s="29"/>
      <c r="J25" s="94"/>
    </row>
    <row r="26" spans="2:10" x14ac:dyDescent="0.25">
      <c r="B26" s="27" t="s">
        <v>84</v>
      </c>
      <c r="C26" s="30"/>
      <c r="D26" s="8"/>
      <c r="E26" s="95"/>
      <c r="F26" s="93"/>
      <c r="G26" s="1"/>
      <c r="H26" s="1"/>
      <c r="I26" s="29"/>
      <c r="J26" s="94"/>
    </row>
    <row r="27" spans="2:10" x14ac:dyDescent="0.25">
      <c r="B27" s="8" t="s">
        <v>10</v>
      </c>
      <c r="C27" s="30"/>
      <c r="D27" s="8"/>
      <c r="E27" s="95"/>
      <c r="F27" s="93"/>
      <c r="G27" s="1"/>
      <c r="H27" s="1"/>
      <c r="I27" s="29"/>
      <c r="J27" s="94"/>
    </row>
    <row r="28" spans="2:10" x14ac:dyDescent="0.25">
      <c r="B28" s="7" t="s">
        <v>85</v>
      </c>
      <c r="C28" s="30">
        <f>(2*(C4*C6))+(2*(C5*C6))</f>
        <v>0</v>
      </c>
      <c r="D28" s="8" t="s">
        <v>0</v>
      </c>
      <c r="E28" s="95">
        <f t="shared" si="0"/>
        <v>0</v>
      </c>
      <c r="F28" s="93" t="s">
        <v>0</v>
      </c>
      <c r="G28" s="1"/>
      <c r="H28" s="1"/>
      <c r="I28" s="29">
        <f t="shared" ref="I28:I33" si="1">E28</f>
        <v>0</v>
      </c>
      <c r="J28" s="94" t="s">
        <v>0</v>
      </c>
    </row>
    <row r="29" spans="2:10" x14ac:dyDescent="0.25">
      <c r="B29" s="7" t="s">
        <v>86</v>
      </c>
      <c r="C29" s="30">
        <f>((2*(C11*C13))+((C12*C13)*2))*C10</f>
        <v>4.2</v>
      </c>
      <c r="D29" s="8" t="s">
        <v>0</v>
      </c>
      <c r="E29" s="95">
        <f t="shared" si="0"/>
        <v>16.8</v>
      </c>
      <c r="F29" s="93" t="s">
        <v>0</v>
      </c>
      <c r="G29" s="1"/>
      <c r="H29" s="1"/>
      <c r="I29" s="29">
        <f t="shared" si="1"/>
        <v>16.8</v>
      </c>
      <c r="J29" s="94" t="s">
        <v>0</v>
      </c>
    </row>
    <row r="30" spans="2:10" x14ac:dyDescent="0.25">
      <c r="B30" s="27" t="s">
        <v>87</v>
      </c>
      <c r="C30" s="30">
        <f>C14*C10</f>
        <v>0</v>
      </c>
      <c r="D30" s="8" t="s">
        <v>3</v>
      </c>
      <c r="E30" s="95">
        <f t="shared" si="0"/>
        <v>0</v>
      </c>
      <c r="F30" s="93" t="s">
        <v>3</v>
      </c>
      <c r="G30" s="1"/>
      <c r="H30" s="1"/>
      <c r="I30" s="29">
        <f t="shared" si="1"/>
        <v>0</v>
      </c>
      <c r="J30" s="94" t="s">
        <v>3</v>
      </c>
    </row>
    <row r="31" spans="2:10" x14ac:dyDescent="0.25">
      <c r="B31" s="8" t="s">
        <v>88</v>
      </c>
      <c r="C31" s="30">
        <f>C30</f>
        <v>0</v>
      </c>
      <c r="D31" s="8" t="s">
        <v>3</v>
      </c>
      <c r="E31" s="95">
        <f t="shared" si="0"/>
        <v>0</v>
      </c>
      <c r="F31" s="93" t="s">
        <v>3</v>
      </c>
      <c r="G31" s="1"/>
      <c r="H31" s="1"/>
      <c r="I31" s="29">
        <f t="shared" si="1"/>
        <v>0</v>
      </c>
      <c r="J31" s="94" t="s">
        <v>3</v>
      </c>
    </row>
    <row r="32" spans="2:10" x14ac:dyDescent="0.25">
      <c r="B32" s="27" t="s">
        <v>15</v>
      </c>
      <c r="C32" s="30">
        <f>(2*C11)+(2*C12)+(2*C4)+(C5*2)</f>
        <v>8.4</v>
      </c>
      <c r="D32" s="8" t="s">
        <v>4</v>
      </c>
      <c r="E32" s="95">
        <f t="shared" si="0"/>
        <v>33.6</v>
      </c>
      <c r="F32" s="93" t="s">
        <v>4</v>
      </c>
      <c r="G32" s="1"/>
      <c r="H32" s="1"/>
      <c r="I32" s="29">
        <f t="shared" si="1"/>
        <v>33.6</v>
      </c>
      <c r="J32" s="94" t="s">
        <v>4</v>
      </c>
    </row>
    <row r="33" spans="2:10" x14ac:dyDescent="0.25">
      <c r="B33" s="27" t="s">
        <v>25</v>
      </c>
      <c r="C33" s="30">
        <f>(C37+C38+C39)*C15/1000</f>
        <v>0.24840000000000001</v>
      </c>
      <c r="D33" s="8" t="s">
        <v>26</v>
      </c>
      <c r="E33" s="92">
        <f t="shared" si="0"/>
        <v>0.99360000000000004</v>
      </c>
      <c r="F33" s="93" t="s">
        <v>26</v>
      </c>
      <c r="G33" s="1"/>
      <c r="H33" s="1"/>
      <c r="I33" s="29">
        <f t="shared" si="1"/>
        <v>0.99360000000000004</v>
      </c>
      <c r="J33" s="94" t="s">
        <v>26</v>
      </c>
    </row>
    <row r="34" spans="2:10" x14ac:dyDescent="0.25">
      <c r="B34" s="27" t="s">
        <v>1</v>
      </c>
      <c r="C34" s="30"/>
      <c r="D34" s="8"/>
      <c r="E34" s="92"/>
      <c r="F34" s="93"/>
      <c r="G34" s="1"/>
      <c r="H34" s="1"/>
      <c r="I34" s="29"/>
      <c r="J34" s="94"/>
    </row>
    <row r="35" spans="2:10" x14ac:dyDescent="0.25">
      <c r="B35" s="8" t="s">
        <v>89</v>
      </c>
      <c r="C35" s="30">
        <f>(C4+C7)*(C5+C7)</f>
        <v>0</v>
      </c>
      <c r="D35" s="8" t="s">
        <v>0</v>
      </c>
      <c r="E35" s="95">
        <f t="shared" si="0"/>
        <v>0</v>
      </c>
      <c r="F35" s="93" t="s">
        <v>0</v>
      </c>
      <c r="G35" s="1"/>
      <c r="H35" s="1"/>
      <c r="I35" s="29">
        <f>E35</f>
        <v>0</v>
      </c>
      <c r="J35" s="94" t="s">
        <v>0</v>
      </c>
    </row>
    <row r="36" spans="2:10" x14ac:dyDescent="0.25">
      <c r="B36" s="8" t="s">
        <v>90</v>
      </c>
      <c r="C36" s="30"/>
      <c r="D36" s="8"/>
      <c r="E36" s="95"/>
      <c r="F36" s="93"/>
      <c r="G36" s="1"/>
      <c r="H36" s="1"/>
      <c r="I36" s="29"/>
      <c r="J36" s="94"/>
    </row>
    <row r="37" spans="2:10" x14ac:dyDescent="0.25">
      <c r="B37" s="7" t="s">
        <v>91</v>
      </c>
      <c r="C37" s="30">
        <f>C4*C5*C6</f>
        <v>0</v>
      </c>
      <c r="D37" s="8" t="s">
        <v>2</v>
      </c>
      <c r="E37" s="95">
        <f t="shared" si="0"/>
        <v>0</v>
      </c>
      <c r="F37" s="93" t="s">
        <v>2</v>
      </c>
      <c r="G37" s="1"/>
      <c r="H37" s="1"/>
      <c r="I37" s="29">
        <f>E37</f>
        <v>0</v>
      </c>
      <c r="J37" s="94" t="s">
        <v>2</v>
      </c>
    </row>
    <row r="38" spans="2:10" x14ac:dyDescent="0.25">
      <c r="B38" s="7" t="s">
        <v>92</v>
      </c>
      <c r="C38" s="30">
        <f>C10*C11*C12*C13</f>
        <v>2.16</v>
      </c>
      <c r="D38" s="8" t="s">
        <v>2</v>
      </c>
      <c r="E38" s="95">
        <f t="shared" si="0"/>
        <v>8.64</v>
      </c>
      <c r="F38" s="93" t="s">
        <v>2</v>
      </c>
      <c r="G38" s="1"/>
      <c r="H38" s="1"/>
      <c r="I38" s="29">
        <f>E38</f>
        <v>8.64</v>
      </c>
      <c r="J38" s="94" t="s">
        <v>2</v>
      </c>
    </row>
    <row r="39" spans="2:10" x14ac:dyDescent="0.25">
      <c r="B39" s="7" t="s">
        <v>93</v>
      </c>
      <c r="C39" s="28"/>
      <c r="D39" s="8" t="s">
        <v>2</v>
      </c>
      <c r="E39" s="95">
        <f t="shared" si="0"/>
        <v>0</v>
      </c>
      <c r="F39" s="93" t="s">
        <v>2</v>
      </c>
      <c r="G39" s="1"/>
      <c r="H39" s="1"/>
      <c r="I39" s="29">
        <f>E39</f>
        <v>0</v>
      </c>
      <c r="J39" s="94" t="s">
        <v>2</v>
      </c>
    </row>
    <row r="40" spans="2:10" x14ac:dyDescent="0.25">
      <c r="B40" s="31" t="s">
        <v>94</v>
      </c>
      <c r="C40" s="32">
        <f>C4*C5</f>
        <v>0</v>
      </c>
      <c r="D40" s="1" t="s">
        <v>0</v>
      </c>
      <c r="E40" s="95">
        <f t="shared" si="0"/>
        <v>0</v>
      </c>
      <c r="F40" s="96" t="s">
        <v>0</v>
      </c>
      <c r="G40" s="1"/>
      <c r="H40" s="1"/>
      <c r="I40" s="29">
        <f>E40</f>
        <v>0</v>
      </c>
      <c r="J40" s="25" t="s">
        <v>0</v>
      </c>
    </row>
    <row r="41" spans="2:10" x14ac:dyDescent="0.25">
      <c r="B41" s="1" t="s">
        <v>95</v>
      </c>
      <c r="C41" s="32"/>
      <c r="D41" s="1"/>
      <c r="E41" s="92"/>
      <c r="F41" s="96"/>
      <c r="G41" s="1"/>
      <c r="H41" s="1"/>
      <c r="I41" s="29"/>
      <c r="J41" s="25"/>
    </row>
    <row r="42" spans="2:10" x14ac:dyDescent="0.25">
      <c r="B42" s="5" t="s">
        <v>96</v>
      </c>
      <c r="C42" s="32">
        <f>C14*C10*(0.15*0.15*0.2)</f>
        <v>0</v>
      </c>
      <c r="D42" s="1" t="s">
        <v>2</v>
      </c>
      <c r="E42" s="92">
        <f t="shared" si="0"/>
        <v>0</v>
      </c>
      <c r="F42" s="96" t="s">
        <v>2</v>
      </c>
      <c r="G42" s="1"/>
      <c r="H42" s="1"/>
      <c r="I42" s="29">
        <f>E42</f>
        <v>0</v>
      </c>
      <c r="J42" s="25" t="s">
        <v>2</v>
      </c>
    </row>
    <row r="43" spans="2:10" x14ac:dyDescent="0.25">
      <c r="B43" s="5" t="s">
        <v>97</v>
      </c>
      <c r="C43" s="32">
        <f>C10*C11*C12*0.075</f>
        <v>0.32400000000000001</v>
      </c>
      <c r="D43" s="1" t="s">
        <v>2</v>
      </c>
      <c r="E43" s="92">
        <f t="shared" si="0"/>
        <v>1.296</v>
      </c>
      <c r="F43" s="96" t="s">
        <v>2</v>
      </c>
      <c r="G43" s="1"/>
      <c r="H43" s="1"/>
      <c r="I43" s="29">
        <f>E43</f>
        <v>1.296</v>
      </c>
      <c r="J43" s="25" t="s">
        <v>2</v>
      </c>
    </row>
    <row r="44" spans="2:10" x14ac:dyDescent="0.25">
      <c r="B44" s="1" t="s">
        <v>98</v>
      </c>
      <c r="C44" s="1">
        <f>(C11*2)+(C12*2)</f>
        <v>8.4</v>
      </c>
      <c r="D44" s="1" t="s">
        <v>4</v>
      </c>
      <c r="E44" s="95">
        <f t="shared" si="0"/>
        <v>33.6</v>
      </c>
      <c r="F44" s="96" t="s">
        <v>4</v>
      </c>
      <c r="G44" s="1"/>
      <c r="H44" s="1"/>
      <c r="I44" s="29">
        <f>E44</f>
        <v>33.6</v>
      </c>
      <c r="J44" s="2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Surface Beds</vt:lpstr>
      <vt:lpstr>Retaining Wall</vt:lpstr>
      <vt:lpstr>Sump</vt:lpstr>
      <vt:lpstr>Transformer Plinths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2023-09-14T09:11:54Z</dcterms:modified>
</cp:coreProperties>
</file>