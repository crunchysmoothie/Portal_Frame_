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CDD7F839-DDEA-4976-B0FB-251BFBEC6EA5}" xr6:coauthVersionLast="47" xr6:coauthVersionMax="47" xr10:uidLastSave="{00000000-0000-0000-0000-000000000000}"/>
  <bookViews>
    <workbookView xWindow="20370" yWindow="-120" windowWidth="29040" windowHeight="15840" activeTab="3" xr2:uid="{02E6CA28-4D7E-41BA-B5AF-451451D26AAE}"/>
  </bookViews>
  <sheets>
    <sheet name="Water Tanks Foundations" sheetId="3" r:id="rId1"/>
    <sheet name="Surface Bed" sheetId="1" r:id="rId2"/>
    <sheet name="Pump Plinths" sheetId="4" r:id="rId3"/>
    <sheet name="Sum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44" i="3" l="1"/>
  <c r="AG43" i="3"/>
  <c r="AG42" i="3"/>
  <c r="AG40" i="3"/>
  <c r="AG39" i="3"/>
  <c r="AG38" i="3"/>
  <c r="AG37" i="3"/>
  <c r="AG35" i="3"/>
  <c r="AG33" i="3"/>
  <c r="AG32" i="3"/>
  <c r="AG31" i="3"/>
  <c r="AG30" i="3"/>
  <c r="AG29" i="3"/>
  <c r="AG28" i="3"/>
  <c r="AG24" i="3"/>
  <c r="AG23" i="3"/>
  <c r="C27" i="5"/>
  <c r="P27" i="5" s="1"/>
  <c r="C26" i="5"/>
  <c r="P26" i="5" s="1"/>
  <c r="C25" i="5"/>
  <c r="P25" i="5" s="1"/>
  <c r="C23" i="5"/>
  <c r="P23" i="5" s="1"/>
  <c r="C16" i="5"/>
  <c r="P16" i="5" s="1"/>
  <c r="H11" i="5"/>
  <c r="C21" i="5" s="1"/>
  <c r="E7" i="5"/>
  <c r="M4" i="5"/>
  <c r="C22" i="5" l="1"/>
  <c r="C18" i="5" s="1"/>
  <c r="P18" i="5" s="1"/>
  <c r="C19" i="5"/>
  <c r="P19" i="5" s="1"/>
  <c r="P21" i="5"/>
  <c r="C24" i="5"/>
  <c r="P24" i="5" s="1"/>
  <c r="P22" i="5"/>
  <c r="C12" i="5"/>
  <c r="C15" i="5"/>
  <c r="P15" i="5" s="1"/>
  <c r="P12" i="5" l="1"/>
  <c r="C13" i="5"/>
  <c r="P13" i="5" s="1"/>
  <c r="C44" i="4" l="1"/>
  <c r="E44" i="4" s="1"/>
  <c r="I44" i="4" s="1"/>
  <c r="C43" i="4"/>
  <c r="E43" i="4" s="1"/>
  <c r="I43" i="4" s="1"/>
  <c r="E42" i="4"/>
  <c r="I42" i="4" s="1"/>
  <c r="C42" i="4"/>
  <c r="C40" i="4"/>
  <c r="E40" i="4" s="1"/>
  <c r="I40" i="4" s="1"/>
  <c r="E39" i="4"/>
  <c r="I39" i="4" s="1"/>
  <c r="C38" i="4"/>
  <c r="E38" i="4" s="1"/>
  <c r="I38" i="4" s="1"/>
  <c r="C37" i="4"/>
  <c r="E35" i="4"/>
  <c r="I35" i="4" s="1"/>
  <c r="C35" i="4"/>
  <c r="C32" i="4"/>
  <c r="E32" i="4" s="1"/>
  <c r="I32" i="4" s="1"/>
  <c r="C31" i="4"/>
  <c r="E31" i="4" s="1"/>
  <c r="I31" i="4" s="1"/>
  <c r="E30" i="4"/>
  <c r="I30" i="4" s="1"/>
  <c r="C30" i="4"/>
  <c r="C29" i="4"/>
  <c r="E29" i="4" s="1"/>
  <c r="I29" i="4" s="1"/>
  <c r="E28" i="4"/>
  <c r="I28" i="4" s="1"/>
  <c r="C28" i="4"/>
  <c r="C24" i="4"/>
  <c r="E24" i="4" s="1"/>
  <c r="I24" i="4" s="1"/>
  <c r="E23" i="4"/>
  <c r="I23" i="4" s="1"/>
  <c r="C23" i="4"/>
  <c r="I20" i="4"/>
  <c r="J36" i="1"/>
  <c r="J34" i="1"/>
  <c r="J32" i="1"/>
  <c r="I14" i="1"/>
  <c r="J10" i="1"/>
  <c r="AG20" i="3"/>
  <c r="C44" i="3"/>
  <c r="C23" i="3"/>
  <c r="C24" i="3" s="1"/>
  <c r="E6" i="1"/>
  <c r="G14" i="1" s="1"/>
  <c r="AA44" i="3"/>
  <c r="AC44" i="3" s="1"/>
  <c r="AA43" i="3"/>
  <c r="AC43" i="3" s="1"/>
  <c r="AA42" i="3"/>
  <c r="AC42" i="3" s="1"/>
  <c r="AA40" i="3"/>
  <c r="AC40" i="3" s="1"/>
  <c r="AC39" i="3"/>
  <c r="AA38" i="3"/>
  <c r="AC38" i="3" s="1"/>
  <c r="AA37" i="3"/>
  <c r="AC37" i="3" s="1"/>
  <c r="AA35" i="3"/>
  <c r="AC35" i="3" s="1"/>
  <c r="AA32" i="3"/>
  <c r="AC32" i="3" s="1"/>
  <c r="AA30" i="3"/>
  <c r="AA31" i="3" s="1"/>
  <c r="AC31" i="3" s="1"/>
  <c r="AA29" i="3"/>
  <c r="AC29" i="3" s="1"/>
  <c r="AA28" i="3"/>
  <c r="AC28" i="3" s="1"/>
  <c r="AA23" i="3"/>
  <c r="AA24" i="3" s="1"/>
  <c r="AC24" i="3" s="1"/>
  <c r="S44" i="3"/>
  <c r="U44" i="3" s="1"/>
  <c r="S43" i="3"/>
  <c r="U43" i="3" s="1"/>
  <c r="S42" i="3"/>
  <c r="U42" i="3" s="1"/>
  <c r="S40" i="3"/>
  <c r="U40" i="3" s="1"/>
  <c r="U39" i="3"/>
  <c r="S38" i="3"/>
  <c r="U38" i="3" s="1"/>
  <c r="S37" i="3"/>
  <c r="U37" i="3" s="1"/>
  <c r="S35" i="3"/>
  <c r="U35" i="3" s="1"/>
  <c r="S32" i="3"/>
  <c r="U32" i="3" s="1"/>
  <c r="S30" i="3"/>
  <c r="S31" i="3" s="1"/>
  <c r="U31" i="3" s="1"/>
  <c r="S29" i="3"/>
  <c r="U29" i="3" s="1"/>
  <c r="S28" i="3"/>
  <c r="U28" i="3" s="1"/>
  <c r="S23" i="3"/>
  <c r="S24" i="3" s="1"/>
  <c r="U24" i="3" s="1"/>
  <c r="K29" i="3"/>
  <c r="K23" i="3"/>
  <c r="K24" i="3" s="1"/>
  <c r="K28" i="3"/>
  <c r="K30" i="3"/>
  <c r="K31" i="3" s="1"/>
  <c r="K32" i="3"/>
  <c r="K35" i="3"/>
  <c r="K37" i="3"/>
  <c r="K40" i="3"/>
  <c r="K42" i="3"/>
  <c r="K43" i="3"/>
  <c r="K44" i="3"/>
  <c r="C33" i="4" l="1"/>
  <c r="E33" i="4" s="1"/>
  <c r="I33" i="4" s="1"/>
  <c r="E37" i="4"/>
  <c r="I37" i="4" s="1"/>
  <c r="AC30" i="3"/>
  <c r="AA33" i="3"/>
  <c r="AC23" i="3"/>
  <c r="U30" i="3"/>
  <c r="S33" i="3"/>
  <c r="U33" i="3" s="1"/>
  <c r="U23" i="3"/>
  <c r="K38" i="3"/>
  <c r="K33" i="3" s="1"/>
  <c r="AC33" i="3" l="1"/>
  <c r="M33" i="3" l="1"/>
  <c r="C29" i="3"/>
  <c r="C43" i="3"/>
  <c r="C42" i="3"/>
  <c r="C40" i="3"/>
  <c r="C37" i="3"/>
  <c r="C35" i="3"/>
  <c r="C32" i="3"/>
  <c r="C30" i="3"/>
  <c r="C28" i="3"/>
  <c r="E39" i="3"/>
  <c r="J18" i="1" l="1"/>
  <c r="N18" i="1" s="1"/>
  <c r="N32" i="1"/>
  <c r="J14" i="1"/>
  <c r="N36" i="1"/>
  <c r="E44" i="3"/>
  <c r="C31" i="3"/>
  <c r="E42" i="3"/>
  <c r="N34" i="1"/>
  <c r="M40" i="3"/>
  <c r="M29" i="3"/>
  <c r="M37" i="3"/>
  <c r="M31" i="3"/>
  <c r="M24" i="3"/>
  <c r="E40" i="3"/>
  <c r="M42" i="3"/>
  <c r="M43" i="3"/>
  <c r="E43" i="3"/>
  <c r="M44" i="3"/>
  <c r="M30" i="3"/>
  <c r="C38" i="3"/>
  <c r="C33" i="3" s="1"/>
  <c r="M28" i="3"/>
  <c r="M39" i="3"/>
  <c r="M38" i="3"/>
  <c r="M23" i="3"/>
  <c r="M35" i="3"/>
  <c r="M32" i="3"/>
  <c r="E29" i="3"/>
  <c r="E28" i="3"/>
  <c r="E23" i="3"/>
  <c r="E35" i="3"/>
  <c r="E37" i="3"/>
  <c r="E30" i="3"/>
  <c r="E32" i="3"/>
  <c r="J20" i="1" l="1"/>
  <c r="N20" i="1" s="1"/>
  <c r="J22" i="1"/>
  <c r="N22" i="1" s="1"/>
  <c r="J16" i="1"/>
  <c r="N16" i="1" s="1"/>
  <c r="E31" i="3"/>
  <c r="E33" i="3"/>
  <c r="E24" i="3"/>
  <c r="J24" i="1"/>
  <c r="N24" i="1" s="1"/>
  <c r="E38" i="3"/>
  <c r="J26" i="1" l="1"/>
  <c r="N26" i="1" s="1"/>
  <c r="J28" i="1" l="1"/>
  <c r="N28" i="1" s="1"/>
</calcChain>
</file>

<file path=xl/sharedStrings.xml><?xml version="1.0" encoding="utf-8"?>
<sst xmlns="http://schemas.openxmlformats.org/spreadsheetml/2006/main" count="578" uniqueCount="81">
  <si>
    <t xml:space="preserve">Area = </t>
  </si>
  <si>
    <t>m2</t>
  </si>
  <si>
    <t>Rip and Recompact (150mm)</t>
  </si>
  <si>
    <t>Formwork &lt; 200mm</t>
  </si>
  <si>
    <t>Concrete</t>
  </si>
  <si>
    <t>Concrete - Surface Beds)</t>
  </si>
  <si>
    <t>m3</t>
  </si>
  <si>
    <t>DPC</t>
  </si>
  <si>
    <t>Finishing (Power Float)</t>
  </si>
  <si>
    <t>No</t>
  </si>
  <si>
    <t>Joints</t>
  </si>
  <si>
    <t>m</t>
  </si>
  <si>
    <t>Surface Application (Floor Hardener &amp; Sealant) - Peneseal</t>
  </si>
  <si>
    <t>- Saw Tied Joint (STJ)</t>
  </si>
  <si>
    <t>- Keyed Construction Joints (KCJ)</t>
  </si>
  <si>
    <t>- Isolation Joints (IJ)</t>
  </si>
  <si>
    <t>Mesh 617 (Top and Bottom layers)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</si>
  <si>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</si>
  <si>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</si>
  <si>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</si>
  <si>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</si>
  <si>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</si>
  <si>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</si>
  <si>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</si>
  <si>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</si>
  <si>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</si>
  <si>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</si>
  <si>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</si>
  <si>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</si>
  <si>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</si>
  <si>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</si>
  <si>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</si>
  <si>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</si>
  <si>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</si>
  <si>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</si>
  <si>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</si>
  <si>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</si>
  <si>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</si>
  <si>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</si>
  <si>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</si>
  <si>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</si>
  <si>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</si>
  <si>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</si>
  <si>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</si>
  <si>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</si>
  <si>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</si>
  <si>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</si>
  <si>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</si>
  <si>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</si>
  <si>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</si>
  <si>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</si>
  <si>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</si>
  <si>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AREA 1</t>
  </si>
  <si>
    <t>Piles</t>
  </si>
  <si>
    <t>CFA 750mm diameter</t>
  </si>
  <si>
    <t>Slab Thickness</t>
  </si>
  <si>
    <t>mm</t>
  </si>
  <si>
    <t>Ozone Water Tank - Raft Foundations</t>
  </si>
  <si>
    <t>CWT Water Tank - Raft Foundation</t>
  </si>
  <si>
    <t xml:space="preserve">Elevated Water Tank - Pad Foundations </t>
  </si>
  <si>
    <t>Product Water - Raft Foundation</t>
  </si>
  <si>
    <t>Elevated Water Tank</t>
  </si>
  <si>
    <t>DCIS 610mm diameter</t>
  </si>
  <si>
    <t>Water Tank -Pump Plinths</t>
  </si>
  <si>
    <t>Sump Volume =</t>
  </si>
  <si>
    <t>Exavation</t>
  </si>
  <si>
    <t>Backfill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</si>
  <si>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</si>
  <si>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</si>
  <si>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</si>
  <si>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</si>
  <si>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</si>
  <si>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</si>
  <si>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</si>
  <si>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Finishing</t>
  </si>
  <si>
    <t>Cast in Angles</t>
  </si>
  <si>
    <t>Mentis Grating</t>
  </si>
  <si>
    <t>Epoxy (Walls)</t>
  </si>
  <si>
    <t>Water Tanks Area Sump</t>
  </si>
  <si>
    <t>x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</si>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</sst>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rgb="FFFFC000"/>
      </bottom>
      <diagonal/>
    </border>
    <border>
      <left style="thin">
        <color rgb="FFFFC000"/>
      </left>
      <right/>
      <top style="thin">
        <color rgb="FFFF0000"/>
      </top>
      <bottom style="thin">
        <color rgb="FFFFC000"/>
      </bottom>
      <diagonal/>
    </border>
    <border>
      <left style="thin">
        <color rgb="FFFFC000"/>
      </left>
      <right/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7" tint="0.39994506668294322"/>
      </right>
      <top style="thin">
        <color rgb="FFFF0000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FFC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theme="7" tint="0.39994506668294322"/>
      </top>
      <bottom style="thin">
        <color rgb="FF0070C0"/>
      </bottom>
      <diagonal/>
    </border>
    <border>
      <left style="thin">
        <color indexed="64"/>
      </left>
      <right style="medium">
        <color indexed="64"/>
      </right>
      <top style="thin">
        <color rgb="FFFF0000"/>
      </top>
      <bottom style="medium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  <xf numFmtId="0" fontId="3" fillId="0" borderId="0" xfId="0" quotePrefix="1" applyFont="1"/>
    <xf numFmtId="4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0" fontId="8" fillId="0" borderId="0" xfId="0" quotePrefix="1" applyFont="1"/>
    <xf numFmtId="0" fontId="9" fillId="0" borderId="0" xfId="0" quotePrefix="1" applyFont="1"/>
    <xf numFmtId="1" fontId="4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2" fontId="2" fillId="0" borderId="0" xfId="0" applyNumberFormat="1" applyFont="1" applyAlignment="1">
      <alignment horizontal="center"/>
    </xf>
    <xf numFmtId="3" fontId="4" fillId="5" borderId="0" xfId="0" applyNumberFormat="1" applyFont="1" applyFill="1"/>
    <xf numFmtId="2" fontId="1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0" fillId="0" borderId="0" xfId="0" applyFont="1"/>
    <xf numFmtId="0" fontId="3" fillId="0" borderId="0" xfId="0" applyFont="1"/>
    <xf numFmtId="0" fontId="1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2" fontId="2" fillId="4" borderId="0" xfId="0" applyNumberFormat="1" applyFont="1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11" fillId="4" borderId="0" xfId="0" applyFont="1" applyFill="1"/>
    <xf numFmtId="4" fontId="2" fillId="4" borderId="0" xfId="0" applyNumberFormat="1" applyFont="1" applyFill="1"/>
    <xf numFmtId="0" fontId="2" fillId="4" borderId="0" xfId="0" applyFont="1" applyFill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16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396240</xdr:colOff>
      <xdr:row>3</xdr:row>
      <xdr:rowOff>7620</xdr:rowOff>
    </xdr:from>
    <xdr:to>
      <xdr:col>8</xdr:col>
      <xdr:colOff>95624</xdr:colOff>
      <xdr:row>4</xdr:row>
      <xdr:rowOff>91451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76D7BC-DFE7-8DDA-973B-8DB7EB0E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" y="403860"/>
          <a:ext cx="115834" cy="121931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6</xdr:row>
      <xdr:rowOff>0</xdr:rowOff>
    </xdr:from>
    <xdr:to>
      <xdr:col>9</xdr:col>
      <xdr:colOff>53351</xdr:colOff>
      <xdr:row>7</xdr:row>
      <xdr:rowOff>96139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D8766D-D683-B6D4-AB2F-2DC50858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3340" y="20726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10</xdr:col>
      <xdr:colOff>480060</xdr:colOff>
      <xdr:row>3</xdr:row>
      <xdr:rowOff>15240</xdr:rowOff>
    </xdr:from>
    <xdr:to>
      <xdr:col>11</xdr:col>
      <xdr:colOff>95261</xdr:colOff>
      <xdr:row>4</xdr:row>
      <xdr:rowOff>93737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964D8A9-D072-86C6-225E-C7C9F3EA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9660" y="41148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129540</xdr:rowOff>
    </xdr:from>
    <xdr:to>
      <xdr:col>12</xdr:col>
      <xdr:colOff>116795</xdr:colOff>
      <xdr:row>4</xdr:row>
      <xdr:rowOff>91832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2DB1EC-3A6C-C114-4B97-A5D7044C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0020" y="3886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129540</xdr:rowOff>
    </xdr:from>
    <xdr:to>
      <xdr:col>12</xdr:col>
      <xdr:colOff>98244</xdr:colOff>
      <xdr:row>4</xdr:row>
      <xdr:rowOff>91832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2930E9-6EC4-AB27-CC7A-1864F08EB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2340" y="3886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6</xdr:row>
      <xdr:rowOff>0</xdr:rowOff>
    </xdr:from>
    <xdr:to>
      <xdr:col>10</xdr:col>
      <xdr:colOff>95261</xdr:colOff>
      <xdr:row>7</xdr:row>
      <xdr:rowOff>92329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D89A1F-A238-B48E-E437-5BC357F3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8</xdr:col>
      <xdr:colOff>472440</xdr:colOff>
      <xdr:row>3</xdr:row>
      <xdr:rowOff>0</xdr:rowOff>
    </xdr:from>
    <xdr:to>
      <xdr:col>9</xdr:col>
      <xdr:colOff>76211</xdr:colOff>
      <xdr:row>4</xdr:row>
      <xdr:rowOff>97547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4AEC64E-55A8-F497-1297-392D67EF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8580" y="3962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3</xdr:row>
      <xdr:rowOff>7620</xdr:rowOff>
    </xdr:from>
    <xdr:to>
      <xdr:col>10</xdr:col>
      <xdr:colOff>97166</xdr:colOff>
      <xdr:row>4</xdr:row>
      <xdr:rowOff>97547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722887-63FF-AE13-782B-BF16F6F5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982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130628</xdr:colOff>
      <xdr:row>7</xdr:row>
      <xdr:rowOff>59343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6F99D94-1389-57B8-47CA-5EE4E6998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47372" y="2092492"/>
          <a:ext cx="122032" cy="11078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299003</xdr:rowOff>
    </xdr:from>
    <xdr:to>
      <xdr:col>12</xdr:col>
      <xdr:colOff>96337</xdr:colOff>
      <xdr:row>5</xdr:row>
      <xdr:rowOff>74605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D745489-433B-A461-D631-F3C1FF2E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61986" y="737981"/>
          <a:ext cx="103957" cy="115189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6</xdr:row>
      <xdr:rowOff>0</xdr:rowOff>
    </xdr:from>
    <xdr:to>
      <xdr:col>11</xdr:col>
      <xdr:colOff>53351</xdr:colOff>
      <xdr:row>7</xdr:row>
      <xdr:rowOff>96139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68C575-E709-F3A7-C6EA-C303250F2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99660" y="20650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6</xdr:row>
      <xdr:rowOff>0</xdr:rowOff>
    </xdr:from>
    <xdr:to>
      <xdr:col>8</xdr:col>
      <xdr:colOff>94101</xdr:colOff>
      <xdr:row>7</xdr:row>
      <xdr:rowOff>92329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D7D5CFB-AEF0-491B-5565-CD544AB2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66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403860</xdr:colOff>
      <xdr:row>4</xdr:row>
      <xdr:rowOff>312420</xdr:rowOff>
    </xdr:from>
    <xdr:to>
      <xdr:col>8</xdr:col>
      <xdr:colOff>93719</xdr:colOff>
      <xdr:row>5</xdr:row>
      <xdr:rowOff>91451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7143FE-27BD-4C3F-A00A-6C5D4238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8520" y="746760"/>
          <a:ext cx="115834" cy="12193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15240</xdr:rowOff>
    </xdr:from>
    <xdr:to>
      <xdr:col>12</xdr:col>
      <xdr:colOff>98242</xdr:colOff>
      <xdr:row>4</xdr:row>
      <xdr:rowOff>93737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62F3F1-7230-F473-37D0-CEB4449A8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4960" y="41148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7620</xdr:rowOff>
    </xdr:from>
    <xdr:to>
      <xdr:col>12</xdr:col>
      <xdr:colOff>134438</xdr:colOff>
      <xdr:row>4</xdr:row>
      <xdr:rowOff>97547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B0F71C-A24E-E968-7E60-CFDC4E25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15240</xdr:rowOff>
    </xdr:from>
    <xdr:to>
      <xdr:col>12</xdr:col>
      <xdr:colOff>98243</xdr:colOff>
      <xdr:row>4</xdr:row>
      <xdr:rowOff>93737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4DC6B47-2900-A6A1-DFA5-6B9D10AC6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31280" y="41148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7620</xdr:rowOff>
    </xdr:from>
    <xdr:to>
      <xdr:col>12</xdr:col>
      <xdr:colOff>132532</xdr:colOff>
      <xdr:row>4</xdr:row>
      <xdr:rowOff>97547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ADA8867-0152-7C4D-1B4C-23A52BBE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420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10026</xdr:rowOff>
    </xdr:from>
    <xdr:to>
      <xdr:col>12</xdr:col>
      <xdr:colOff>130628</xdr:colOff>
      <xdr:row>4</xdr:row>
      <xdr:rowOff>92233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5CEBF-24E1-4E9C-A3F0-D7694C17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4533" y="416092"/>
          <a:ext cx="123936" cy="11278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134438</xdr:colOff>
      <xdr:row>7</xdr:row>
      <xdr:rowOff>59343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68CC0A-C7C8-45A0-95DC-6D48758D5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5729" y="2090487"/>
          <a:ext cx="123937" cy="11078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130629</xdr:colOff>
      <xdr:row>7</xdr:row>
      <xdr:rowOff>57438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9886E4-8410-4082-B254-39C2601F7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83592" y="2105526"/>
          <a:ext cx="131557" cy="1050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130628</xdr:colOff>
      <xdr:row>7</xdr:row>
      <xdr:rowOff>59778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71152E-634F-43B7-A47E-852DC101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83592" y="2090487"/>
          <a:ext cx="131557" cy="10887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5013</xdr:rowOff>
    </xdr:from>
    <xdr:to>
      <xdr:col>12</xdr:col>
      <xdr:colOff>134437</xdr:colOff>
      <xdr:row>4</xdr:row>
      <xdr:rowOff>96845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BDF5F7-7966-4BE4-BC45-4A798371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83592" y="411079"/>
          <a:ext cx="116316" cy="12050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124239</xdr:rowOff>
    </xdr:from>
    <xdr:to>
      <xdr:col>12</xdr:col>
      <xdr:colOff>130627</xdr:colOff>
      <xdr:row>4</xdr:row>
      <xdr:rowOff>96139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81A5B3F-9A0A-4317-955B-1299101D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97348" y="389282"/>
          <a:ext cx="113482" cy="136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5</xdr:row>
      <xdr:rowOff>28575</xdr:rowOff>
    </xdr:from>
    <xdr:to>
      <xdr:col>6</xdr:col>
      <xdr:colOff>0</xdr:colOff>
      <xdr:row>5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E1410D-D556-4926-801A-950677751B6F}"/>
            </a:ext>
          </a:extLst>
        </xdr:cNvPr>
        <xdr:cNvSpPr/>
      </xdr:nvSpPr>
      <xdr:spPr>
        <a:xfrm>
          <a:off x="2171700" y="760095"/>
          <a:ext cx="1133475" cy="49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3</xdr:row>
      <xdr:rowOff>175260</xdr:rowOff>
    </xdr:from>
    <xdr:to>
      <xdr:col>5</xdr:col>
      <xdr:colOff>289560</xdr:colOff>
      <xdr:row>5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08AD6B2-9BCD-44CD-A096-AA8A14FBB8ED}"/>
            </a:ext>
          </a:extLst>
        </xdr:cNvPr>
        <xdr:cNvCxnSpPr/>
      </xdr:nvCxnSpPr>
      <xdr:spPr>
        <a:xfrm>
          <a:off x="3228975" y="5334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5</xdr:row>
      <xdr:rowOff>66675</xdr:rowOff>
    </xdr:from>
    <xdr:to>
      <xdr:col>5</xdr:col>
      <xdr:colOff>285750</xdr:colOff>
      <xdr:row>8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730AD95-43BA-4BCC-BACC-26A0E585C618}"/>
            </a:ext>
          </a:extLst>
        </xdr:cNvPr>
        <xdr:cNvCxnSpPr/>
      </xdr:nvCxnSpPr>
      <xdr:spPr>
        <a:xfrm>
          <a:off x="3225165" y="798195"/>
          <a:ext cx="0" cy="4781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3</xdr:row>
      <xdr:rowOff>182880</xdr:rowOff>
    </xdr:from>
    <xdr:to>
      <xdr:col>4</xdr:col>
      <xdr:colOff>426720</xdr:colOff>
      <xdr:row>9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2792E23-431A-47FA-B3A5-4420E5FB9D53}"/>
            </a:ext>
          </a:extLst>
        </xdr:cNvPr>
        <xdr:cNvCxnSpPr/>
      </xdr:nvCxnSpPr>
      <xdr:spPr>
        <a:xfrm>
          <a:off x="2857500" y="542925"/>
          <a:ext cx="0" cy="9239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10</xdr:row>
      <xdr:rowOff>0</xdr:rowOff>
    </xdr:from>
    <xdr:to>
      <xdr:col>11</xdr:col>
      <xdr:colOff>7620</xdr:colOff>
      <xdr:row>10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CFAA45B-10B2-4A3F-A678-12F051227F27}"/>
            </a:ext>
          </a:extLst>
        </xdr:cNvPr>
        <xdr:cNvCxnSpPr/>
      </xdr:nvCxnSpPr>
      <xdr:spPr>
        <a:xfrm>
          <a:off x="2943225" y="1638300"/>
          <a:ext cx="257175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AH44"/>
  <sheetViews>
    <sheetView topLeftCell="F1" workbookViewId="0">
      <selection activeCell="AE33" sqref="AE33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24" style="1" customWidth="1"/>
    <col min="11" max="11" width="8" style="1" customWidth="1"/>
    <col min="12" max="14" width="9.140625" style="1"/>
    <col min="15" max="15" width="3.5703125" style="1" customWidth="1"/>
    <col min="16" max="16" width="9.140625" style="1"/>
    <col min="17" max="17" width="3.42578125" style="1" customWidth="1"/>
    <col min="18" max="18" width="26.42578125" style="1" customWidth="1"/>
    <col min="19" max="22" width="9.140625" style="1"/>
    <col min="23" max="23" width="3.7109375" style="1" customWidth="1"/>
    <col min="24" max="25" width="3.28515625" style="1" customWidth="1"/>
    <col min="26" max="26" width="26.28515625" style="1" customWidth="1"/>
    <col min="27" max="31" width="9.28515625" style="1" customWidth="1"/>
    <col min="32" max="32" width="2.7109375" style="1" bestFit="1" customWidth="1"/>
    <col min="33" max="16384" width="9.140625" style="1"/>
  </cols>
  <sheetData>
    <row r="2" spans="2:32" x14ac:dyDescent="0.2">
      <c r="B2" s="2" t="s">
        <v>57</v>
      </c>
      <c r="J2" s="2" t="s">
        <v>58</v>
      </c>
      <c r="R2" s="2" t="s">
        <v>59</v>
      </c>
      <c r="Z2" s="2" t="s">
        <v>60</v>
      </c>
    </row>
    <row r="4" spans="2:32" x14ac:dyDescent="0.2">
      <c r="B4" s="13" t="s">
        <v>21</v>
      </c>
      <c r="C4" s="14">
        <v>4.7</v>
      </c>
      <c r="D4" s="13" t="s">
        <v>11</v>
      </c>
      <c r="J4" s="13" t="s">
        <v>21</v>
      </c>
      <c r="K4" s="14">
        <v>4.7</v>
      </c>
      <c r="L4" s="13" t="s">
        <v>11</v>
      </c>
      <c r="R4" s="13" t="s">
        <v>21</v>
      </c>
      <c r="S4" s="14">
        <v>1.5</v>
      </c>
      <c r="T4" s="13" t="s">
        <v>11</v>
      </c>
      <c r="Z4" s="13" t="s">
        <v>21</v>
      </c>
      <c r="AA4" s="14">
        <v>4.7</v>
      </c>
      <c r="AB4" s="13" t="s">
        <v>11</v>
      </c>
    </row>
    <row r="5" spans="2:32" x14ac:dyDescent="0.2">
      <c r="B5" s="13" t="s">
        <v>22</v>
      </c>
      <c r="C5" s="15">
        <v>13.1</v>
      </c>
      <c r="D5" s="13" t="s">
        <v>11</v>
      </c>
      <c r="J5" s="13" t="s">
        <v>22</v>
      </c>
      <c r="K5" s="15">
        <v>17.2</v>
      </c>
      <c r="L5" s="13" t="s">
        <v>11</v>
      </c>
      <c r="R5" s="13" t="s">
        <v>22</v>
      </c>
      <c r="S5" s="15">
        <v>1.5</v>
      </c>
      <c r="T5" s="13" t="s">
        <v>11</v>
      </c>
      <c r="Z5" s="13" t="s">
        <v>22</v>
      </c>
      <c r="AA5" s="15">
        <v>6</v>
      </c>
      <c r="AB5" s="13" t="s">
        <v>11</v>
      </c>
    </row>
    <row r="6" spans="2:32" x14ac:dyDescent="0.2">
      <c r="B6" s="13" t="s">
        <v>23</v>
      </c>
      <c r="C6" s="14">
        <v>0.3</v>
      </c>
      <c r="D6" s="13" t="s">
        <v>11</v>
      </c>
      <c r="J6" s="13" t="s">
        <v>23</v>
      </c>
      <c r="K6" s="14">
        <v>0.3</v>
      </c>
      <c r="L6" s="13" t="s">
        <v>11</v>
      </c>
      <c r="R6" s="13" t="s">
        <v>23</v>
      </c>
      <c r="S6" s="14">
        <v>0.5</v>
      </c>
      <c r="T6" s="13" t="s">
        <v>11</v>
      </c>
      <c r="Z6" s="13" t="s">
        <v>23</v>
      </c>
      <c r="AA6" s="14">
        <v>0.3</v>
      </c>
      <c r="AB6" s="13" t="s">
        <v>11</v>
      </c>
    </row>
    <row r="7" spans="2:32" x14ac:dyDescent="0.2">
      <c r="B7" s="13" t="s">
        <v>24</v>
      </c>
      <c r="C7" s="14">
        <v>0.6</v>
      </c>
      <c r="D7" s="13" t="s">
        <v>11</v>
      </c>
      <c r="J7" s="13" t="s">
        <v>24</v>
      </c>
      <c r="K7" s="14">
        <v>0.6</v>
      </c>
      <c r="L7" s="13" t="s">
        <v>11</v>
      </c>
      <c r="R7" s="13" t="s">
        <v>24</v>
      </c>
      <c r="S7" s="14">
        <v>0.6</v>
      </c>
      <c r="T7" s="13" t="s">
        <v>11</v>
      </c>
      <c r="Z7" s="13" t="s">
        <v>24</v>
      </c>
      <c r="AA7" s="14">
        <v>0.6</v>
      </c>
      <c r="AB7" s="13" t="s">
        <v>11</v>
      </c>
    </row>
    <row r="8" spans="2:32" x14ac:dyDescent="0.2">
      <c r="B8" s="13" t="s">
        <v>25</v>
      </c>
      <c r="C8" s="14">
        <v>0.05</v>
      </c>
      <c r="D8" s="13" t="s">
        <v>11</v>
      </c>
      <c r="J8" s="13" t="s">
        <v>25</v>
      </c>
      <c r="K8" s="14">
        <v>0.05</v>
      </c>
      <c r="L8" s="13" t="s">
        <v>11</v>
      </c>
      <c r="R8" s="13" t="s">
        <v>25</v>
      </c>
      <c r="S8" s="14">
        <v>0.05</v>
      </c>
      <c r="T8" s="13" t="s">
        <v>11</v>
      </c>
      <c r="Z8" s="13" t="s">
        <v>25</v>
      </c>
      <c r="AA8" s="14">
        <v>0.05</v>
      </c>
      <c r="AB8" s="13" t="s">
        <v>11</v>
      </c>
    </row>
    <row r="9" spans="2:32" x14ac:dyDescent="0.2">
      <c r="B9" s="13"/>
      <c r="C9" s="14"/>
      <c r="D9" s="13"/>
      <c r="J9" s="13"/>
      <c r="K9" s="14"/>
      <c r="L9" s="13"/>
      <c r="R9" s="13"/>
      <c r="S9" s="14"/>
      <c r="T9" s="13"/>
      <c r="Z9" s="13"/>
      <c r="AA9" s="14"/>
      <c r="AB9" s="13"/>
    </row>
    <row r="10" spans="2:32" x14ac:dyDescent="0.2">
      <c r="B10" s="13" t="s">
        <v>26</v>
      </c>
      <c r="C10" s="14">
        <v>11</v>
      </c>
      <c r="D10" s="13" t="s">
        <v>9</v>
      </c>
      <c r="J10" s="13" t="s">
        <v>26</v>
      </c>
      <c r="K10" s="14">
        <v>14</v>
      </c>
      <c r="L10" s="13" t="s">
        <v>9</v>
      </c>
      <c r="R10" s="13" t="s">
        <v>26</v>
      </c>
      <c r="S10" s="14">
        <v>1</v>
      </c>
      <c r="T10" s="13" t="s">
        <v>9</v>
      </c>
      <c r="Z10" s="13" t="s">
        <v>26</v>
      </c>
      <c r="AA10" s="14">
        <v>5</v>
      </c>
      <c r="AB10" s="13" t="s">
        <v>9</v>
      </c>
    </row>
    <row r="11" spans="2:32" x14ac:dyDescent="0.2">
      <c r="B11" s="13" t="s">
        <v>27</v>
      </c>
      <c r="C11" s="14">
        <v>0.25</v>
      </c>
      <c r="D11" s="13" t="s">
        <v>11</v>
      </c>
      <c r="J11" s="13" t="s">
        <v>27</v>
      </c>
      <c r="K11" s="14">
        <v>0.25</v>
      </c>
      <c r="L11" s="13" t="s">
        <v>11</v>
      </c>
      <c r="R11" s="13" t="s">
        <v>27</v>
      </c>
      <c r="S11" s="14">
        <v>0.6</v>
      </c>
      <c r="T11" s="13" t="s">
        <v>11</v>
      </c>
      <c r="Z11" s="13" t="s">
        <v>27</v>
      </c>
      <c r="AA11" s="14">
        <v>0.25</v>
      </c>
      <c r="AB11" s="13" t="s">
        <v>11</v>
      </c>
    </row>
    <row r="12" spans="2:32" x14ac:dyDescent="0.2">
      <c r="B12" s="13" t="s">
        <v>28</v>
      </c>
      <c r="C12" s="14">
        <v>3.7</v>
      </c>
      <c r="D12" s="13" t="s">
        <v>11</v>
      </c>
      <c r="J12" s="13" t="s">
        <v>28</v>
      </c>
      <c r="K12" s="14">
        <v>3.7</v>
      </c>
      <c r="L12" s="13" t="s">
        <v>11</v>
      </c>
      <c r="R12" s="13" t="s">
        <v>28</v>
      </c>
      <c r="S12" s="14">
        <v>0.6</v>
      </c>
      <c r="T12" s="13" t="s">
        <v>11</v>
      </c>
      <c r="Z12" s="13" t="s">
        <v>28</v>
      </c>
      <c r="AA12" s="14">
        <v>3.7</v>
      </c>
      <c r="AB12" s="13" t="s">
        <v>11</v>
      </c>
    </row>
    <row r="13" spans="2:32" x14ac:dyDescent="0.2">
      <c r="B13" s="13" t="s">
        <v>29</v>
      </c>
      <c r="C13" s="15">
        <v>0.5</v>
      </c>
      <c r="D13" s="13" t="s">
        <v>11</v>
      </c>
      <c r="J13" s="13" t="s">
        <v>29</v>
      </c>
      <c r="K13" s="15">
        <v>0.5</v>
      </c>
      <c r="L13" s="13" t="s">
        <v>11</v>
      </c>
      <c r="R13" s="13" t="s">
        <v>29</v>
      </c>
      <c r="S13" s="15">
        <v>0.6</v>
      </c>
      <c r="T13" s="13" t="s">
        <v>11</v>
      </c>
      <c r="Z13" s="13" t="s">
        <v>29</v>
      </c>
      <c r="AA13" s="15">
        <v>0.5</v>
      </c>
      <c r="AB13" s="13" t="s">
        <v>11</v>
      </c>
    </row>
    <row r="14" spans="2:32" x14ac:dyDescent="0.2">
      <c r="B14" s="13" t="s">
        <v>30</v>
      </c>
      <c r="C14" s="14">
        <v>0</v>
      </c>
      <c r="D14" s="13" t="s">
        <v>9</v>
      </c>
      <c r="J14" s="13" t="s">
        <v>30</v>
      </c>
      <c r="K14" s="14">
        <v>0</v>
      </c>
      <c r="L14" s="13" t="s">
        <v>9</v>
      </c>
      <c r="R14" s="13" t="s">
        <v>30</v>
      </c>
      <c r="S14" s="14">
        <v>4</v>
      </c>
      <c r="T14" s="13" t="s">
        <v>9</v>
      </c>
      <c r="Z14" s="13" t="s">
        <v>30</v>
      </c>
      <c r="AA14" s="14">
        <v>0</v>
      </c>
      <c r="AB14" s="13" t="s">
        <v>9</v>
      </c>
    </row>
    <row r="15" spans="2:32" x14ac:dyDescent="0.2">
      <c r="B15" s="13" t="s">
        <v>31</v>
      </c>
      <c r="C15" s="14">
        <v>115</v>
      </c>
      <c r="D15" s="13"/>
      <c r="E15" s="16" t="s">
        <v>32</v>
      </c>
      <c r="F15" s="16"/>
      <c r="G15" s="17">
        <v>1</v>
      </c>
      <c r="H15" s="12" t="s">
        <v>9</v>
      </c>
      <c r="J15" s="13" t="s">
        <v>31</v>
      </c>
      <c r="K15" s="14">
        <v>115</v>
      </c>
      <c r="L15" s="13"/>
      <c r="M15" s="16" t="s">
        <v>32</v>
      </c>
      <c r="N15" s="16"/>
      <c r="O15" s="17">
        <v>1</v>
      </c>
      <c r="P15" s="12" t="s">
        <v>9</v>
      </c>
      <c r="Q15" s="12"/>
      <c r="R15" s="13" t="s">
        <v>31</v>
      </c>
      <c r="S15" s="14">
        <v>115</v>
      </c>
      <c r="T15" s="13"/>
      <c r="U15" s="16" t="s">
        <v>32</v>
      </c>
      <c r="V15" s="16"/>
      <c r="W15" s="17">
        <v>10</v>
      </c>
      <c r="X15" s="12" t="s">
        <v>9</v>
      </c>
      <c r="Y15" s="12"/>
      <c r="Z15" s="13" t="s">
        <v>31</v>
      </c>
      <c r="AA15" s="14">
        <v>115</v>
      </c>
      <c r="AB15" s="13"/>
      <c r="AC15" s="16" t="s">
        <v>32</v>
      </c>
      <c r="AD15" s="16"/>
      <c r="AE15" s="17">
        <v>1</v>
      </c>
      <c r="AF15" s="12" t="s">
        <v>9</v>
      </c>
    </row>
    <row r="16" spans="2:32" x14ac:dyDescent="0.2">
      <c r="B16" s="13"/>
      <c r="C16" s="14"/>
      <c r="D16" s="13"/>
      <c r="E16" s="16"/>
      <c r="F16" s="16"/>
      <c r="G16" s="17"/>
      <c r="H16" s="12"/>
      <c r="J16" s="13"/>
      <c r="K16" s="14"/>
      <c r="L16" s="13"/>
      <c r="M16" s="16"/>
      <c r="N16" s="16"/>
      <c r="O16" s="17"/>
      <c r="P16" s="12"/>
      <c r="Q16" s="12"/>
      <c r="R16" s="13"/>
      <c r="S16" s="14"/>
      <c r="T16" s="13"/>
      <c r="U16" s="16"/>
      <c r="V16" s="16"/>
      <c r="W16" s="17"/>
      <c r="X16" s="12"/>
      <c r="Y16" s="12"/>
      <c r="Z16" s="13"/>
      <c r="AA16" s="14"/>
      <c r="AB16" s="13"/>
      <c r="AC16" s="16"/>
      <c r="AD16" s="16"/>
      <c r="AE16" s="17"/>
      <c r="AF16" s="12"/>
    </row>
    <row r="17" spans="1:34" x14ac:dyDescent="0.2">
      <c r="A17" s="12"/>
      <c r="B17" s="12"/>
      <c r="C17" s="12"/>
      <c r="D17" s="12"/>
      <c r="E17" s="2" t="s">
        <v>33</v>
      </c>
      <c r="I17" s="12"/>
      <c r="J17" s="12"/>
      <c r="K17" s="12"/>
      <c r="L17" s="12"/>
      <c r="M17" s="2" t="s">
        <v>33</v>
      </c>
      <c r="R17" s="12"/>
      <c r="S17" s="12"/>
      <c r="T17" s="12"/>
      <c r="U17" s="2" t="s">
        <v>33</v>
      </c>
      <c r="Z17" s="12"/>
      <c r="AA17" s="12"/>
      <c r="AB17" s="12"/>
      <c r="AC17" s="2" t="s">
        <v>33</v>
      </c>
      <c r="AG17" s="18" t="s">
        <v>33</v>
      </c>
      <c r="AH17" s="19"/>
    </row>
    <row r="18" spans="1:34" x14ac:dyDescent="0.2">
      <c r="A18" s="12"/>
      <c r="B18" s="12"/>
      <c r="C18" s="12"/>
      <c r="D18" s="12"/>
      <c r="E18" s="2"/>
      <c r="I18" s="12"/>
      <c r="J18" s="12"/>
      <c r="K18" s="12"/>
      <c r="L18" s="12"/>
      <c r="M18" s="2"/>
      <c r="R18" s="12"/>
      <c r="S18" s="12"/>
      <c r="T18" s="12"/>
      <c r="U18" s="2"/>
      <c r="Z18" s="12"/>
      <c r="AA18" s="12"/>
      <c r="AB18" s="12"/>
      <c r="AC18" s="2"/>
      <c r="AG18" s="19"/>
      <c r="AH18" s="19"/>
    </row>
    <row r="19" spans="1:34" x14ac:dyDescent="0.2">
      <c r="A19" s="12"/>
      <c r="B19" s="20" t="s">
        <v>53</v>
      </c>
      <c r="C19" s="12"/>
      <c r="D19" s="12"/>
      <c r="I19" s="12"/>
      <c r="J19" s="20" t="s">
        <v>53</v>
      </c>
      <c r="K19" s="12"/>
      <c r="L19" s="12"/>
      <c r="R19" s="20" t="s">
        <v>53</v>
      </c>
      <c r="S19" s="12"/>
      <c r="T19" s="12"/>
      <c r="Z19" s="20" t="s">
        <v>53</v>
      </c>
      <c r="AA19" s="12"/>
      <c r="AB19" s="12"/>
      <c r="AG19" s="19"/>
      <c r="AH19" s="19"/>
    </row>
    <row r="20" spans="1:34" x14ac:dyDescent="0.2">
      <c r="A20" s="12">
        <v>1</v>
      </c>
      <c r="B20" s="12" t="s">
        <v>54</v>
      </c>
      <c r="C20" s="12">
        <v>0</v>
      </c>
      <c r="D20" s="12" t="s">
        <v>9</v>
      </c>
      <c r="E20" s="22"/>
      <c r="F20" s="23"/>
      <c r="I20" s="12"/>
      <c r="J20" s="12" t="s">
        <v>54</v>
      </c>
      <c r="K20" s="12">
        <v>0</v>
      </c>
      <c r="L20" s="12" t="s">
        <v>9</v>
      </c>
      <c r="M20" s="22"/>
      <c r="N20" s="23"/>
      <c r="R20" s="12" t="s">
        <v>54</v>
      </c>
      <c r="S20" s="12">
        <v>0</v>
      </c>
      <c r="T20" s="12" t="s">
        <v>9</v>
      </c>
      <c r="U20" s="22"/>
      <c r="V20" s="23"/>
      <c r="Z20" s="12" t="s">
        <v>54</v>
      </c>
      <c r="AA20" s="12">
        <v>0</v>
      </c>
      <c r="AB20" s="12" t="s">
        <v>9</v>
      </c>
      <c r="AC20" s="22"/>
      <c r="AD20" s="23"/>
      <c r="AG20" s="73">
        <f>C20+K20+S20+AA20</f>
        <v>0</v>
      </c>
      <c r="AH20" s="25" t="s">
        <v>9</v>
      </c>
    </row>
    <row r="21" spans="1:34" x14ac:dyDescent="0.2">
      <c r="A21" s="12"/>
      <c r="B21" s="12"/>
      <c r="C21" s="26"/>
      <c r="D21" s="12"/>
      <c r="E21" s="22"/>
      <c r="F21" s="23"/>
      <c r="I21" s="12"/>
      <c r="J21" s="12"/>
      <c r="K21" s="26"/>
      <c r="L21" s="12"/>
      <c r="M21" s="22"/>
      <c r="N21" s="23"/>
      <c r="R21" s="12"/>
      <c r="S21" s="26"/>
      <c r="T21" s="12"/>
      <c r="U21" s="22"/>
      <c r="V21" s="23"/>
      <c r="Z21" s="12"/>
      <c r="AA21" s="26"/>
      <c r="AB21" s="12"/>
      <c r="AC21" s="22"/>
      <c r="AD21" s="23"/>
      <c r="AG21" s="73"/>
      <c r="AH21" s="25"/>
    </row>
    <row r="22" spans="1:34" x14ac:dyDescent="0.2">
      <c r="A22" s="12"/>
      <c r="B22" s="20" t="s">
        <v>34</v>
      </c>
      <c r="C22" s="26"/>
      <c r="D22" s="12"/>
      <c r="E22" s="22"/>
      <c r="F22" s="23"/>
      <c r="I22" s="12"/>
      <c r="J22" s="20" t="s">
        <v>34</v>
      </c>
      <c r="K22" s="26"/>
      <c r="L22" s="12"/>
      <c r="M22" s="22"/>
      <c r="N22" s="23"/>
      <c r="R22" s="20" t="s">
        <v>34</v>
      </c>
      <c r="S22" s="26"/>
      <c r="T22" s="12"/>
      <c r="U22" s="22"/>
      <c r="V22" s="23"/>
      <c r="Z22" s="20" t="s">
        <v>34</v>
      </c>
      <c r="AA22" s="26"/>
      <c r="AB22" s="12"/>
      <c r="AC22" s="22"/>
      <c r="AD22" s="23"/>
      <c r="AG22" s="73"/>
      <c r="AH22" s="25"/>
    </row>
    <row r="23" spans="1:34" x14ac:dyDescent="0.2">
      <c r="A23" s="12">
        <v>2</v>
      </c>
      <c r="B23" s="12" t="s">
        <v>35</v>
      </c>
      <c r="C23" s="26">
        <f>(C4+C7)*(C5+C7)*(C6+C8)</f>
        <v>25.413499999999999</v>
      </c>
      <c r="D23" s="12" t="s">
        <v>6</v>
      </c>
      <c r="E23" s="27">
        <f t="shared" ref="E23:E44" si="0">C23*G$15</f>
        <v>25.413499999999999</v>
      </c>
      <c r="F23" s="23" t="s">
        <v>6</v>
      </c>
      <c r="I23" s="12"/>
      <c r="J23" s="12" t="s">
        <v>35</v>
      </c>
      <c r="K23" s="26">
        <f>(K4+K7)*(K5+K7)*(K6+K8)</f>
        <v>33.018999999999998</v>
      </c>
      <c r="L23" s="12" t="s">
        <v>6</v>
      </c>
      <c r="M23" s="27">
        <f t="shared" ref="M23:M24" si="1">K23*O$15</f>
        <v>33.018999999999998</v>
      </c>
      <c r="N23" s="23" t="s">
        <v>6</v>
      </c>
      <c r="R23" s="12" t="s">
        <v>35</v>
      </c>
      <c r="S23" s="26">
        <f>(S4+S7)*(S5+S7)*(S6+S8)</f>
        <v>2.4255000000000004</v>
      </c>
      <c r="T23" s="12" t="s">
        <v>6</v>
      </c>
      <c r="U23" s="27">
        <f t="shared" ref="U23:U24" si="2">S23*W$15</f>
        <v>24.255000000000003</v>
      </c>
      <c r="V23" s="23" t="s">
        <v>6</v>
      </c>
      <c r="Z23" s="12" t="s">
        <v>35</v>
      </c>
      <c r="AA23" s="26">
        <f>(AA4+AA7)*(AA5+AA7)*(AA6+AA8)</f>
        <v>12.242999999999999</v>
      </c>
      <c r="AB23" s="12" t="s">
        <v>6</v>
      </c>
      <c r="AC23" s="27">
        <f t="shared" ref="AC23:AC24" si="3">AA23*AE$15</f>
        <v>12.242999999999999</v>
      </c>
      <c r="AD23" s="23" t="s">
        <v>6</v>
      </c>
      <c r="AF23" s="1" t="s">
        <v>79</v>
      </c>
      <c r="AG23" s="73">
        <f>E23+M23+U23+AC23</f>
        <v>94.930499999999995</v>
      </c>
      <c r="AH23" s="25" t="s">
        <v>6</v>
      </c>
    </row>
    <row r="24" spans="1:34" x14ac:dyDescent="0.2">
      <c r="A24" s="12">
        <v>3</v>
      </c>
      <c r="B24" s="12" t="s">
        <v>36</v>
      </c>
      <c r="C24" s="26">
        <f>C23-(C4*C5*C6)</f>
        <v>6.942499999999999</v>
      </c>
      <c r="D24" s="12" t="s">
        <v>6</v>
      </c>
      <c r="E24" s="27">
        <f t="shared" si="0"/>
        <v>6.942499999999999</v>
      </c>
      <c r="F24" s="23" t="s">
        <v>6</v>
      </c>
      <c r="I24" s="12"/>
      <c r="J24" s="12" t="s">
        <v>36</v>
      </c>
      <c r="K24" s="26">
        <f>K23-(K4*K5*K6)</f>
        <v>8.7669999999999995</v>
      </c>
      <c r="L24" s="12" t="s">
        <v>6</v>
      </c>
      <c r="M24" s="27">
        <f t="shared" si="1"/>
        <v>8.7669999999999995</v>
      </c>
      <c r="N24" s="23" t="s">
        <v>6</v>
      </c>
      <c r="R24" s="12" t="s">
        <v>36</v>
      </c>
      <c r="S24" s="26">
        <f>S23-(S4*S5*S6)</f>
        <v>1.3005000000000004</v>
      </c>
      <c r="T24" s="12" t="s">
        <v>6</v>
      </c>
      <c r="U24" s="27">
        <f t="shared" si="2"/>
        <v>13.005000000000004</v>
      </c>
      <c r="V24" s="23" t="s">
        <v>6</v>
      </c>
      <c r="Z24" s="12" t="s">
        <v>36</v>
      </c>
      <c r="AA24" s="26">
        <f>AA23-(AA4*AA5*AA6)</f>
        <v>3.7829999999999977</v>
      </c>
      <c r="AB24" s="12" t="s">
        <v>6</v>
      </c>
      <c r="AC24" s="27">
        <f t="shared" si="3"/>
        <v>3.7829999999999977</v>
      </c>
      <c r="AD24" s="23" t="s">
        <v>6</v>
      </c>
      <c r="AF24" s="1" t="s">
        <v>79</v>
      </c>
      <c r="AG24" s="73">
        <f>E24+M24+U24+AC24</f>
        <v>32.497500000000002</v>
      </c>
      <c r="AH24" s="25" t="s">
        <v>6</v>
      </c>
    </row>
    <row r="25" spans="1:34" x14ac:dyDescent="0.2">
      <c r="A25" s="12"/>
      <c r="B25" s="12"/>
      <c r="C25" s="26"/>
      <c r="D25" s="12"/>
      <c r="E25" s="27"/>
      <c r="F25" s="23"/>
      <c r="I25" s="12"/>
      <c r="J25" s="12"/>
      <c r="K25" s="26"/>
      <c r="L25" s="12"/>
      <c r="M25" s="27"/>
      <c r="N25" s="23"/>
      <c r="R25" s="12"/>
      <c r="S25" s="26"/>
      <c r="T25" s="12"/>
      <c r="U25" s="27"/>
      <c r="V25" s="23"/>
      <c r="Z25" s="12"/>
      <c r="AA25" s="26"/>
      <c r="AB25" s="12"/>
      <c r="AC25" s="27"/>
      <c r="AD25" s="23"/>
      <c r="AG25" s="73"/>
      <c r="AH25" s="25"/>
    </row>
    <row r="26" spans="1:34" x14ac:dyDescent="0.2">
      <c r="A26" s="12"/>
      <c r="B26" s="20" t="s">
        <v>37</v>
      </c>
      <c r="C26" s="26"/>
      <c r="D26" s="12"/>
      <c r="E26" s="27"/>
      <c r="F26" s="23"/>
      <c r="I26" s="12"/>
      <c r="J26" s="20" t="s">
        <v>37</v>
      </c>
      <c r="K26" s="26"/>
      <c r="L26" s="12"/>
      <c r="M26" s="27"/>
      <c r="N26" s="23"/>
      <c r="R26" s="20" t="s">
        <v>37</v>
      </c>
      <c r="S26" s="26"/>
      <c r="T26" s="12"/>
      <c r="U26" s="27"/>
      <c r="V26" s="23"/>
      <c r="Z26" s="20" t="s">
        <v>37</v>
      </c>
      <c r="AA26" s="26"/>
      <c r="AB26" s="12"/>
      <c r="AC26" s="27"/>
      <c r="AD26" s="23"/>
      <c r="AG26" s="73"/>
      <c r="AH26" s="25"/>
    </row>
    <row r="27" spans="1:34" x14ac:dyDescent="0.2">
      <c r="A27" s="12"/>
      <c r="B27" s="12" t="s">
        <v>17</v>
      </c>
      <c r="C27" s="26"/>
      <c r="D27" s="12"/>
      <c r="E27" s="27"/>
      <c r="F27" s="23"/>
      <c r="I27" s="12"/>
      <c r="J27" s="12" t="s">
        <v>17</v>
      </c>
      <c r="K27" s="26"/>
      <c r="L27" s="12"/>
      <c r="M27" s="27"/>
      <c r="N27" s="23"/>
      <c r="R27" s="12" t="s">
        <v>17</v>
      </c>
      <c r="S27" s="26"/>
      <c r="T27" s="12"/>
      <c r="U27" s="27"/>
      <c r="V27" s="23"/>
      <c r="Z27" s="12" t="s">
        <v>17</v>
      </c>
      <c r="AA27" s="26"/>
      <c r="AB27" s="12"/>
      <c r="AC27" s="27"/>
      <c r="AD27" s="23"/>
      <c r="AG27" s="73"/>
      <c r="AH27" s="25"/>
    </row>
    <row r="28" spans="1:34" x14ac:dyDescent="0.2">
      <c r="A28" s="12">
        <v>4</v>
      </c>
      <c r="B28" s="11" t="s">
        <v>38</v>
      </c>
      <c r="C28" s="26">
        <f>(2*(C4*C6))+(2*(C5*C6))</f>
        <v>10.68</v>
      </c>
      <c r="D28" s="12" t="s">
        <v>1</v>
      </c>
      <c r="E28" s="27">
        <f t="shared" si="0"/>
        <v>10.68</v>
      </c>
      <c r="F28" s="23" t="s">
        <v>1</v>
      </c>
      <c r="I28" s="12"/>
      <c r="J28" s="11" t="s">
        <v>38</v>
      </c>
      <c r="K28" s="26">
        <f>(2*(K4*K6))+(2*(K5*K6))</f>
        <v>13.139999999999999</v>
      </c>
      <c r="L28" s="12" t="s">
        <v>1</v>
      </c>
      <c r="M28" s="27">
        <f t="shared" ref="M28:M33" si="4">K28*O$15</f>
        <v>13.139999999999999</v>
      </c>
      <c r="N28" s="23" t="s">
        <v>1</v>
      </c>
      <c r="R28" s="11" t="s">
        <v>38</v>
      </c>
      <c r="S28" s="26">
        <f>(2*(S4*S6))+(2*(S5*S6))</f>
        <v>3</v>
      </c>
      <c r="T28" s="12" t="s">
        <v>1</v>
      </c>
      <c r="U28" s="27">
        <f t="shared" ref="U28:U33" si="5">S28*W$15</f>
        <v>30</v>
      </c>
      <c r="V28" s="23" t="s">
        <v>1</v>
      </c>
      <c r="Z28" s="11" t="s">
        <v>38</v>
      </c>
      <c r="AA28" s="26">
        <f>(2*(AA4*AA6))+(2*(AA5*AA6))</f>
        <v>6.42</v>
      </c>
      <c r="AB28" s="12" t="s">
        <v>1</v>
      </c>
      <c r="AC28" s="27">
        <f t="shared" ref="AC28:AC33" si="6">AA28*AE$15</f>
        <v>6.42</v>
      </c>
      <c r="AD28" s="23" t="s">
        <v>1</v>
      </c>
      <c r="AF28" s="1" t="s">
        <v>79</v>
      </c>
      <c r="AG28" s="73">
        <f t="shared" ref="AG28:AG33" si="7">E28+M28+U28+AC28</f>
        <v>60.24</v>
      </c>
      <c r="AH28" s="25" t="s">
        <v>1</v>
      </c>
    </row>
    <row r="29" spans="1:34" x14ac:dyDescent="0.2">
      <c r="A29" s="12">
        <v>5</v>
      </c>
      <c r="B29" s="11" t="s">
        <v>39</v>
      </c>
      <c r="C29" s="26">
        <f>((2*(C11*C13))+((C12*C13)*2))*C10</f>
        <v>43.45</v>
      </c>
      <c r="D29" s="12" t="s">
        <v>1</v>
      </c>
      <c r="E29" s="27">
        <f t="shared" si="0"/>
        <v>43.45</v>
      </c>
      <c r="F29" s="23" t="s">
        <v>1</v>
      </c>
      <c r="I29" s="12"/>
      <c r="J29" s="11" t="s">
        <v>39</v>
      </c>
      <c r="K29" s="26">
        <f>((2*(K11*K13))+((K12*K13)*2))*K10</f>
        <v>55.300000000000004</v>
      </c>
      <c r="L29" s="12" t="s">
        <v>1</v>
      </c>
      <c r="M29" s="27">
        <f t="shared" si="4"/>
        <v>55.300000000000004</v>
      </c>
      <c r="N29" s="23" t="s">
        <v>1</v>
      </c>
      <c r="R29" s="11" t="s">
        <v>39</v>
      </c>
      <c r="S29" s="26">
        <f>((2*(S11*S13))+((S12*S13)*2))*S10</f>
        <v>1.44</v>
      </c>
      <c r="T29" s="12" t="s">
        <v>1</v>
      </c>
      <c r="U29" s="27">
        <f t="shared" si="5"/>
        <v>14.399999999999999</v>
      </c>
      <c r="V29" s="23" t="s">
        <v>1</v>
      </c>
      <c r="Z29" s="11" t="s">
        <v>39</v>
      </c>
      <c r="AA29" s="26">
        <f>((2*(AA11*AA13))+((AA12*AA13)*2))*AA10</f>
        <v>19.75</v>
      </c>
      <c r="AB29" s="12" t="s">
        <v>1</v>
      </c>
      <c r="AC29" s="27">
        <f t="shared" si="6"/>
        <v>19.75</v>
      </c>
      <c r="AD29" s="23" t="s">
        <v>1</v>
      </c>
      <c r="AF29" s="1" t="s">
        <v>79</v>
      </c>
      <c r="AG29" s="73">
        <f t="shared" si="7"/>
        <v>132.9</v>
      </c>
      <c r="AH29" s="25" t="s">
        <v>1</v>
      </c>
    </row>
    <row r="30" spans="1:34" x14ac:dyDescent="0.2">
      <c r="A30" s="12"/>
      <c r="B30" s="20" t="s">
        <v>40</v>
      </c>
      <c r="C30" s="26">
        <f>C14*C10</f>
        <v>0</v>
      </c>
      <c r="D30" s="12" t="s">
        <v>9</v>
      </c>
      <c r="E30" s="27">
        <f t="shared" si="0"/>
        <v>0</v>
      </c>
      <c r="F30" s="23" t="s">
        <v>9</v>
      </c>
      <c r="I30" s="12"/>
      <c r="J30" s="20" t="s">
        <v>40</v>
      </c>
      <c r="K30" s="26">
        <f>K14*K10</f>
        <v>0</v>
      </c>
      <c r="L30" s="12" t="s">
        <v>9</v>
      </c>
      <c r="M30" s="27">
        <f t="shared" si="4"/>
        <v>0</v>
      </c>
      <c r="N30" s="23" t="s">
        <v>9</v>
      </c>
      <c r="R30" s="20" t="s">
        <v>40</v>
      </c>
      <c r="S30" s="26">
        <f>S14*S10</f>
        <v>4</v>
      </c>
      <c r="T30" s="12" t="s">
        <v>9</v>
      </c>
      <c r="U30" s="27">
        <f t="shared" si="5"/>
        <v>40</v>
      </c>
      <c r="V30" s="23" t="s">
        <v>9</v>
      </c>
      <c r="Z30" s="20" t="s">
        <v>40</v>
      </c>
      <c r="AA30" s="26">
        <f>AA14*AA10</f>
        <v>0</v>
      </c>
      <c r="AB30" s="12" t="s">
        <v>9</v>
      </c>
      <c r="AC30" s="27">
        <f t="shared" si="6"/>
        <v>0</v>
      </c>
      <c r="AD30" s="23" t="s">
        <v>9</v>
      </c>
      <c r="AF30" s="1" t="s">
        <v>79</v>
      </c>
      <c r="AG30" s="73">
        <f t="shared" si="7"/>
        <v>40</v>
      </c>
      <c r="AH30" s="25" t="s">
        <v>9</v>
      </c>
    </row>
    <row r="31" spans="1:34" x14ac:dyDescent="0.2">
      <c r="A31" s="12">
        <v>6</v>
      </c>
      <c r="B31" s="12" t="s">
        <v>41</v>
      </c>
      <c r="C31" s="26">
        <f>C30</f>
        <v>0</v>
      </c>
      <c r="D31" s="12" t="s">
        <v>9</v>
      </c>
      <c r="E31" s="27">
        <f t="shared" si="0"/>
        <v>0</v>
      </c>
      <c r="F31" s="23" t="s">
        <v>9</v>
      </c>
      <c r="I31" s="12"/>
      <c r="J31" s="12" t="s">
        <v>41</v>
      </c>
      <c r="K31" s="26">
        <f>K30</f>
        <v>0</v>
      </c>
      <c r="L31" s="12" t="s">
        <v>9</v>
      </c>
      <c r="M31" s="27">
        <f t="shared" si="4"/>
        <v>0</v>
      </c>
      <c r="N31" s="23" t="s">
        <v>9</v>
      </c>
      <c r="R31" s="12" t="s">
        <v>41</v>
      </c>
      <c r="S31" s="26">
        <f>S30</f>
        <v>4</v>
      </c>
      <c r="T31" s="12" t="s">
        <v>9</v>
      </c>
      <c r="U31" s="27">
        <f t="shared" si="5"/>
        <v>40</v>
      </c>
      <c r="V31" s="23" t="s">
        <v>9</v>
      </c>
      <c r="Z31" s="12" t="s">
        <v>41</v>
      </c>
      <c r="AA31" s="26">
        <f>AA30</f>
        <v>0</v>
      </c>
      <c r="AB31" s="12" t="s">
        <v>9</v>
      </c>
      <c r="AC31" s="27">
        <f t="shared" si="6"/>
        <v>0</v>
      </c>
      <c r="AD31" s="23" t="s">
        <v>9</v>
      </c>
      <c r="AF31" s="1" t="s">
        <v>79</v>
      </c>
      <c r="AG31" s="73">
        <f t="shared" si="7"/>
        <v>40</v>
      </c>
      <c r="AH31" s="25" t="s">
        <v>9</v>
      </c>
    </row>
    <row r="32" spans="1:34" x14ac:dyDescent="0.2">
      <c r="A32" s="12">
        <v>7</v>
      </c>
      <c r="B32" s="20" t="s">
        <v>18</v>
      </c>
      <c r="C32" s="26">
        <f>(2*C11)+(2*C12)+(2*C4)+(C5*2)</f>
        <v>43.5</v>
      </c>
      <c r="D32" s="12" t="s">
        <v>11</v>
      </c>
      <c r="E32" s="27">
        <f t="shared" si="0"/>
        <v>43.5</v>
      </c>
      <c r="F32" s="23" t="s">
        <v>11</v>
      </c>
      <c r="I32" s="12"/>
      <c r="J32" s="20" t="s">
        <v>18</v>
      </c>
      <c r="K32" s="26">
        <f>(2*K11)+(2*K12)+(2*K4)+(K5*2)</f>
        <v>51.7</v>
      </c>
      <c r="L32" s="12" t="s">
        <v>11</v>
      </c>
      <c r="M32" s="27">
        <f t="shared" si="4"/>
        <v>51.7</v>
      </c>
      <c r="N32" s="23" t="s">
        <v>11</v>
      </c>
      <c r="R32" s="20" t="s">
        <v>18</v>
      </c>
      <c r="S32" s="26">
        <f>(2*S11)+(2*S12)+(2*S4)+(S5*2)</f>
        <v>8.4</v>
      </c>
      <c r="T32" s="12" t="s">
        <v>11</v>
      </c>
      <c r="U32" s="27">
        <f t="shared" si="5"/>
        <v>84</v>
      </c>
      <c r="V32" s="23" t="s">
        <v>11</v>
      </c>
      <c r="Z32" s="20" t="s">
        <v>18</v>
      </c>
      <c r="AA32" s="26">
        <f>(2*AA11)+(2*AA12)+(2*AA4)+(AA5*2)</f>
        <v>29.3</v>
      </c>
      <c r="AB32" s="12" t="s">
        <v>11</v>
      </c>
      <c r="AC32" s="27">
        <f t="shared" si="6"/>
        <v>29.3</v>
      </c>
      <c r="AD32" s="23" t="s">
        <v>11</v>
      </c>
      <c r="AF32" s="1" t="s">
        <v>79</v>
      </c>
      <c r="AG32" s="73">
        <f t="shared" si="7"/>
        <v>208.5</v>
      </c>
      <c r="AH32" s="25" t="s">
        <v>11</v>
      </c>
    </row>
    <row r="33" spans="1:34" x14ac:dyDescent="0.2">
      <c r="A33" s="12">
        <v>8</v>
      </c>
      <c r="B33" s="20" t="s">
        <v>19</v>
      </c>
      <c r="C33" s="26">
        <f>(C37+C38+C39)*C15/1000</f>
        <v>2.7092275000000003</v>
      </c>
      <c r="D33" s="12" t="s">
        <v>20</v>
      </c>
      <c r="E33" s="22">
        <f t="shared" si="0"/>
        <v>2.7092275000000003</v>
      </c>
      <c r="F33" s="23" t="s">
        <v>20</v>
      </c>
      <c r="I33" s="12"/>
      <c r="J33" s="20" t="s">
        <v>19</v>
      </c>
      <c r="K33" s="26">
        <f>(K37+K38+K39)*K15/1000</f>
        <v>3.5336050000000001</v>
      </c>
      <c r="L33" s="12" t="s">
        <v>20</v>
      </c>
      <c r="M33" s="22">
        <f t="shared" si="4"/>
        <v>3.5336050000000001</v>
      </c>
      <c r="N33" s="23" t="s">
        <v>20</v>
      </c>
      <c r="R33" s="20" t="s">
        <v>19</v>
      </c>
      <c r="S33" s="26">
        <f>(S37+S38+S39)*S15/1000</f>
        <v>0.15421499999999999</v>
      </c>
      <c r="T33" s="12" t="s">
        <v>20</v>
      </c>
      <c r="U33" s="22">
        <f t="shared" si="5"/>
        <v>1.5421499999999999</v>
      </c>
      <c r="V33" s="23" t="s">
        <v>20</v>
      </c>
      <c r="Z33" s="20" t="s">
        <v>19</v>
      </c>
      <c r="AA33" s="26">
        <f>(AA37+AA38+AA39)*AA15/1000</f>
        <v>1.2388375</v>
      </c>
      <c r="AB33" s="12" t="s">
        <v>20</v>
      </c>
      <c r="AC33" s="22">
        <f t="shared" si="6"/>
        <v>1.2388375</v>
      </c>
      <c r="AD33" s="23" t="s">
        <v>20</v>
      </c>
      <c r="AF33" s="1" t="s">
        <v>79</v>
      </c>
      <c r="AG33" s="73">
        <f t="shared" si="7"/>
        <v>9.0238200000000006</v>
      </c>
      <c r="AH33" s="25" t="s">
        <v>20</v>
      </c>
    </row>
    <row r="34" spans="1:34" x14ac:dyDescent="0.2">
      <c r="A34" s="12"/>
      <c r="B34" s="20" t="s">
        <v>4</v>
      </c>
      <c r="C34" s="26"/>
      <c r="D34" s="12"/>
      <c r="E34" s="22"/>
      <c r="F34" s="23"/>
      <c r="I34" s="12"/>
      <c r="J34" s="20" t="s">
        <v>4</v>
      </c>
      <c r="K34" s="26"/>
      <c r="L34" s="12"/>
      <c r="M34" s="22"/>
      <c r="N34" s="23"/>
      <c r="R34" s="20" t="s">
        <v>4</v>
      </c>
      <c r="S34" s="26"/>
      <c r="T34" s="12"/>
      <c r="U34" s="22"/>
      <c r="V34" s="23"/>
      <c r="Z34" s="20" t="s">
        <v>4</v>
      </c>
      <c r="AA34" s="26"/>
      <c r="AB34" s="12"/>
      <c r="AC34" s="22"/>
      <c r="AD34" s="23"/>
      <c r="AG34" s="73"/>
      <c r="AH34" s="25"/>
    </row>
    <row r="35" spans="1:34" x14ac:dyDescent="0.2">
      <c r="A35" s="12">
        <v>9</v>
      </c>
      <c r="B35" s="12" t="s">
        <v>42</v>
      </c>
      <c r="C35" s="26">
        <f>(C4+C7)*(C5+C7)</f>
        <v>72.61</v>
      </c>
      <c r="D35" s="12" t="s">
        <v>1</v>
      </c>
      <c r="E35" s="27">
        <f t="shared" si="0"/>
        <v>72.61</v>
      </c>
      <c r="F35" s="23" t="s">
        <v>1</v>
      </c>
      <c r="I35" s="12"/>
      <c r="J35" s="12" t="s">
        <v>42</v>
      </c>
      <c r="K35" s="26">
        <f>(K4+K7)*(K5+K7)</f>
        <v>94.34</v>
      </c>
      <c r="L35" s="12" t="s">
        <v>1</v>
      </c>
      <c r="M35" s="22">
        <f t="shared" ref="M35" si="8">K35*O$15</f>
        <v>94.34</v>
      </c>
      <c r="N35" s="23" t="s">
        <v>1</v>
      </c>
      <c r="R35" s="12" t="s">
        <v>42</v>
      </c>
      <c r="S35" s="26">
        <f>(S4+S7)*(S5+S7)</f>
        <v>4.41</v>
      </c>
      <c r="T35" s="12" t="s">
        <v>1</v>
      </c>
      <c r="U35" s="22">
        <f t="shared" ref="U35" si="9">S35*W$15</f>
        <v>44.1</v>
      </c>
      <c r="V35" s="23" t="s">
        <v>1</v>
      </c>
      <c r="Z35" s="12" t="s">
        <v>42</v>
      </c>
      <c r="AA35" s="26">
        <f>(AA4+AA7)*(AA5+AA7)</f>
        <v>34.979999999999997</v>
      </c>
      <c r="AB35" s="12" t="s">
        <v>1</v>
      </c>
      <c r="AC35" s="22">
        <f t="shared" ref="AC35" si="10">AA35*AE$15</f>
        <v>34.979999999999997</v>
      </c>
      <c r="AD35" s="23" t="s">
        <v>1</v>
      </c>
      <c r="AF35" s="1" t="s">
        <v>79</v>
      </c>
      <c r="AG35" s="73">
        <f>E35+M35+U35+AC35</f>
        <v>246.02999999999997</v>
      </c>
      <c r="AH35" s="25" t="s">
        <v>1</v>
      </c>
    </row>
    <row r="36" spans="1:34" x14ac:dyDescent="0.2">
      <c r="A36" s="12"/>
      <c r="B36" s="12" t="s">
        <v>43</v>
      </c>
      <c r="C36" s="26"/>
      <c r="D36" s="12"/>
      <c r="E36" s="27"/>
      <c r="F36" s="23"/>
      <c r="I36" s="12"/>
      <c r="J36" s="12" t="s">
        <v>43</v>
      </c>
      <c r="K36" s="26"/>
      <c r="L36" s="12"/>
      <c r="M36" s="22"/>
      <c r="N36" s="23"/>
      <c r="R36" s="12" t="s">
        <v>43</v>
      </c>
      <c r="S36" s="26"/>
      <c r="T36" s="12"/>
      <c r="U36" s="22"/>
      <c r="V36" s="23"/>
      <c r="Z36" s="12" t="s">
        <v>43</v>
      </c>
      <c r="AA36" s="26"/>
      <c r="AB36" s="12"/>
      <c r="AC36" s="22"/>
      <c r="AD36" s="23"/>
      <c r="AG36" s="73"/>
      <c r="AH36" s="25"/>
    </row>
    <row r="37" spans="1:34" x14ac:dyDescent="0.2">
      <c r="A37" s="12">
        <v>10</v>
      </c>
      <c r="B37" s="11" t="s">
        <v>44</v>
      </c>
      <c r="C37" s="26">
        <f>C4*C5*C6</f>
        <v>18.471</v>
      </c>
      <c r="D37" s="12" t="s">
        <v>6</v>
      </c>
      <c r="E37" s="27">
        <f t="shared" si="0"/>
        <v>18.471</v>
      </c>
      <c r="F37" s="23" t="s">
        <v>6</v>
      </c>
      <c r="I37" s="12"/>
      <c r="J37" s="11" t="s">
        <v>44</v>
      </c>
      <c r="K37" s="26">
        <f>K4*K5*K6</f>
        <v>24.251999999999999</v>
      </c>
      <c r="L37" s="12" t="s">
        <v>6</v>
      </c>
      <c r="M37" s="27">
        <f t="shared" ref="M37:M40" si="11">K37*O$15</f>
        <v>24.251999999999999</v>
      </c>
      <c r="N37" s="23" t="s">
        <v>6</v>
      </c>
      <c r="R37" s="11" t="s">
        <v>44</v>
      </c>
      <c r="S37" s="26">
        <f>S4*S5*S6</f>
        <v>1.125</v>
      </c>
      <c r="T37" s="12" t="s">
        <v>6</v>
      </c>
      <c r="U37" s="27">
        <f t="shared" ref="U37:U40" si="12">S37*W$15</f>
        <v>11.25</v>
      </c>
      <c r="V37" s="23" t="s">
        <v>6</v>
      </c>
      <c r="Z37" s="11" t="s">
        <v>44</v>
      </c>
      <c r="AA37" s="26">
        <f>AA4*AA5*AA6</f>
        <v>8.4600000000000009</v>
      </c>
      <c r="AB37" s="12" t="s">
        <v>6</v>
      </c>
      <c r="AC37" s="27">
        <f t="shared" ref="AC37:AC40" si="13">AA37*AE$15</f>
        <v>8.4600000000000009</v>
      </c>
      <c r="AD37" s="23" t="s">
        <v>6</v>
      </c>
      <c r="AF37" s="1" t="s">
        <v>79</v>
      </c>
      <c r="AG37" s="56">
        <f>E37+M37+U37+AC37</f>
        <v>62.433</v>
      </c>
      <c r="AH37" s="25" t="s">
        <v>6</v>
      </c>
    </row>
    <row r="38" spans="1:34" x14ac:dyDescent="0.2">
      <c r="A38" s="12">
        <v>11</v>
      </c>
      <c r="B38" s="11" t="s">
        <v>51</v>
      </c>
      <c r="C38" s="26">
        <f>C10*C11*C12*C13</f>
        <v>5.0875000000000004</v>
      </c>
      <c r="D38" s="12" t="s">
        <v>6</v>
      </c>
      <c r="E38" s="27">
        <f t="shared" si="0"/>
        <v>5.0875000000000004</v>
      </c>
      <c r="F38" s="23" t="s">
        <v>6</v>
      </c>
      <c r="I38" s="12"/>
      <c r="J38" s="11" t="s">
        <v>51</v>
      </c>
      <c r="K38" s="26">
        <f>K10*K11*K12*K13</f>
        <v>6.4750000000000005</v>
      </c>
      <c r="L38" s="12" t="s">
        <v>6</v>
      </c>
      <c r="M38" s="27">
        <f t="shared" si="11"/>
        <v>6.4750000000000005</v>
      </c>
      <c r="N38" s="23" t="s">
        <v>6</v>
      </c>
      <c r="R38" s="11" t="s">
        <v>51</v>
      </c>
      <c r="S38" s="26">
        <f>S10*S11*S12*S13</f>
        <v>0.216</v>
      </c>
      <c r="T38" s="12" t="s">
        <v>6</v>
      </c>
      <c r="U38" s="27">
        <f t="shared" si="12"/>
        <v>2.16</v>
      </c>
      <c r="V38" s="23" t="s">
        <v>6</v>
      </c>
      <c r="Z38" s="11" t="s">
        <v>51</v>
      </c>
      <c r="AA38" s="26">
        <f>AA10*AA11*AA12*AA13</f>
        <v>2.3125</v>
      </c>
      <c r="AB38" s="12" t="s">
        <v>6</v>
      </c>
      <c r="AC38" s="27">
        <f t="shared" si="13"/>
        <v>2.3125</v>
      </c>
      <c r="AD38" s="23" t="s">
        <v>6</v>
      </c>
      <c r="AF38" s="1" t="s">
        <v>79</v>
      </c>
      <c r="AG38" s="56">
        <f>E38+M38+U38+AC38</f>
        <v>16.035</v>
      </c>
      <c r="AH38" s="25" t="s">
        <v>6</v>
      </c>
    </row>
    <row r="39" spans="1:34" x14ac:dyDescent="0.2">
      <c r="A39" s="12">
        <v>12</v>
      </c>
      <c r="B39" s="11" t="s">
        <v>45</v>
      </c>
      <c r="C39" s="21"/>
      <c r="D39" s="12" t="s">
        <v>6</v>
      </c>
      <c r="E39" s="27">
        <f t="shared" si="0"/>
        <v>0</v>
      </c>
      <c r="F39" s="23" t="s">
        <v>6</v>
      </c>
      <c r="I39" s="12"/>
      <c r="J39" s="11" t="s">
        <v>45</v>
      </c>
      <c r="K39" s="21"/>
      <c r="L39" s="12" t="s">
        <v>6</v>
      </c>
      <c r="M39" s="27">
        <f t="shared" si="11"/>
        <v>0</v>
      </c>
      <c r="N39" s="23" t="s">
        <v>6</v>
      </c>
      <c r="R39" s="11" t="s">
        <v>45</v>
      </c>
      <c r="S39" s="21"/>
      <c r="T39" s="12" t="s">
        <v>6</v>
      </c>
      <c r="U39" s="27">
        <f t="shared" si="12"/>
        <v>0</v>
      </c>
      <c r="V39" s="23" t="s">
        <v>6</v>
      </c>
      <c r="Z39" s="11" t="s">
        <v>45</v>
      </c>
      <c r="AA39" s="21"/>
      <c r="AB39" s="12" t="s">
        <v>6</v>
      </c>
      <c r="AC39" s="27">
        <f t="shared" si="13"/>
        <v>0</v>
      </c>
      <c r="AD39" s="23" t="s">
        <v>6</v>
      </c>
      <c r="AG39" s="56">
        <f>E39+M39+U39+AC39</f>
        <v>0</v>
      </c>
      <c r="AH39" s="25" t="s">
        <v>6</v>
      </c>
    </row>
    <row r="40" spans="1:34" x14ac:dyDescent="0.2">
      <c r="A40" s="1">
        <v>13</v>
      </c>
      <c r="B40" s="28" t="s">
        <v>46</v>
      </c>
      <c r="C40" s="29">
        <f>C4*C5</f>
        <v>61.57</v>
      </c>
      <c r="D40" s="1" t="s">
        <v>1</v>
      </c>
      <c r="E40" s="27">
        <f t="shared" si="0"/>
        <v>61.57</v>
      </c>
      <c r="F40" s="30" t="s">
        <v>1</v>
      </c>
      <c r="J40" s="28" t="s">
        <v>46</v>
      </c>
      <c r="K40" s="29">
        <f>K4*K5</f>
        <v>80.84</v>
      </c>
      <c r="L40" s="1" t="s">
        <v>1</v>
      </c>
      <c r="M40" s="27">
        <f t="shared" si="11"/>
        <v>80.84</v>
      </c>
      <c r="N40" s="30" t="s">
        <v>1</v>
      </c>
      <c r="R40" s="28" t="s">
        <v>46</v>
      </c>
      <c r="S40" s="29">
        <f>S4*S5</f>
        <v>2.25</v>
      </c>
      <c r="T40" s="1" t="s">
        <v>1</v>
      </c>
      <c r="U40" s="27">
        <f t="shared" si="12"/>
        <v>22.5</v>
      </c>
      <c r="V40" s="30" t="s">
        <v>1</v>
      </c>
      <c r="Z40" s="28" t="s">
        <v>46</v>
      </c>
      <c r="AA40" s="29">
        <f>AA4*AA5</f>
        <v>28.200000000000003</v>
      </c>
      <c r="AB40" s="1" t="s">
        <v>1</v>
      </c>
      <c r="AC40" s="27">
        <f t="shared" si="13"/>
        <v>28.200000000000003</v>
      </c>
      <c r="AD40" s="30" t="s">
        <v>1</v>
      </c>
      <c r="AF40" s="1" t="s">
        <v>79</v>
      </c>
      <c r="AG40" s="56">
        <f>E40+M40+U40+AC40</f>
        <v>193.11</v>
      </c>
      <c r="AH40" s="18" t="s">
        <v>1</v>
      </c>
    </row>
    <row r="41" spans="1:34" x14ac:dyDescent="0.2">
      <c r="A41" s="1">
        <v>14</v>
      </c>
      <c r="B41" s="1" t="s">
        <v>47</v>
      </c>
      <c r="C41" s="29"/>
      <c r="E41" s="22"/>
      <c r="F41" s="30"/>
      <c r="J41" s="1" t="s">
        <v>47</v>
      </c>
      <c r="K41" s="29"/>
      <c r="M41" s="27"/>
      <c r="N41" s="30"/>
      <c r="R41" s="1" t="s">
        <v>47</v>
      </c>
      <c r="S41" s="29"/>
      <c r="U41" s="27"/>
      <c r="V41" s="30"/>
      <c r="Z41" s="1" t="s">
        <v>47</v>
      </c>
      <c r="AA41" s="29"/>
      <c r="AC41" s="27"/>
      <c r="AD41" s="30"/>
      <c r="AG41" s="56"/>
      <c r="AH41" s="18"/>
    </row>
    <row r="42" spans="1:34" x14ac:dyDescent="0.2">
      <c r="B42" s="8" t="s">
        <v>48</v>
      </c>
      <c r="C42" s="29">
        <f>C14*C10*(0.15*0.15*0.2)</f>
        <v>0</v>
      </c>
      <c r="D42" s="1" t="s">
        <v>6</v>
      </c>
      <c r="E42" s="22">
        <f t="shared" si="0"/>
        <v>0</v>
      </c>
      <c r="F42" s="30" t="s">
        <v>6</v>
      </c>
      <c r="J42" s="8" t="s">
        <v>48</v>
      </c>
      <c r="K42" s="29">
        <f>K14*K10*(0.15*0.15*0.2)</f>
        <v>0</v>
      </c>
      <c r="L42" s="1" t="s">
        <v>6</v>
      </c>
      <c r="M42" s="27">
        <f t="shared" ref="M42:M44" si="14">K42*O$15</f>
        <v>0</v>
      </c>
      <c r="N42" s="30" t="s">
        <v>6</v>
      </c>
      <c r="R42" s="8" t="s">
        <v>48</v>
      </c>
      <c r="S42" s="29">
        <f>S14*S10*(0.15*0.15*0.2)</f>
        <v>1.7999999999999999E-2</v>
      </c>
      <c r="T42" s="1" t="s">
        <v>6</v>
      </c>
      <c r="U42" s="27">
        <f t="shared" ref="U42:U44" si="15">S42*W$15</f>
        <v>0.18</v>
      </c>
      <c r="V42" s="30" t="s">
        <v>6</v>
      </c>
      <c r="Z42" s="8" t="s">
        <v>48</v>
      </c>
      <c r="AA42" s="29">
        <f>AA14*AA10*(0.15*0.15*0.2)</f>
        <v>0</v>
      </c>
      <c r="AB42" s="1" t="s">
        <v>6</v>
      </c>
      <c r="AC42" s="27">
        <f t="shared" ref="AC42:AC44" si="16">AA42*AE$15</f>
        <v>0</v>
      </c>
      <c r="AD42" s="30" t="s">
        <v>6</v>
      </c>
      <c r="AF42" s="1" t="s">
        <v>79</v>
      </c>
      <c r="AG42" s="56">
        <f>E42+M42+U42+AC42</f>
        <v>0.18</v>
      </c>
      <c r="AH42" s="18" t="s">
        <v>6</v>
      </c>
    </row>
    <row r="43" spans="1:34" x14ac:dyDescent="0.2">
      <c r="B43" s="8" t="s">
        <v>49</v>
      </c>
      <c r="C43" s="29">
        <f>C10*C11*C12*0.075</f>
        <v>0.76312500000000005</v>
      </c>
      <c r="D43" s="1" t="s">
        <v>6</v>
      </c>
      <c r="E43" s="22">
        <f t="shared" si="0"/>
        <v>0.76312500000000005</v>
      </c>
      <c r="F43" s="30" t="s">
        <v>6</v>
      </c>
      <c r="J43" s="8" t="s">
        <v>49</v>
      </c>
      <c r="K43" s="29">
        <f>K10*K11*K12*0.075</f>
        <v>0.97125000000000006</v>
      </c>
      <c r="L43" s="1" t="s">
        <v>6</v>
      </c>
      <c r="M43" s="27">
        <f t="shared" si="14"/>
        <v>0.97125000000000006</v>
      </c>
      <c r="N43" s="30" t="s">
        <v>6</v>
      </c>
      <c r="R43" s="8" t="s">
        <v>49</v>
      </c>
      <c r="S43" s="29">
        <f>S10*S11*S12*0.075</f>
        <v>2.7E-2</v>
      </c>
      <c r="T43" s="1" t="s">
        <v>6</v>
      </c>
      <c r="U43" s="27">
        <f t="shared" si="15"/>
        <v>0.27</v>
      </c>
      <c r="V43" s="30" t="s">
        <v>6</v>
      </c>
      <c r="Z43" s="8" t="s">
        <v>49</v>
      </c>
      <c r="AA43" s="29">
        <f>AA10*AA11*AA12*0.075</f>
        <v>0.34687499999999999</v>
      </c>
      <c r="AB43" s="1" t="s">
        <v>6</v>
      </c>
      <c r="AC43" s="27">
        <f t="shared" si="16"/>
        <v>0.34687499999999999</v>
      </c>
      <c r="AD43" s="30" t="s">
        <v>6</v>
      </c>
      <c r="AF43" s="1" t="s">
        <v>79</v>
      </c>
      <c r="AG43" s="56">
        <f>E43+M43+U43+AC43</f>
        <v>2.3512499999999998</v>
      </c>
      <c r="AH43" s="18" t="s">
        <v>6</v>
      </c>
    </row>
    <row r="44" spans="1:34" x14ac:dyDescent="0.2">
      <c r="A44" s="1">
        <v>15</v>
      </c>
      <c r="B44" s="1" t="s">
        <v>50</v>
      </c>
      <c r="C44" s="1">
        <f>(C11*2)+(C12*2)</f>
        <v>7.9</v>
      </c>
      <c r="D44" s="1" t="s">
        <v>11</v>
      </c>
      <c r="E44" s="27">
        <f t="shared" si="0"/>
        <v>7.9</v>
      </c>
      <c r="F44" s="30" t="s">
        <v>11</v>
      </c>
      <c r="J44" s="1" t="s">
        <v>50</v>
      </c>
      <c r="K44" s="1">
        <f>(K11*2)+(K12*2)</f>
        <v>7.9</v>
      </c>
      <c r="L44" s="1" t="s">
        <v>11</v>
      </c>
      <c r="M44" s="27">
        <f t="shared" si="14"/>
        <v>7.9</v>
      </c>
      <c r="N44" s="30" t="s">
        <v>11</v>
      </c>
      <c r="R44" s="1" t="s">
        <v>50</v>
      </c>
      <c r="S44" s="1">
        <f>(S11*2)+(S12*2)</f>
        <v>2.4</v>
      </c>
      <c r="T44" s="1" t="s">
        <v>11</v>
      </c>
      <c r="U44" s="27">
        <f t="shared" si="15"/>
        <v>24</v>
      </c>
      <c r="V44" s="30" t="s">
        <v>11</v>
      </c>
      <c r="Z44" s="1" t="s">
        <v>50</v>
      </c>
      <c r="AA44" s="1">
        <f>(AA11*2)+(AA12*2)</f>
        <v>7.9</v>
      </c>
      <c r="AB44" s="1" t="s">
        <v>11</v>
      </c>
      <c r="AC44" s="27">
        <f t="shared" si="16"/>
        <v>7.9</v>
      </c>
      <c r="AD44" s="30" t="s">
        <v>11</v>
      </c>
      <c r="AF44" s="1" t="s">
        <v>79</v>
      </c>
      <c r="AG44" s="56">
        <f>E44+M44+U44+AC44</f>
        <v>47.699999999999996</v>
      </c>
      <c r="AH44" s="18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311-B85E-4AAB-B6AD-CB039D113BA0}">
  <sheetPr>
    <pageSetUpPr fitToPage="1"/>
  </sheetPr>
  <dimension ref="A1:O41"/>
  <sheetViews>
    <sheetView topLeftCell="B1" zoomScale="115" zoomScaleNormal="115" workbookViewId="0">
      <selection activeCell="L28" sqref="L28"/>
    </sheetView>
  </sheetViews>
  <sheetFormatPr defaultColWidth="8.85546875" defaultRowHeight="11.25" x14ac:dyDescent="0.2"/>
  <cols>
    <col min="1" max="1" width="4.28515625" style="1" customWidth="1"/>
    <col min="2" max="2" width="23.85546875" style="1" customWidth="1"/>
    <col min="3" max="3" width="4" style="1" customWidth="1"/>
    <col min="4" max="4" width="2.7109375" style="1" customWidth="1"/>
    <col min="5" max="5" width="4.42578125" style="1" customWidth="1"/>
    <col min="6" max="7" width="6" style="1" customWidth="1"/>
    <col min="8" max="8" width="0.140625" style="1" customWidth="1"/>
    <col min="9" max="9" width="7.5703125" style="1" customWidth="1"/>
    <col min="10" max="10" width="7.28515625" style="1" customWidth="1"/>
    <col min="11" max="12" width="7.5703125" style="1" customWidth="1"/>
    <col min="13" max="13" width="8.85546875" style="1"/>
    <col min="14" max="14" width="11.28515625" style="1" customWidth="1"/>
    <col min="15" max="16384" width="8.85546875" style="1"/>
  </cols>
  <sheetData>
    <row r="1" spans="1:15" x14ac:dyDescent="0.2">
      <c r="B1" s="2" t="s">
        <v>61</v>
      </c>
    </row>
    <row r="3" spans="1:15" ht="12" thickBot="1" x14ac:dyDescent="0.25">
      <c r="F3" s="2"/>
      <c r="G3" s="2"/>
      <c r="H3" s="2"/>
      <c r="I3" s="3"/>
      <c r="J3" s="3"/>
      <c r="K3" s="3"/>
      <c r="L3" s="3"/>
    </row>
    <row r="4" spans="1:15" ht="3" customHeight="1" x14ac:dyDescent="0.2">
      <c r="I4" s="44"/>
      <c r="J4" s="45"/>
      <c r="K4" s="45"/>
      <c r="L4" s="52"/>
    </row>
    <row r="5" spans="1:15" s="4" customFormat="1" ht="27" customHeight="1" x14ac:dyDescent="0.2">
      <c r="E5" s="1"/>
      <c r="F5" s="4">
        <v>5</v>
      </c>
      <c r="I5" s="46"/>
      <c r="J5" s="35"/>
      <c r="K5" s="39"/>
      <c r="L5" s="53"/>
    </row>
    <row r="6" spans="1:15" s="4" customFormat="1" ht="27" customHeight="1" x14ac:dyDescent="0.25">
      <c r="E6" s="42">
        <f>SUM(F5:F6)</f>
        <v>10</v>
      </c>
      <c r="F6" s="4">
        <v>5</v>
      </c>
      <c r="I6" s="47"/>
      <c r="J6" s="34"/>
      <c r="K6" s="40" t="s">
        <v>52</v>
      </c>
      <c r="L6" s="54"/>
    </row>
    <row r="7" spans="1:15" s="4" customFormat="1" ht="3.6" customHeight="1" thickBot="1" x14ac:dyDescent="0.3">
      <c r="I7" s="48"/>
      <c r="J7" s="49"/>
      <c r="K7" s="49"/>
      <c r="L7" s="55"/>
    </row>
    <row r="9" spans="1:15" x14ac:dyDescent="0.2">
      <c r="I9" s="3">
        <v>5</v>
      </c>
      <c r="J9" s="3">
        <v>5</v>
      </c>
      <c r="K9" s="3">
        <v>5</v>
      </c>
      <c r="L9" s="3">
        <v>5</v>
      </c>
    </row>
    <row r="10" spans="1:15" s="2" customFormat="1" x14ac:dyDescent="0.2">
      <c r="J10" s="41">
        <f>SUM(A9:L9)</f>
        <v>20</v>
      </c>
    </row>
    <row r="11" spans="1:15" x14ac:dyDescent="0.2">
      <c r="J11" s="41"/>
      <c r="K11" s="36"/>
      <c r="L11" s="36"/>
    </row>
    <row r="12" spans="1:15" x14ac:dyDescent="0.2">
      <c r="B12" s="2" t="s">
        <v>55</v>
      </c>
      <c r="C12" s="50">
        <v>125</v>
      </c>
      <c r="D12" s="51" t="s">
        <v>56</v>
      </c>
    </row>
    <row r="13" spans="1:15" x14ac:dyDescent="0.2">
      <c r="G13" s="38"/>
      <c r="H13" s="3"/>
      <c r="I13" s="38"/>
      <c r="J13" s="5"/>
      <c r="N13" s="18" t="s">
        <v>33</v>
      </c>
    </row>
    <row r="14" spans="1:15" x14ac:dyDescent="0.2">
      <c r="F14" s="1" t="s">
        <v>0</v>
      </c>
      <c r="G14" s="38">
        <f>E6</f>
        <v>10</v>
      </c>
      <c r="H14" s="3"/>
      <c r="I14" s="38">
        <f>J10</f>
        <v>20</v>
      </c>
      <c r="J14" s="5">
        <f>I14*G14</f>
        <v>200</v>
      </c>
      <c r="K14" s="1" t="s">
        <v>1</v>
      </c>
      <c r="N14" s="19"/>
    </row>
    <row r="15" spans="1:15" x14ac:dyDescent="0.2">
      <c r="J15" s="7"/>
      <c r="N15" s="19"/>
    </row>
    <row r="16" spans="1:15" x14ac:dyDescent="0.2">
      <c r="A16" s="1">
        <v>1</v>
      </c>
      <c r="B16" s="1" t="s">
        <v>2</v>
      </c>
      <c r="J16" s="7">
        <f>J14*1.1</f>
        <v>220.00000000000003</v>
      </c>
      <c r="K16" s="1" t="s">
        <v>1</v>
      </c>
      <c r="M16" s="1" t="s">
        <v>79</v>
      </c>
      <c r="N16" s="24">
        <f>J16</f>
        <v>220.00000000000003</v>
      </c>
      <c r="O16" s="1" t="s">
        <v>1</v>
      </c>
    </row>
    <row r="17" spans="1:15" x14ac:dyDescent="0.2">
      <c r="J17" s="7"/>
      <c r="N17" s="24"/>
    </row>
    <row r="18" spans="1:15" x14ac:dyDescent="0.2">
      <c r="A18" s="1">
        <v>2</v>
      </c>
      <c r="B18" s="1" t="s">
        <v>3</v>
      </c>
      <c r="J18" s="7">
        <f>(2*I14)+(2*G14)</f>
        <v>60</v>
      </c>
      <c r="K18" s="1" t="s">
        <v>11</v>
      </c>
      <c r="M18" s="1" t="s">
        <v>79</v>
      </c>
      <c r="N18" s="24">
        <f>J18</f>
        <v>60</v>
      </c>
      <c r="O18" s="1" t="s">
        <v>11</v>
      </c>
    </row>
    <row r="19" spans="1:15" x14ac:dyDescent="0.2">
      <c r="J19" s="7"/>
      <c r="N19" s="24"/>
    </row>
    <row r="20" spans="1:15" x14ac:dyDescent="0.2">
      <c r="A20" s="1">
        <v>3</v>
      </c>
      <c r="B20" s="1" t="s">
        <v>5</v>
      </c>
      <c r="J20" s="7">
        <f>J14*(C12/1000)</f>
        <v>25</v>
      </c>
      <c r="K20" s="1" t="s">
        <v>6</v>
      </c>
      <c r="M20" s="1" t="s">
        <v>79</v>
      </c>
      <c r="N20" s="24">
        <f>J20</f>
        <v>25</v>
      </c>
      <c r="O20" s="1" t="s">
        <v>6</v>
      </c>
    </row>
    <row r="21" spans="1:15" x14ac:dyDescent="0.2">
      <c r="J21" s="7"/>
      <c r="N21" s="24"/>
    </row>
    <row r="22" spans="1:15" x14ac:dyDescent="0.2">
      <c r="A22" s="1">
        <v>4</v>
      </c>
      <c r="B22" s="12" t="s">
        <v>16</v>
      </c>
      <c r="C22" s="12"/>
      <c r="D22" s="12"/>
      <c r="E22" s="12"/>
      <c r="J22" s="7">
        <f>J14</f>
        <v>200</v>
      </c>
      <c r="K22" s="8" t="s">
        <v>1</v>
      </c>
      <c r="L22" s="8"/>
      <c r="M22" s="1" t="s">
        <v>79</v>
      </c>
      <c r="N22" s="24">
        <f>J22</f>
        <v>200</v>
      </c>
      <c r="O22" s="8" t="s">
        <v>1</v>
      </c>
    </row>
    <row r="23" spans="1:15" x14ac:dyDescent="0.2">
      <c r="J23" s="7"/>
      <c r="N23" s="24"/>
    </row>
    <row r="24" spans="1:15" x14ac:dyDescent="0.2">
      <c r="A24" s="1">
        <v>5</v>
      </c>
      <c r="B24" s="1" t="s">
        <v>7</v>
      </c>
      <c r="J24" s="7">
        <f>J14</f>
        <v>200</v>
      </c>
      <c r="K24" s="1" t="s">
        <v>1</v>
      </c>
      <c r="M24" s="1" t="s">
        <v>79</v>
      </c>
      <c r="N24" s="24">
        <f>J24</f>
        <v>200</v>
      </c>
      <c r="O24" s="1" t="s">
        <v>1</v>
      </c>
    </row>
    <row r="25" spans="1:15" x14ac:dyDescent="0.2">
      <c r="J25" s="7"/>
      <c r="N25" s="24"/>
    </row>
    <row r="26" spans="1:15" x14ac:dyDescent="0.2">
      <c r="A26" s="1">
        <v>6</v>
      </c>
      <c r="B26" s="1" t="s">
        <v>8</v>
      </c>
      <c r="J26" s="7">
        <f>J24</f>
        <v>200</v>
      </c>
      <c r="K26" s="1" t="s">
        <v>1</v>
      </c>
      <c r="M26" s="1" t="s">
        <v>79</v>
      </c>
      <c r="N26" s="24">
        <f>J26</f>
        <v>200</v>
      </c>
      <c r="O26" s="1" t="s">
        <v>1</v>
      </c>
    </row>
    <row r="27" spans="1:15" x14ac:dyDescent="0.2">
      <c r="J27" s="7"/>
      <c r="N27" s="24"/>
    </row>
    <row r="28" spans="1:15" x14ac:dyDescent="0.2">
      <c r="A28" s="1">
        <v>7</v>
      </c>
      <c r="B28" s="16" t="s">
        <v>12</v>
      </c>
      <c r="C28" s="16"/>
      <c r="D28" s="16"/>
      <c r="E28" s="16"/>
      <c r="F28" s="16"/>
      <c r="G28" s="16"/>
      <c r="H28" s="16"/>
      <c r="I28" s="16"/>
      <c r="J28" s="37">
        <f>J26+(6*E6*3.5)+(I14*3.5)</f>
        <v>480</v>
      </c>
      <c r="K28" s="16" t="s">
        <v>1</v>
      </c>
      <c r="L28" s="16"/>
      <c r="M28" s="1" t="s">
        <v>79</v>
      </c>
      <c r="N28" s="24">
        <f>J28</f>
        <v>480</v>
      </c>
      <c r="O28" s="16" t="s">
        <v>1</v>
      </c>
    </row>
    <row r="29" spans="1:15" x14ac:dyDescent="0.2">
      <c r="J29" s="10"/>
      <c r="N29" s="24"/>
    </row>
    <row r="30" spans="1:15" x14ac:dyDescent="0.2">
      <c r="B30" s="1" t="s">
        <v>10</v>
      </c>
      <c r="N30" s="24"/>
    </row>
    <row r="31" spans="1:15" x14ac:dyDescent="0.2">
      <c r="N31" s="24"/>
    </row>
    <row r="32" spans="1:15" x14ac:dyDescent="0.2">
      <c r="A32" s="1">
        <v>8</v>
      </c>
      <c r="B32" s="9" t="s">
        <v>15</v>
      </c>
      <c r="C32" s="9"/>
      <c r="D32" s="9"/>
      <c r="E32" s="9"/>
      <c r="J32" s="6">
        <f>(I14*2)+(2*E6)</f>
        <v>60</v>
      </c>
      <c r="K32" s="1" t="s">
        <v>11</v>
      </c>
      <c r="M32" s="1" t="s">
        <v>79</v>
      </c>
      <c r="N32" s="24">
        <f>J32</f>
        <v>60</v>
      </c>
      <c r="O32" s="1" t="s">
        <v>11</v>
      </c>
    </row>
    <row r="33" spans="1:15" x14ac:dyDescent="0.2">
      <c r="B33" s="8"/>
      <c r="C33" s="8"/>
      <c r="D33" s="8"/>
      <c r="E33" s="8"/>
      <c r="N33" s="24"/>
    </row>
    <row r="34" spans="1:15" x14ac:dyDescent="0.2">
      <c r="A34" s="1">
        <v>9</v>
      </c>
      <c r="B34" s="32" t="s">
        <v>13</v>
      </c>
      <c r="C34" s="32"/>
      <c r="D34" s="32"/>
      <c r="E34" s="32"/>
      <c r="F34" s="12"/>
      <c r="G34" s="12"/>
      <c r="H34" s="12"/>
      <c r="I34" s="12"/>
      <c r="J34" s="33">
        <f>(4*E6)</f>
        <v>40</v>
      </c>
      <c r="K34" s="12" t="s">
        <v>11</v>
      </c>
      <c r="L34" s="12"/>
      <c r="M34" s="1" t="s">
        <v>79</v>
      </c>
      <c r="N34" s="24">
        <f>J34</f>
        <v>40</v>
      </c>
      <c r="O34" s="12" t="s">
        <v>11</v>
      </c>
    </row>
    <row r="35" spans="1:15" x14ac:dyDescent="0.2">
      <c r="B35" s="9"/>
      <c r="C35" s="9"/>
      <c r="D35" s="9"/>
      <c r="E35" s="9"/>
      <c r="J35" s="6"/>
      <c r="N35" s="24"/>
    </row>
    <row r="36" spans="1:15" x14ac:dyDescent="0.2">
      <c r="A36" s="1">
        <v>10</v>
      </c>
      <c r="B36" s="31" t="s">
        <v>14</v>
      </c>
      <c r="C36" s="31"/>
      <c r="D36" s="31"/>
      <c r="E36" s="31"/>
      <c r="J36" s="6">
        <f>(1*I14)</f>
        <v>20</v>
      </c>
      <c r="K36" s="1" t="s">
        <v>11</v>
      </c>
      <c r="M36" s="1" t="s">
        <v>79</v>
      </c>
      <c r="N36" s="24">
        <f>J36</f>
        <v>20</v>
      </c>
      <c r="O36" s="1" t="s">
        <v>11</v>
      </c>
    </row>
    <row r="37" spans="1:15" x14ac:dyDescent="0.2">
      <c r="N37" s="43"/>
    </row>
    <row r="38" spans="1:15" x14ac:dyDescent="0.2">
      <c r="N38" s="43"/>
    </row>
    <row r="39" spans="1:15" x14ac:dyDescent="0.2">
      <c r="N39" s="43"/>
    </row>
    <row r="40" spans="1:15" x14ac:dyDescent="0.2">
      <c r="N40" s="43"/>
    </row>
    <row r="41" spans="1:15" x14ac:dyDescent="0.2">
      <c r="N41" s="43"/>
    </row>
  </sheetData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C084-7B54-4B99-B927-39FD3E57A1F2}">
  <dimension ref="B2:J44"/>
  <sheetViews>
    <sheetView topLeftCell="A22" workbookViewId="0">
      <selection activeCell="H46" sqref="H46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63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13" t="s">
        <v>21</v>
      </c>
      <c r="C4" s="14">
        <v>0</v>
      </c>
      <c r="D4" s="13" t="s">
        <v>11</v>
      </c>
      <c r="E4" s="1"/>
      <c r="F4" s="1"/>
      <c r="G4" s="1"/>
      <c r="H4" s="1"/>
      <c r="I4" s="1"/>
      <c r="J4" s="1"/>
    </row>
    <row r="5" spans="2:10" x14ac:dyDescent="0.25">
      <c r="B5" s="13" t="s">
        <v>22</v>
      </c>
      <c r="C5" s="15">
        <v>0</v>
      </c>
      <c r="D5" s="13" t="s">
        <v>11</v>
      </c>
      <c r="E5" s="1"/>
      <c r="F5" s="1"/>
      <c r="G5" s="1"/>
      <c r="H5" s="1"/>
      <c r="I5" s="1"/>
      <c r="J5" s="1"/>
    </row>
    <row r="6" spans="2:10" x14ac:dyDescent="0.25">
      <c r="B6" s="13" t="s">
        <v>23</v>
      </c>
      <c r="C6" s="14">
        <v>0</v>
      </c>
      <c r="D6" s="13" t="s">
        <v>11</v>
      </c>
      <c r="E6" s="1"/>
      <c r="F6" s="1"/>
      <c r="G6" s="1"/>
      <c r="H6" s="1"/>
      <c r="I6" s="1"/>
      <c r="J6" s="1"/>
    </row>
    <row r="7" spans="2:10" x14ac:dyDescent="0.25">
      <c r="B7" s="13" t="s">
        <v>24</v>
      </c>
      <c r="C7" s="14">
        <v>0</v>
      </c>
      <c r="D7" s="13" t="s">
        <v>11</v>
      </c>
      <c r="E7" s="1"/>
      <c r="F7" s="1"/>
      <c r="G7" s="1"/>
      <c r="H7" s="1"/>
      <c r="I7" s="1"/>
      <c r="J7" s="1"/>
    </row>
    <row r="8" spans="2:10" x14ac:dyDescent="0.25">
      <c r="B8" s="13" t="s">
        <v>25</v>
      </c>
      <c r="C8" s="14">
        <v>0</v>
      </c>
      <c r="D8" s="13" t="s">
        <v>11</v>
      </c>
      <c r="E8" s="1"/>
      <c r="F8" s="1"/>
      <c r="G8" s="1"/>
      <c r="H8" s="1"/>
      <c r="I8" s="1"/>
      <c r="J8" s="1"/>
    </row>
    <row r="9" spans="2:10" x14ac:dyDescent="0.25">
      <c r="B9" s="13"/>
      <c r="C9" s="14"/>
      <c r="D9" s="13"/>
      <c r="E9" s="1"/>
      <c r="F9" s="1"/>
      <c r="G9" s="1"/>
      <c r="H9" s="1"/>
      <c r="I9" s="1"/>
      <c r="J9" s="1"/>
    </row>
    <row r="10" spans="2:10" x14ac:dyDescent="0.25">
      <c r="B10" s="13" t="s">
        <v>26</v>
      </c>
      <c r="C10" s="14">
        <v>1</v>
      </c>
      <c r="D10" s="13" t="s">
        <v>9</v>
      </c>
      <c r="E10" s="1"/>
      <c r="F10" s="1"/>
      <c r="G10" s="1"/>
      <c r="H10" s="1"/>
      <c r="I10" s="1"/>
      <c r="J10" s="1"/>
    </row>
    <row r="11" spans="2:10" x14ac:dyDescent="0.25">
      <c r="B11" s="13" t="s">
        <v>27</v>
      </c>
      <c r="C11" s="14">
        <v>1.25</v>
      </c>
      <c r="D11" s="13" t="s">
        <v>11</v>
      </c>
      <c r="E11" s="1"/>
      <c r="F11" s="1"/>
      <c r="G11" s="1"/>
      <c r="H11" s="1"/>
      <c r="I11" s="1"/>
      <c r="J11" s="1"/>
    </row>
    <row r="12" spans="2:10" x14ac:dyDescent="0.25">
      <c r="B12" s="13" t="s">
        <v>28</v>
      </c>
      <c r="C12" s="14">
        <v>2.5</v>
      </c>
      <c r="D12" s="13" t="s">
        <v>11</v>
      </c>
      <c r="E12" s="1"/>
      <c r="F12" s="1"/>
      <c r="G12" s="1"/>
      <c r="H12" s="1"/>
      <c r="I12" s="1"/>
      <c r="J12" s="1"/>
    </row>
    <row r="13" spans="2:10" x14ac:dyDescent="0.25">
      <c r="B13" s="13" t="s">
        <v>29</v>
      </c>
      <c r="C13" s="15">
        <v>0.25</v>
      </c>
      <c r="D13" s="13" t="s">
        <v>11</v>
      </c>
      <c r="E13" s="1"/>
      <c r="F13" s="1"/>
      <c r="G13" s="1"/>
      <c r="H13" s="1"/>
      <c r="I13" s="1"/>
      <c r="J13" s="1"/>
    </row>
    <row r="14" spans="2:10" x14ac:dyDescent="0.25">
      <c r="B14" s="13" t="s">
        <v>30</v>
      </c>
      <c r="C14" s="14">
        <v>8</v>
      </c>
      <c r="D14" s="13" t="s">
        <v>9</v>
      </c>
      <c r="E14" s="1"/>
      <c r="F14" s="1"/>
      <c r="G14" s="1"/>
      <c r="H14" s="1"/>
      <c r="I14" s="1"/>
      <c r="J14" s="1"/>
    </row>
    <row r="15" spans="2:10" x14ac:dyDescent="0.25">
      <c r="B15" s="13" t="s">
        <v>31</v>
      </c>
      <c r="C15" s="14">
        <v>115</v>
      </c>
      <c r="D15" s="13"/>
      <c r="E15" s="16" t="s">
        <v>32</v>
      </c>
      <c r="F15" s="16"/>
      <c r="G15" s="17">
        <v>8</v>
      </c>
      <c r="H15" s="12" t="s">
        <v>9</v>
      </c>
      <c r="I15" s="1"/>
      <c r="J15" s="1"/>
    </row>
    <row r="16" spans="2:10" x14ac:dyDescent="0.25">
      <c r="B16" s="13"/>
      <c r="C16" s="14"/>
      <c r="D16" s="13"/>
      <c r="E16" s="16"/>
      <c r="F16" s="16"/>
      <c r="G16" s="17"/>
      <c r="H16" s="12"/>
      <c r="I16" s="1"/>
      <c r="J16" s="1"/>
    </row>
    <row r="17" spans="2:10" x14ac:dyDescent="0.25">
      <c r="B17" s="12"/>
      <c r="C17" s="12"/>
      <c r="D17" s="12"/>
      <c r="E17" s="2" t="s">
        <v>33</v>
      </c>
      <c r="F17" s="1"/>
      <c r="G17" s="1"/>
      <c r="H17" s="1"/>
      <c r="I17" s="18" t="s">
        <v>33</v>
      </c>
      <c r="J17" s="19"/>
    </row>
    <row r="18" spans="2:10" x14ac:dyDescent="0.25">
      <c r="B18" s="12"/>
      <c r="C18" s="12"/>
      <c r="D18" s="12"/>
      <c r="E18" s="2"/>
      <c r="F18" s="1"/>
      <c r="G18" s="1"/>
      <c r="H18" s="1"/>
      <c r="I18" s="19"/>
      <c r="J18" s="19"/>
    </row>
    <row r="19" spans="2:10" x14ac:dyDescent="0.25">
      <c r="B19" s="20" t="s">
        <v>53</v>
      </c>
      <c r="C19" s="12"/>
      <c r="D19" s="12"/>
      <c r="E19" s="1"/>
      <c r="F19" s="1"/>
      <c r="G19" s="1"/>
      <c r="H19" s="1"/>
      <c r="I19" s="19"/>
      <c r="J19" s="19"/>
    </row>
    <row r="20" spans="2:10" x14ac:dyDescent="0.25">
      <c r="B20" s="12" t="s">
        <v>62</v>
      </c>
      <c r="C20" s="12">
        <v>0</v>
      </c>
      <c r="D20" s="12" t="s">
        <v>9</v>
      </c>
      <c r="E20" s="22"/>
      <c r="F20" s="23"/>
      <c r="G20" s="1"/>
      <c r="H20" s="1"/>
      <c r="I20" s="56">
        <f>C20</f>
        <v>0</v>
      </c>
      <c r="J20" s="25" t="s">
        <v>9</v>
      </c>
    </row>
    <row r="21" spans="2:10" x14ac:dyDescent="0.25">
      <c r="B21" s="12"/>
      <c r="C21" s="26"/>
      <c r="D21" s="12"/>
      <c r="E21" s="22"/>
      <c r="F21" s="23"/>
      <c r="G21" s="1"/>
      <c r="H21" s="1"/>
      <c r="I21" s="56"/>
      <c r="J21" s="25"/>
    </row>
    <row r="22" spans="2:10" x14ac:dyDescent="0.25">
      <c r="B22" s="20" t="s">
        <v>34</v>
      </c>
      <c r="C22" s="26"/>
      <c r="D22" s="12"/>
      <c r="E22" s="22"/>
      <c r="F22" s="23"/>
      <c r="G22" s="1"/>
      <c r="H22" s="1"/>
      <c r="I22" s="56"/>
      <c r="J22" s="25"/>
    </row>
    <row r="23" spans="2:10" x14ac:dyDescent="0.25">
      <c r="B23" s="12" t="s">
        <v>35</v>
      </c>
      <c r="C23" s="26">
        <f>(C4+C7)*(C5+C7)*(C6+C8)</f>
        <v>0</v>
      </c>
      <c r="D23" s="12" t="s">
        <v>6</v>
      </c>
      <c r="E23" s="27">
        <f t="shared" ref="E23:E44" si="0">C23*G$15</f>
        <v>0</v>
      </c>
      <c r="F23" s="23" t="s">
        <v>6</v>
      </c>
      <c r="G23" s="1"/>
      <c r="H23" s="1"/>
      <c r="I23" s="56">
        <f>E23</f>
        <v>0</v>
      </c>
      <c r="J23" s="25" t="s">
        <v>6</v>
      </c>
    </row>
    <row r="24" spans="2:10" x14ac:dyDescent="0.25">
      <c r="B24" s="12" t="s">
        <v>36</v>
      </c>
      <c r="C24" s="26">
        <f>C23-(C4*C5*C6)</f>
        <v>0</v>
      </c>
      <c r="D24" s="12" t="s">
        <v>6</v>
      </c>
      <c r="E24" s="27">
        <f t="shared" si="0"/>
        <v>0</v>
      </c>
      <c r="F24" s="23" t="s">
        <v>6</v>
      </c>
      <c r="G24" s="1"/>
      <c r="H24" s="1"/>
      <c r="I24" s="56">
        <f>E24</f>
        <v>0</v>
      </c>
      <c r="J24" s="25" t="s">
        <v>6</v>
      </c>
    </row>
    <row r="25" spans="2:10" x14ac:dyDescent="0.25">
      <c r="B25" s="12"/>
      <c r="C25" s="26"/>
      <c r="D25" s="12"/>
      <c r="E25" s="27"/>
      <c r="F25" s="23"/>
      <c r="G25" s="1"/>
      <c r="H25" s="1"/>
      <c r="I25" s="56"/>
      <c r="J25" s="25"/>
    </row>
    <row r="26" spans="2:10" x14ac:dyDescent="0.25">
      <c r="B26" s="20" t="s">
        <v>37</v>
      </c>
      <c r="C26" s="26"/>
      <c r="D26" s="12"/>
      <c r="E26" s="27"/>
      <c r="F26" s="23"/>
      <c r="G26" s="1"/>
      <c r="H26" s="1"/>
      <c r="I26" s="56"/>
      <c r="J26" s="25"/>
    </row>
    <row r="27" spans="2:10" x14ac:dyDescent="0.25">
      <c r="B27" s="12" t="s">
        <v>17</v>
      </c>
      <c r="C27" s="26"/>
      <c r="D27" s="12"/>
      <c r="E27" s="27"/>
      <c r="F27" s="23"/>
      <c r="G27" s="1"/>
      <c r="H27" s="1"/>
      <c r="I27" s="56"/>
      <c r="J27" s="25"/>
    </row>
    <row r="28" spans="2:10" x14ac:dyDescent="0.25">
      <c r="B28" s="11" t="s">
        <v>38</v>
      </c>
      <c r="C28" s="26">
        <f>(2*(C4*C6))+(2*(C5*C6))</f>
        <v>0</v>
      </c>
      <c r="D28" s="12" t="s">
        <v>1</v>
      </c>
      <c r="E28" s="27">
        <f t="shared" si="0"/>
        <v>0</v>
      </c>
      <c r="F28" s="23" t="s">
        <v>1</v>
      </c>
      <c r="G28" s="1"/>
      <c r="H28" s="1"/>
      <c r="I28" s="56">
        <f t="shared" ref="I28:I33" si="1">E28</f>
        <v>0</v>
      </c>
      <c r="J28" s="25" t="s">
        <v>1</v>
      </c>
    </row>
    <row r="29" spans="2:10" x14ac:dyDescent="0.25">
      <c r="B29" s="11" t="s">
        <v>39</v>
      </c>
      <c r="C29" s="26">
        <f>((2*(C11*C13))+((C12*C13)*2))*C10</f>
        <v>1.875</v>
      </c>
      <c r="D29" s="12" t="s">
        <v>1</v>
      </c>
      <c r="E29" s="27">
        <f t="shared" si="0"/>
        <v>15</v>
      </c>
      <c r="F29" s="23" t="s">
        <v>1</v>
      </c>
      <c r="G29" s="1"/>
      <c r="H29" s="1" t="s">
        <v>79</v>
      </c>
      <c r="I29" s="56">
        <f t="shared" si="1"/>
        <v>15</v>
      </c>
      <c r="J29" s="25" t="s">
        <v>1</v>
      </c>
    </row>
    <row r="30" spans="2:10" x14ac:dyDescent="0.25">
      <c r="B30" s="20" t="s">
        <v>40</v>
      </c>
      <c r="C30" s="26">
        <f>C14*C10</f>
        <v>8</v>
      </c>
      <c r="D30" s="12" t="s">
        <v>9</v>
      </c>
      <c r="E30" s="27">
        <f t="shared" si="0"/>
        <v>64</v>
      </c>
      <c r="F30" s="23" t="s">
        <v>9</v>
      </c>
      <c r="G30" s="1"/>
      <c r="H30" s="1" t="s">
        <v>79</v>
      </c>
      <c r="I30" s="56">
        <f t="shared" si="1"/>
        <v>64</v>
      </c>
      <c r="J30" s="25" t="s">
        <v>9</v>
      </c>
    </row>
    <row r="31" spans="2:10" x14ac:dyDescent="0.25">
      <c r="B31" s="12" t="s">
        <v>41</v>
      </c>
      <c r="C31" s="26">
        <f>C30</f>
        <v>8</v>
      </c>
      <c r="D31" s="12" t="s">
        <v>9</v>
      </c>
      <c r="E31" s="27">
        <f t="shared" si="0"/>
        <v>64</v>
      </c>
      <c r="F31" s="23" t="s">
        <v>9</v>
      </c>
      <c r="G31" s="1"/>
      <c r="H31" s="1" t="s">
        <v>79</v>
      </c>
      <c r="I31" s="56">
        <f t="shared" si="1"/>
        <v>64</v>
      </c>
      <c r="J31" s="25" t="s">
        <v>9</v>
      </c>
    </row>
    <row r="32" spans="2:10" x14ac:dyDescent="0.25">
      <c r="B32" s="20" t="s">
        <v>18</v>
      </c>
      <c r="C32" s="26">
        <f>(2*C11)+(2*C12)+(2*C4)+(C5*2)</f>
        <v>7.5</v>
      </c>
      <c r="D32" s="12" t="s">
        <v>11</v>
      </c>
      <c r="E32" s="27">
        <f t="shared" si="0"/>
        <v>60</v>
      </c>
      <c r="F32" s="23" t="s">
        <v>11</v>
      </c>
      <c r="G32" s="1"/>
      <c r="H32" s="1" t="s">
        <v>79</v>
      </c>
      <c r="I32" s="56">
        <f t="shared" si="1"/>
        <v>60</v>
      </c>
      <c r="J32" s="25" t="s">
        <v>11</v>
      </c>
    </row>
    <row r="33" spans="2:10" x14ac:dyDescent="0.25">
      <c r="B33" s="20" t="s">
        <v>19</v>
      </c>
      <c r="C33" s="26">
        <f>(C37+C38+C39)*C15/1000</f>
        <v>8.984375E-2</v>
      </c>
      <c r="D33" s="12" t="s">
        <v>20</v>
      </c>
      <c r="E33" s="22">
        <f>C33*G$15</f>
        <v>0.71875</v>
      </c>
      <c r="F33" s="23" t="s">
        <v>20</v>
      </c>
      <c r="G33" s="1"/>
      <c r="H33" s="1" t="s">
        <v>79</v>
      </c>
      <c r="I33" s="56">
        <f t="shared" si="1"/>
        <v>0.71875</v>
      </c>
      <c r="J33" s="25" t="s">
        <v>20</v>
      </c>
    </row>
    <row r="34" spans="2:10" x14ac:dyDescent="0.25">
      <c r="B34" s="20" t="s">
        <v>4</v>
      </c>
      <c r="C34" s="26"/>
      <c r="D34" s="12"/>
      <c r="E34" s="22"/>
      <c r="F34" s="23"/>
      <c r="G34" s="1"/>
      <c r="H34" s="1"/>
      <c r="I34" s="56"/>
      <c r="J34" s="25"/>
    </row>
    <row r="35" spans="2:10" x14ac:dyDescent="0.25">
      <c r="B35" s="12" t="s">
        <v>42</v>
      </c>
      <c r="C35" s="26">
        <f>(C4+C7)*(C5+C7)</f>
        <v>0</v>
      </c>
      <c r="D35" s="12" t="s">
        <v>1</v>
      </c>
      <c r="E35" s="27">
        <f t="shared" si="0"/>
        <v>0</v>
      </c>
      <c r="F35" s="23" t="s">
        <v>1</v>
      </c>
      <c r="G35" s="1"/>
      <c r="H35" s="1"/>
      <c r="I35" s="56">
        <f>E35</f>
        <v>0</v>
      </c>
      <c r="J35" s="25" t="s">
        <v>1</v>
      </c>
    </row>
    <row r="36" spans="2:10" x14ac:dyDescent="0.25">
      <c r="B36" s="12" t="s">
        <v>43</v>
      </c>
      <c r="C36" s="26"/>
      <c r="D36" s="12"/>
      <c r="E36" s="27"/>
      <c r="F36" s="23"/>
      <c r="G36" s="1"/>
      <c r="H36" s="1"/>
      <c r="I36" s="56"/>
      <c r="J36" s="25"/>
    </row>
    <row r="37" spans="2:10" x14ac:dyDescent="0.25">
      <c r="B37" s="11" t="s">
        <v>44</v>
      </c>
      <c r="C37" s="26">
        <f>C4*C5*C6</f>
        <v>0</v>
      </c>
      <c r="D37" s="12" t="s">
        <v>6</v>
      </c>
      <c r="E37" s="27">
        <f t="shared" si="0"/>
        <v>0</v>
      </c>
      <c r="F37" s="23" t="s">
        <v>6</v>
      </c>
      <c r="G37" s="1"/>
      <c r="H37" s="1"/>
      <c r="I37" s="56">
        <f>E37</f>
        <v>0</v>
      </c>
      <c r="J37" s="25" t="s">
        <v>6</v>
      </c>
    </row>
    <row r="38" spans="2:10" x14ac:dyDescent="0.25">
      <c r="B38" s="11" t="s">
        <v>51</v>
      </c>
      <c r="C38" s="26">
        <f>C10*C11*C12*C13</f>
        <v>0.78125</v>
      </c>
      <c r="D38" s="12" t="s">
        <v>6</v>
      </c>
      <c r="E38" s="27">
        <f t="shared" si="0"/>
        <v>6.25</v>
      </c>
      <c r="F38" s="23" t="s">
        <v>6</v>
      </c>
      <c r="G38" s="1"/>
      <c r="H38" s="1" t="s">
        <v>79</v>
      </c>
      <c r="I38" s="56">
        <f>E38</f>
        <v>6.25</v>
      </c>
      <c r="J38" s="25" t="s">
        <v>6</v>
      </c>
    </row>
    <row r="39" spans="2:10" x14ac:dyDescent="0.25">
      <c r="B39" s="11" t="s">
        <v>45</v>
      </c>
      <c r="C39" s="21"/>
      <c r="D39" s="12" t="s">
        <v>6</v>
      </c>
      <c r="E39" s="27">
        <f t="shared" si="0"/>
        <v>0</v>
      </c>
      <c r="F39" s="23" t="s">
        <v>6</v>
      </c>
      <c r="G39" s="1"/>
      <c r="H39" s="1"/>
      <c r="I39" s="56">
        <f>E39</f>
        <v>0</v>
      </c>
      <c r="J39" s="25" t="s">
        <v>6</v>
      </c>
    </row>
    <row r="40" spans="2:10" x14ac:dyDescent="0.25">
      <c r="B40" s="28" t="s">
        <v>46</v>
      </c>
      <c r="C40" s="29">
        <f>C4*C5</f>
        <v>0</v>
      </c>
      <c r="D40" s="1" t="s">
        <v>1</v>
      </c>
      <c r="E40" s="27">
        <f t="shared" si="0"/>
        <v>0</v>
      </c>
      <c r="F40" s="30" t="s">
        <v>1</v>
      </c>
      <c r="G40" s="1"/>
      <c r="H40" s="1"/>
      <c r="I40" s="56">
        <f>E40</f>
        <v>0</v>
      </c>
      <c r="J40" s="18" t="s">
        <v>1</v>
      </c>
    </row>
    <row r="41" spans="2:10" x14ac:dyDescent="0.25">
      <c r="B41" s="1" t="s">
        <v>47</v>
      </c>
      <c r="C41" s="29"/>
      <c r="D41" s="1"/>
      <c r="E41" s="22"/>
      <c r="F41" s="30"/>
      <c r="G41" s="1"/>
      <c r="H41" s="1"/>
      <c r="I41" s="56"/>
      <c r="J41" s="18"/>
    </row>
    <row r="42" spans="2:10" x14ac:dyDescent="0.25">
      <c r="B42" s="8" t="s">
        <v>48</v>
      </c>
      <c r="C42" s="29">
        <f>C14*C10*(0.15*0.15*0.2)</f>
        <v>3.5999999999999997E-2</v>
      </c>
      <c r="D42" s="1" t="s">
        <v>6</v>
      </c>
      <c r="E42" s="22">
        <f t="shared" si="0"/>
        <v>0.28799999999999998</v>
      </c>
      <c r="F42" s="30" t="s">
        <v>6</v>
      </c>
      <c r="G42" s="1"/>
      <c r="H42" s="1" t="s">
        <v>79</v>
      </c>
      <c r="I42" s="56">
        <f>E42</f>
        <v>0.28799999999999998</v>
      </c>
      <c r="J42" s="18" t="s">
        <v>6</v>
      </c>
    </row>
    <row r="43" spans="2:10" x14ac:dyDescent="0.25">
      <c r="B43" s="8" t="s">
        <v>49</v>
      </c>
      <c r="C43" s="29">
        <f>C10*C11*C12*0.075</f>
        <v>0.234375</v>
      </c>
      <c r="D43" s="1" t="s">
        <v>6</v>
      </c>
      <c r="E43" s="22">
        <f t="shared" si="0"/>
        <v>1.875</v>
      </c>
      <c r="F43" s="30" t="s">
        <v>6</v>
      </c>
      <c r="G43" s="1"/>
      <c r="H43" s="1" t="s">
        <v>79</v>
      </c>
      <c r="I43" s="56">
        <f>E43</f>
        <v>1.875</v>
      </c>
      <c r="J43" s="18" t="s">
        <v>6</v>
      </c>
    </row>
    <row r="44" spans="2:10" x14ac:dyDescent="0.25">
      <c r="B44" s="1" t="s">
        <v>50</v>
      </c>
      <c r="C44" s="1">
        <f>(C11*2)+(C12*2)</f>
        <v>7.5</v>
      </c>
      <c r="D44" s="1" t="s">
        <v>11</v>
      </c>
      <c r="E44" s="27">
        <f t="shared" si="0"/>
        <v>60</v>
      </c>
      <c r="F44" s="30" t="s">
        <v>11</v>
      </c>
      <c r="G44" s="1"/>
      <c r="H44" s="1" t="s">
        <v>79</v>
      </c>
      <c r="I44" s="56">
        <f>E44</f>
        <v>60</v>
      </c>
      <c r="J44" s="1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A16F-6246-40B7-9B3F-4754BC9B9A14}">
  <dimension ref="B3:Q27"/>
  <sheetViews>
    <sheetView tabSelected="1" topLeftCell="A2" workbookViewId="0">
      <selection activeCell="O27" sqref="O27"/>
    </sheetView>
  </sheetViews>
  <sheetFormatPr defaultRowHeight="15" x14ac:dyDescent="0.25"/>
  <cols>
    <col min="2" max="2" width="13" customWidth="1"/>
  </cols>
  <sheetData>
    <row r="3" spans="2:17" x14ac:dyDescent="0.25">
      <c r="B3" s="57" t="s">
        <v>78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P3" s="57"/>
      <c r="Q3" s="57"/>
    </row>
    <row r="4" spans="2:17" ht="15.75" thickBot="1" x14ac:dyDescent="0.3">
      <c r="B4" s="4"/>
      <c r="C4" s="4"/>
      <c r="D4" s="4"/>
      <c r="E4" s="4"/>
      <c r="F4" s="4"/>
      <c r="G4" s="58">
        <v>0.25</v>
      </c>
      <c r="H4" s="59">
        <v>3.5</v>
      </c>
      <c r="I4" s="59"/>
      <c r="J4" s="58">
        <v>0.25</v>
      </c>
      <c r="K4" s="4"/>
      <c r="L4" s="4" t="s">
        <v>64</v>
      </c>
      <c r="M4" s="60">
        <f>H4*H4*(F7+F5)</f>
        <v>24.5</v>
      </c>
      <c r="N4" s="4" t="s">
        <v>6</v>
      </c>
      <c r="P4" s="60"/>
      <c r="Q4" s="4"/>
    </row>
    <row r="5" spans="2:17" x14ac:dyDescent="0.25">
      <c r="B5" s="4"/>
      <c r="C5" s="4"/>
      <c r="D5" s="4"/>
      <c r="E5" s="4"/>
      <c r="F5" s="61">
        <v>1</v>
      </c>
      <c r="G5" s="62"/>
      <c r="H5" s="4"/>
      <c r="I5" s="4"/>
      <c r="J5" s="62"/>
      <c r="K5" s="4"/>
      <c r="L5" s="4"/>
      <c r="M5" s="4"/>
      <c r="N5" s="4"/>
      <c r="P5" s="4"/>
      <c r="Q5" s="4"/>
    </row>
    <row r="6" spans="2:17" x14ac:dyDescent="0.25">
      <c r="B6" s="4"/>
      <c r="C6" s="4"/>
      <c r="D6" s="4"/>
      <c r="E6" s="4"/>
      <c r="F6" s="4"/>
      <c r="G6" s="63"/>
      <c r="H6" s="4"/>
      <c r="I6" s="4"/>
      <c r="J6" s="63"/>
      <c r="K6" s="4"/>
      <c r="L6" s="4"/>
      <c r="M6" s="4"/>
      <c r="N6" s="58"/>
      <c r="P6" s="4"/>
      <c r="Q6" s="58"/>
    </row>
    <row r="7" spans="2:17" x14ac:dyDescent="0.25">
      <c r="B7" s="4"/>
      <c r="C7" s="4"/>
      <c r="D7" s="4"/>
      <c r="E7" s="61">
        <f>F5+F7+L9</f>
        <v>2.4</v>
      </c>
      <c r="F7" s="61">
        <v>1</v>
      </c>
      <c r="G7" s="63"/>
      <c r="H7" s="4"/>
      <c r="I7" s="4"/>
      <c r="J7" s="63"/>
      <c r="K7" s="4"/>
      <c r="L7" s="4"/>
      <c r="M7" s="60"/>
      <c r="N7" s="60"/>
      <c r="P7" s="60"/>
      <c r="Q7" s="60"/>
    </row>
    <row r="8" spans="2:17" x14ac:dyDescent="0.25">
      <c r="B8" s="4"/>
      <c r="C8" s="4"/>
      <c r="D8" s="4"/>
      <c r="E8" s="4"/>
      <c r="F8" s="4"/>
      <c r="G8" s="63"/>
      <c r="H8" s="4"/>
      <c r="I8" s="4"/>
      <c r="J8" s="63"/>
      <c r="K8" s="4"/>
      <c r="L8" s="4"/>
      <c r="M8" s="4"/>
      <c r="N8" s="4"/>
      <c r="P8" s="4"/>
      <c r="Q8" s="4"/>
    </row>
    <row r="9" spans="2:17" x14ac:dyDescent="0.25">
      <c r="B9" s="4"/>
      <c r="C9" s="4"/>
      <c r="D9" s="4"/>
      <c r="E9" s="4"/>
      <c r="F9" s="64"/>
      <c r="G9" s="65"/>
      <c r="H9" s="65"/>
      <c r="I9" s="65"/>
      <c r="J9" s="65"/>
      <c r="K9" s="66"/>
      <c r="L9" s="61">
        <v>0.4</v>
      </c>
      <c r="M9" s="4"/>
      <c r="N9" s="4"/>
      <c r="P9" s="4"/>
      <c r="Q9" s="4"/>
    </row>
    <row r="10" spans="2:17" x14ac:dyDescent="0.25">
      <c r="B10" s="4"/>
      <c r="C10" s="4"/>
      <c r="D10" s="4"/>
      <c r="E10" s="4"/>
      <c r="F10" s="58">
        <v>0.4</v>
      </c>
      <c r="G10" s="58">
        <v>0.25</v>
      </c>
      <c r="H10" s="67">
        <v>3.5</v>
      </c>
      <c r="I10" s="67"/>
      <c r="J10" s="58">
        <v>0.25</v>
      </c>
      <c r="K10" s="58">
        <v>0.4</v>
      </c>
      <c r="L10" s="4"/>
      <c r="M10" s="4"/>
      <c r="N10" s="4"/>
      <c r="P10" s="68" t="s">
        <v>33</v>
      </c>
      <c r="Q10" s="19"/>
    </row>
    <row r="11" spans="2:17" x14ac:dyDescent="0.25">
      <c r="B11" s="4"/>
      <c r="C11" s="4"/>
      <c r="D11" s="4"/>
      <c r="E11" s="4"/>
      <c r="F11" s="4"/>
      <c r="G11" s="4"/>
      <c r="H11" s="67">
        <f>SUM(F10:K10)</f>
        <v>4.8000000000000007</v>
      </c>
      <c r="I11" s="67"/>
      <c r="J11" s="4"/>
      <c r="K11" s="4"/>
      <c r="L11" s="4"/>
      <c r="M11" s="4"/>
      <c r="N11" s="4"/>
      <c r="P11" s="19"/>
      <c r="Q11" s="19"/>
    </row>
    <row r="12" spans="2:17" x14ac:dyDescent="0.25">
      <c r="B12" s="4" t="s">
        <v>65</v>
      </c>
      <c r="C12" s="4">
        <f>(H11+1.2)*(H11+1.2)*E7</f>
        <v>86.400000000000034</v>
      </c>
      <c r="D12" s="57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79</v>
      </c>
      <c r="P12" s="69">
        <f>C12</f>
        <v>86.400000000000034</v>
      </c>
      <c r="Q12" s="70" t="s">
        <v>6</v>
      </c>
    </row>
    <row r="13" spans="2:17" x14ac:dyDescent="0.25">
      <c r="B13" s="4" t="s">
        <v>66</v>
      </c>
      <c r="C13" s="4">
        <f>C12-((F7+F5)*(G4+H4+J4)*(G4+H4+J4))-(H11*H11*L9)</f>
        <v>45.184000000000033</v>
      </c>
      <c r="D13" s="57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79</v>
      </c>
      <c r="P13" s="69">
        <f>C13</f>
        <v>45.184000000000033</v>
      </c>
      <c r="Q13" s="70" t="s">
        <v>6</v>
      </c>
    </row>
    <row r="14" spans="2:17" x14ac:dyDescent="0.25">
      <c r="B14" s="4" t="s">
        <v>17</v>
      </c>
      <c r="C14" s="4"/>
      <c r="D14" s="57"/>
      <c r="E14" s="4"/>
      <c r="F14" s="4"/>
      <c r="G14" s="4"/>
      <c r="H14" s="4"/>
      <c r="I14" s="4"/>
      <c r="J14" s="4"/>
      <c r="K14" s="4"/>
      <c r="L14" s="4"/>
      <c r="M14" s="4"/>
      <c r="N14" s="4"/>
      <c r="P14" s="69"/>
      <c r="Q14" s="70"/>
    </row>
    <row r="15" spans="2:17" x14ac:dyDescent="0.25">
      <c r="B15" s="71" t="s">
        <v>67</v>
      </c>
      <c r="C15" s="4">
        <f>(H11*4*L9)</f>
        <v>7.6800000000000015</v>
      </c>
      <c r="D15" s="57" t="s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79</v>
      </c>
      <c r="P15" s="69">
        <f>C15</f>
        <v>7.6800000000000015</v>
      </c>
      <c r="Q15" s="70" t="s">
        <v>1</v>
      </c>
    </row>
    <row r="16" spans="2:17" x14ac:dyDescent="0.25">
      <c r="B16" s="71" t="s">
        <v>68</v>
      </c>
      <c r="C16" s="4">
        <f>(2*(G4+H4+J4)*(F7+F5))+(2*(H4)*(F7+F5))</f>
        <v>30</v>
      </c>
      <c r="D16" s="57" t="s">
        <v>1</v>
      </c>
      <c r="E16" s="4"/>
      <c r="F16" s="4"/>
      <c r="G16" s="4" t="s">
        <v>69</v>
      </c>
      <c r="H16" s="4"/>
      <c r="I16" s="4"/>
      <c r="J16" s="4"/>
      <c r="K16" s="4"/>
      <c r="L16" s="4"/>
      <c r="M16" s="4"/>
      <c r="N16" s="4"/>
      <c r="O16" t="s">
        <v>79</v>
      </c>
      <c r="P16" s="69">
        <f>C16</f>
        <v>30</v>
      </c>
      <c r="Q16" s="70" t="s">
        <v>1</v>
      </c>
    </row>
    <row r="17" spans="2:17" x14ac:dyDescent="0.25">
      <c r="B17" s="4" t="s">
        <v>70</v>
      </c>
      <c r="C17" s="4"/>
      <c r="D17" s="57"/>
      <c r="E17" s="4"/>
      <c r="F17" s="4"/>
      <c r="G17" s="4"/>
      <c r="H17" s="4"/>
      <c r="I17" s="4"/>
      <c r="J17" s="4"/>
      <c r="K17" s="4"/>
      <c r="L17" s="4"/>
      <c r="M17" s="4"/>
      <c r="N17" s="4"/>
      <c r="P17" s="69"/>
      <c r="Q17" s="70"/>
    </row>
    <row r="18" spans="2:17" x14ac:dyDescent="0.25">
      <c r="B18" s="71" t="s">
        <v>67</v>
      </c>
      <c r="C18" s="4">
        <f>0.1*C22</f>
        <v>0.92160000000000031</v>
      </c>
      <c r="D18" s="57" t="s">
        <v>20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79</v>
      </c>
      <c r="P18" s="69">
        <f>C18</f>
        <v>0.92160000000000031</v>
      </c>
      <c r="Q18" s="70" t="s">
        <v>20</v>
      </c>
    </row>
    <row r="19" spans="2:17" x14ac:dyDescent="0.25">
      <c r="B19" s="71" t="s">
        <v>68</v>
      </c>
      <c r="C19" s="4">
        <f>0.15*C23</f>
        <v>1.125</v>
      </c>
      <c r="D19" s="57" t="s">
        <v>20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t="s">
        <v>79</v>
      </c>
      <c r="P19" s="69">
        <f>C19</f>
        <v>1.125</v>
      </c>
      <c r="Q19" s="70" t="s">
        <v>20</v>
      </c>
    </row>
    <row r="20" spans="2:17" x14ac:dyDescent="0.25">
      <c r="B20" s="4" t="s">
        <v>4</v>
      </c>
      <c r="C20" s="4"/>
      <c r="D20" s="57"/>
      <c r="E20" s="4"/>
      <c r="F20" s="4"/>
      <c r="G20" s="4"/>
      <c r="H20" s="4"/>
      <c r="I20" s="4"/>
      <c r="J20" s="4"/>
      <c r="K20" s="4"/>
      <c r="L20" s="4"/>
      <c r="M20" s="4"/>
      <c r="N20" s="4"/>
      <c r="P20" s="69"/>
      <c r="Q20" s="70"/>
    </row>
    <row r="21" spans="2:17" x14ac:dyDescent="0.25">
      <c r="B21" s="71" t="s">
        <v>71</v>
      </c>
      <c r="C21" s="4">
        <f>H11*H11</f>
        <v>23.040000000000006</v>
      </c>
      <c r="D21" s="57" t="s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t="s">
        <v>79</v>
      </c>
      <c r="P21" s="69">
        <f t="shared" ref="P21:P27" si="0">C21</f>
        <v>23.040000000000006</v>
      </c>
      <c r="Q21" s="70" t="s">
        <v>1</v>
      </c>
    </row>
    <row r="22" spans="2:17" x14ac:dyDescent="0.25">
      <c r="B22" s="71" t="s">
        <v>72</v>
      </c>
      <c r="C22" s="4">
        <f>H11*H11*L9</f>
        <v>9.2160000000000029</v>
      </c>
      <c r="D22" s="57" t="s">
        <v>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t="s">
        <v>79</v>
      </c>
      <c r="P22" s="69">
        <f t="shared" si="0"/>
        <v>9.2160000000000029</v>
      </c>
      <c r="Q22" s="70" t="s">
        <v>6</v>
      </c>
    </row>
    <row r="23" spans="2:17" x14ac:dyDescent="0.25">
      <c r="B23" s="71" t="s">
        <v>73</v>
      </c>
      <c r="C23" s="4">
        <f>(2*(G4*(F7+F5)*(G4+H4+J4))+(2*(G4*(F7+F5)*H4)))</f>
        <v>7.5</v>
      </c>
      <c r="D23" s="57" t="s">
        <v>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t="s">
        <v>79</v>
      </c>
      <c r="P23" s="69">
        <f t="shared" si="0"/>
        <v>7.5</v>
      </c>
      <c r="Q23" s="70" t="s">
        <v>6</v>
      </c>
    </row>
    <row r="24" spans="2:17" x14ac:dyDescent="0.25">
      <c r="B24" s="4" t="s">
        <v>74</v>
      </c>
      <c r="C24" s="4">
        <f>C21</f>
        <v>23.040000000000006</v>
      </c>
      <c r="D24" s="57" t="s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t="s">
        <v>79</v>
      </c>
      <c r="P24" s="69">
        <f t="shared" si="0"/>
        <v>23.040000000000006</v>
      </c>
      <c r="Q24" s="70" t="s">
        <v>1</v>
      </c>
    </row>
    <row r="25" spans="2:17" x14ac:dyDescent="0.25">
      <c r="B25" s="72" t="s">
        <v>75</v>
      </c>
      <c r="C25" s="4">
        <f>H4*4</f>
        <v>14</v>
      </c>
      <c r="D25" s="57" t="s">
        <v>11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t="s">
        <v>79</v>
      </c>
      <c r="P25" s="69">
        <f t="shared" si="0"/>
        <v>14</v>
      </c>
      <c r="Q25" s="70" t="s">
        <v>11</v>
      </c>
    </row>
    <row r="26" spans="2:17" x14ac:dyDescent="0.25">
      <c r="B26" s="72" t="s">
        <v>76</v>
      </c>
      <c r="C26" s="4">
        <f>H4*H4</f>
        <v>12.25</v>
      </c>
      <c r="D26" s="57" t="s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t="s">
        <v>79</v>
      </c>
      <c r="P26" s="69">
        <f t="shared" si="0"/>
        <v>12.25</v>
      </c>
      <c r="Q26" s="70" t="s">
        <v>1</v>
      </c>
    </row>
    <row r="27" spans="2:17" x14ac:dyDescent="0.25">
      <c r="B27" s="72" t="s">
        <v>77</v>
      </c>
      <c r="C27" s="4">
        <f>(F7+F5)*4</f>
        <v>8</v>
      </c>
      <c r="D27" s="57" t="s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t="s">
        <v>80</v>
      </c>
      <c r="P27" s="69">
        <f t="shared" si="0"/>
        <v>8</v>
      </c>
      <c r="Q27" s="70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 Tanks Foundations</vt:lpstr>
      <vt:lpstr>Surface Bed</vt:lpstr>
      <vt:lpstr>Pump Plinths</vt:lpstr>
      <vt:lpstr>Sump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2023-09-14T07:19:27Z</dcterms:modified>
</cp:coreProperties>
</file>