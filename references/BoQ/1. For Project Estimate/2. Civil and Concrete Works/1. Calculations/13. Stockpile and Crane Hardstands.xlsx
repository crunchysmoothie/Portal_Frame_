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27AA0DDC-C661-4467-99D1-CC84C17A8B8C}" xr6:coauthVersionLast="47" xr6:coauthVersionMax="47" xr10:uidLastSave="{00000000-0000-0000-0000-000000000000}"/>
  <bookViews>
    <workbookView xWindow="20370" yWindow="-120" windowWidth="29040" windowHeight="15840" activeTab="1" xr2:uid="{02E6CA28-4D7E-41BA-B5AF-451451D26AAE}"/>
  </bookViews>
  <sheets>
    <sheet name="Surface Beds" sheetId="8" r:id="rId1"/>
    <sheet name="Retaining W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2" l="1"/>
  <c r="H29" i="2"/>
  <c r="H27" i="2"/>
  <c r="R35" i="8"/>
  <c r="R33" i="8"/>
  <c r="R19" i="8"/>
  <c r="X13" i="8"/>
  <c r="N5" i="8"/>
  <c r="F33" i="8"/>
  <c r="F35" i="8"/>
  <c r="F31" i="8"/>
  <c r="F25" i="8"/>
  <c r="F23" i="8"/>
  <c r="F21" i="8"/>
  <c r="F19" i="8"/>
  <c r="F17" i="8"/>
  <c r="H52" i="2"/>
  <c r="H51" i="2"/>
  <c r="H50" i="2"/>
  <c r="H48" i="2"/>
  <c r="H47" i="2"/>
  <c r="H46" i="2"/>
  <c r="H45" i="2"/>
  <c r="H43" i="2"/>
  <c r="H41" i="2"/>
  <c r="E35" i="2"/>
  <c r="H35" i="2" s="1"/>
  <c r="E33" i="2"/>
  <c r="H33" i="2" s="1"/>
  <c r="R9" i="8"/>
  <c r="F9" i="8"/>
  <c r="B5" i="8"/>
  <c r="R17" i="8" l="1"/>
  <c r="X17" i="8" s="1"/>
  <c r="F11" i="8"/>
  <c r="X35" i="8"/>
  <c r="R11" i="8"/>
  <c r="R21" i="8" s="1"/>
  <c r="R31" i="8"/>
  <c r="X33" i="8"/>
  <c r="F13" i="8" l="1"/>
  <c r="X21" i="8"/>
  <c r="X31" i="8"/>
  <c r="R23" i="8"/>
  <c r="R25" i="8" s="1"/>
  <c r="R27" i="8" s="1"/>
  <c r="R13" i="8"/>
  <c r="X19" i="8"/>
  <c r="X23" i="8" l="1"/>
  <c r="F27" i="8" l="1"/>
  <c r="X27" i="8" s="1"/>
  <c r="X25" i="8"/>
  <c r="E71" i="2" l="1"/>
  <c r="H71" i="2" s="1"/>
  <c r="E67" i="2"/>
  <c r="H67" i="2" s="1"/>
  <c r="E61" i="2"/>
  <c r="H61" i="2" s="1"/>
  <c r="E62" i="2"/>
  <c r="H62" i="2" s="1"/>
  <c r="E59" i="2"/>
  <c r="H59" i="2" s="1"/>
  <c r="E56" i="2" l="1"/>
  <c r="H56" i="2" s="1"/>
  <c r="E55" i="2"/>
  <c r="H55" i="2" s="1"/>
  <c r="E64" i="2"/>
  <c r="H64" i="2" s="1"/>
  <c r="E69" i="2"/>
  <c r="H69" i="2" s="1"/>
  <c r="E68" i="2"/>
  <c r="H68" i="2" s="1"/>
  <c r="E37" i="2"/>
  <c r="H37" i="2" s="1"/>
</calcChain>
</file>

<file path=xl/sharedStrings.xml><?xml version="1.0" encoding="utf-8"?>
<sst xmlns="http://schemas.openxmlformats.org/spreadsheetml/2006/main" count="159" uniqueCount="56">
  <si>
    <t>m2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</si>
  <si>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</si>
  <si>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</si>
  <si>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</si>
  <si>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</si>
  <si>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</si>
  <si>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</si>
  <si>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</si>
  <si>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</si>
  <si>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</si>
  <si>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</si>
  <si>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</si>
  <si>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</si>
  <si>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</si>
  <si>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</si>
  <si>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</si>
  <si>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</si>
  <si>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</si>
  <si>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</si>
  <si>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</si>
  <si>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</si>
  <si>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</si>
  <si>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</si>
  <si>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</si>
  <si>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</si>
  <si>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</si>
  <si>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</si>
  <si>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</si>
  <si>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</si>
  <si>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</si>
  <si>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</si>
  <si>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</si>
  <si>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</si>
  <si>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</si>
  <si>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</si>
  <si>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</si>
  <si>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</si>
  <si>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</si>
  <si>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</si>
  <si>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</si>
  <si>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</si>
  <si>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</si>
  <si>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</si>
  <si>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</si>
  <si>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</si>
  <si>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</si>
  <si>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</si>
  <si>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</si>
  <si>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</si>
  <si>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Fill material G5 from Commerical Sources</t>
  </si>
  <si>
    <t>Mesh 617 (One layer)</t>
  </si>
  <si>
    <t xml:space="preserve">Surface Application (Floor Hardener &amp; Sealant) </t>
  </si>
  <si>
    <t xml:space="preserve">Crane Hardstand </t>
  </si>
  <si>
    <t>350mm Thick Concrete Slab</t>
  </si>
  <si>
    <t>Stockpile hardstand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</si>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</sst>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/>
      <right style="thin">
        <color rgb="FFFF000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rgb="FFFF0000"/>
      </bottom>
      <diagonal/>
    </border>
    <border>
      <left style="medium">
        <color theme="4" tint="0.39994506668294322"/>
      </left>
      <right style="medium">
        <color theme="7" tint="0.39994506668294322"/>
      </right>
      <top style="thin">
        <color rgb="FFFF0000"/>
      </top>
      <bottom/>
      <diagonal/>
    </border>
    <border>
      <left style="medium">
        <color theme="4" tint="0.39994506668294322"/>
      </left>
      <right style="medium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medium">
        <color theme="4" tint="0.39994506668294322"/>
      </left>
      <right style="medium">
        <color theme="7" tint="0.39994506668294322"/>
      </right>
      <top style="thin">
        <color rgb="FF0070C0"/>
      </top>
      <bottom style="thin">
        <color rgb="FFFF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1" fontId="2" fillId="4" borderId="0" xfId="0" applyNumberFormat="1" applyFont="1" applyFill="1"/>
    <xf numFmtId="0" fontId="7" fillId="0" borderId="0" xfId="0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9" fillId="0" borderId="0" xfId="0" quotePrefix="1" applyFont="1"/>
    <xf numFmtId="0" fontId="8" fillId="0" borderId="0" xfId="0" quotePrefix="1" applyFont="1"/>
    <xf numFmtId="0" fontId="1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Y38"/>
  <sheetViews>
    <sheetView topLeftCell="B4" workbookViewId="0">
      <selection activeCell="U20" sqref="U20"/>
    </sheetView>
  </sheetViews>
  <sheetFormatPr defaultRowHeight="15" x14ac:dyDescent="0.25"/>
  <cols>
    <col min="1" max="1" width="4" customWidth="1"/>
    <col min="9" max="9" width="2" customWidth="1"/>
    <col min="12" max="12" width="1.7109375" customWidth="1"/>
    <col min="13" max="13" width="3.5703125" customWidth="1"/>
    <col min="23" max="23" width="1.7109375" customWidth="1"/>
  </cols>
  <sheetData>
    <row r="1" spans="1:25" x14ac:dyDescent="0.25">
      <c r="A1" s="1"/>
      <c r="B1" s="2" t="s">
        <v>52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54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2"/>
      <c r="D3" s="2"/>
      <c r="E3" s="52"/>
      <c r="F3" s="52"/>
      <c r="G3" s="52"/>
      <c r="H3" s="52"/>
      <c r="I3" s="3"/>
      <c r="J3" s="3"/>
      <c r="K3" s="1"/>
      <c r="L3" s="1"/>
      <c r="M3" s="1"/>
      <c r="N3" s="1"/>
      <c r="O3" s="38">
        <v>5</v>
      </c>
      <c r="P3" s="2"/>
      <c r="Q3" s="53"/>
      <c r="R3" s="54"/>
      <c r="S3" s="64"/>
      <c r="T3" s="65"/>
      <c r="U3" s="68"/>
      <c r="V3" s="55"/>
      <c r="W3" s="3"/>
      <c r="X3" s="3"/>
      <c r="Y3" s="1"/>
    </row>
    <row r="4" spans="1:25" x14ac:dyDescent="0.25">
      <c r="A4" s="4"/>
      <c r="B4" s="4"/>
      <c r="C4" s="38">
        <v>3.25</v>
      </c>
      <c r="D4" s="2"/>
      <c r="E4" s="53"/>
      <c r="F4" s="54"/>
      <c r="G4" s="64"/>
      <c r="H4" s="55"/>
      <c r="I4" s="4"/>
      <c r="J4" s="4"/>
      <c r="K4" s="4"/>
      <c r="L4" s="4"/>
      <c r="M4" s="4"/>
      <c r="N4" s="4"/>
      <c r="O4" s="38">
        <v>5</v>
      </c>
      <c r="P4" s="2"/>
      <c r="Q4" s="53"/>
      <c r="R4" s="54"/>
      <c r="S4" s="64"/>
      <c r="T4" s="65"/>
      <c r="U4" s="68"/>
      <c r="V4" s="55"/>
      <c r="W4" s="4"/>
      <c r="X4" s="4"/>
      <c r="Y4" s="4"/>
    </row>
    <row r="5" spans="1:25" x14ac:dyDescent="0.25">
      <c r="A5" s="4"/>
      <c r="B5" s="39">
        <f>SUM(C4:C6)</f>
        <v>9.75</v>
      </c>
      <c r="C5" s="38">
        <v>3.25</v>
      </c>
      <c r="D5" s="4"/>
      <c r="E5" s="56"/>
      <c r="F5" s="40"/>
      <c r="G5" s="41"/>
      <c r="H5" s="57"/>
      <c r="I5" s="4"/>
      <c r="J5" s="58" t="s">
        <v>53</v>
      </c>
      <c r="K5" s="58"/>
      <c r="L5" s="58"/>
      <c r="M5" s="4"/>
      <c r="N5" s="39">
        <f>SUM(O3:O6)</f>
        <v>20</v>
      </c>
      <c r="O5" s="38">
        <v>5</v>
      </c>
      <c r="P5" s="4"/>
      <c r="Q5" s="56"/>
      <c r="R5" s="40"/>
      <c r="S5" s="41"/>
      <c r="T5" s="66"/>
      <c r="U5" s="69"/>
      <c r="V5" s="57"/>
      <c r="W5" s="4"/>
      <c r="X5" s="58" t="s">
        <v>53</v>
      </c>
      <c r="Y5" s="58"/>
    </row>
    <row r="6" spans="1:25" x14ac:dyDescent="0.25">
      <c r="A6" s="4"/>
      <c r="B6" s="4"/>
      <c r="C6" s="38">
        <v>3.25</v>
      </c>
      <c r="D6" s="4"/>
      <c r="E6" s="59"/>
      <c r="F6" s="42"/>
      <c r="G6" s="43"/>
      <c r="H6" s="60"/>
      <c r="I6" s="4"/>
      <c r="J6" s="4"/>
      <c r="K6" s="4"/>
      <c r="L6" s="4"/>
      <c r="M6" s="4"/>
      <c r="N6" s="4"/>
      <c r="O6" s="38">
        <v>5</v>
      </c>
      <c r="P6" s="4"/>
      <c r="Q6" s="59"/>
      <c r="R6" s="42"/>
      <c r="S6" s="43"/>
      <c r="T6" s="67"/>
      <c r="U6" s="70"/>
      <c r="V6" s="60"/>
      <c r="W6" s="4"/>
      <c r="X6" s="4"/>
      <c r="Y6" s="4"/>
    </row>
    <row r="7" spans="1:2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61">
        <v>5</v>
      </c>
      <c r="F8" s="61">
        <v>5</v>
      </c>
      <c r="G8" s="61">
        <v>5</v>
      </c>
      <c r="H8" s="61">
        <v>5</v>
      </c>
      <c r="I8" s="61"/>
      <c r="J8" s="1"/>
      <c r="K8" s="1"/>
      <c r="L8" s="1"/>
      <c r="M8" s="1"/>
      <c r="N8" s="1"/>
      <c r="O8" s="1"/>
      <c r="P8" s="1"/>
      <c r="Q8" s="61">
        <v>4.5</v>
      </c>
      <c r="R8" s="61">
        <v>4.5</v>
      </c>
      <c r="S8" s="61">
        <v>4.5</v>
      </c>
      <c r="T8" s="61">
        <v>4.5</v>
      </c>
      <c r="U8" s="61">
        <v>4.5</v>
      </c>
      <c r="V8" s="61">
        <v>4.5</v>
      </c>
      <c r="W8" s="61"/>
      <c r="X8" s="1"/>
      <c r="Y8" s="1"/>
    </row>
    <row r="9" spans="1:25" x14ac:dyDescent="0.25">
      <c r="A9" s="2"/>
      <c r="B9" s="2"/>
      <c r="C9" s="2"/>
      <c r="D9" s="2"/>
      <c r="E9" s="2"/>
      <c r="F9" s="63">
        <f>SUM(E8:I8)</f>
        <v>20</v>
      </c>
      <c r="G9" s="63"/>
      <c r="H9" s="62"/>
      <c r="I9" s="2"/>
      <c r="J9" s="62"/>
      <c r="K9" s="2"/>
      <c r="L9" s="2"/>
      <c r="M9" s="2"/>
      <c r="N9" s="2"/>
      <c r="O9" s="2"/>
      <c r="P9" s="2"/>
      <c r="Q9" s="2"/>
      <c r="R9" s="63">
        <f>SUM(Q8:W8)</f>
        <v>27</v>
      </c>
      <c r="S9" s="63"/>
      <c r="T9" s="63"/>
      <c r="U9" s="63"/>
      <c r="V9" s="62"/>
      <c r="W9" s="2"/>
      <c r="X9" s="62"/>
      <c r="Y9" s="2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 t="s">
        <v>39</v>
      </c>
      <c r="F11" s="44">
        <f>B5*F9</f>
        <v>195</v>
      </c>
      <c r="G11" s="44"/>
      <c r="H11" s="1"/>
      <c r="I11" s="1"/>
      <c r="J11" s="1"/>
      <c r="K11" s="1"/>
      <c r="L11" s="1"/>
      <c r="M11" s="1"/>
      <c r="N11" s="1"/>
      <c r="O11" s="1"/>
      <c r="P11" s="1"/>
      <c r="Q11" s="1" t="s">
        <v>39</v>
      </c>
      <c r="R11" s="44">
        <f>N5*R9</f>
        <v>540</v>
      </c>
      <c r="S11" s="44"/>
      <c r="T11" s="44"/>
      <c r="U11" s="44"/>
      <c r="V11" s="1"/>
      <c r="W11" s="1"/>
      <c r="X11" s="25" t="s">
        <v>37</v>
      </c>
      <c r="Y11" s="26"/>
    </row>
    <row r="12" spans="1:25" x14ac:dyDescent="0.25">
      <c r="A12" s="1"/>
      <c r="B12" s="1"/>
      <c r="C12" s="1"/>
      <c r="D12" s="1"/>
      <c r="E12" s="1"/>
      <c r="F12" s="45"/>
      <c r="G12" s="45"/>
      <c r="H12" s="1"/>
      <c r="I12" s="1"/>
      <c r="J12" s="1"/>
      <c r="K12" s="1"/>
      <c r="L12" s="1"/>
      <c r="M12" s="1"/>
      <c r="N12" s="1"/>
      <c r="O12" s="1"/>
      <c r="P12" s="1"/>
      <c r="Q12" s="1"/>
      <c r="R12" s="45"/>
      <c r="S12" s="45"/>
      <c r="T12" s="45"/>
      <c r="U12" s="45"/>
      <c r="V12" s="1"/>
      <c r="W12" s="1"/>
      <c r="X12" s="26"/>
      <c r="Y12" s="26"/>
    </row>
    <row r="13" spans="1:25" x14ac:dyDescent="0.25">
      <c r="A13" s="1">
        <v>1</v>
      </c>
      <c r="B13" s="1" t="s">
        <v>40</v>
      </c>
      <c r="C13" s="1"/>
      <c r="D13" s="1"/>
      <c r="E13" s="1"/>
      <c r="F13" s="45">
        <f>F11*1.1</f>
        <v>214.50000000000003</v>
      </c>
      <c r="G13" s="45" t="s">
        <v>0</v>
      </c>
      <c r="H13" s="1"/>
      <c r="I13" s="1"/>
      <c r="J13" s="1"/>
      <c r="K13" s="1"/>
      <c r="L13" s="1"/>
      <c r="M13" s="1">
        <v>1</v>
      </c>
      <c r="N13" s="1" t="s">
        <v>40</v>
      </c>
      <c r="O13" s="1"/>
      <c r="P13" s="1"/>
      <c r="Q13" s="1"/>
      <c r="R13" s="45">
        <f>R11*1.1</f>
        <v>594</v>
      </c>
      <c r="S13" s="45" t="s">
        <v>0</v>
      </c>
      <c r="T13" s="45"/>
      <c r="U13" s="45"/>
      <c r="V13" s="1" t="s">
        <v>55</v>
      </c>
      <c r="W13" s="1"/>
      <c r="X13" s="36">
        <f>F13+R13</f>
        <v>808.5</v>
      </c>
      <c r="Y13" s="36" t="s">
        <v>0</v>
      </c>
    </row>
    <row r="14" spans="1:25" x14ac:dyDescent="0.25">
      <c r="A14" s="1"/>
      <c r="B14" s="1"/>
      <c r="C14" s="1"/>
      <c r="D14" s="1"/>
      <c r="E14" s="1"/>
      <c r="F14" s="45"/>
      <c r="G14" s="45"/>
      <c r="H14" s="1"/>
      <c r="I14" s="1"/>
      <c r="J14" s="1"/>
      <c r="K14" s="1"/>
      <c r="L14" s="1"/>
      <c r="M14" s="1"/>
      <c r="N14" s="1"/>
      <c r="O14" s="1"/>
      <c r="P14" s="1"/>
      <c r="Q14" s="1"/>
      <c r="R14" s="45"/>
      <c r="S14" s="45"/>
      <c r="T14" s="45"/>
      <c r="U14" s="45"/>
      <c r="V14" s="1"/>
      <c r="W14" s="1"/>
      <c r="X14" s="28"/>
      <c r="Y14" s="36"/>
    </row>
    <row r="15" spans="1:25" x14ac:dyDescent="0.25">
      <c r="A15" s="1">
        <v>2</v>
      </c>
      <c r="B15" s="1" t="s">
        <v>49</v>
      </c>
      <c r="C15" s="1"/>
      <c r="D15" s="1"/>
      <c r="E15" s="1"/>
      <c r="F15" s="45"/>
      <c r="G15" s="45"/>
      <c r="H15" s="1"/>
      <c r="I15" s="1"/>
      <c r="J15" s="1"/>
      <c r="K15" s="1"/>
      <c r="L15" s="1"/>
      <c r="M15" s="1">
        <v>2</v>
      </c>
      <c r="N15" s="1" t="s">
        <v>49</v>
      </c>
      <c r="O15" s="1"/>
      <c r="P15" s="1"/>
      <c r="Q15" s="1"/>
      <c r="R15" s="45"/>
      <c r="S15" s="45"/>
      <c r="T15" s="45"/>
      <c r="U15" s="45"/>
      <c r="V15" s="1"/>
      <c r="W15" s="1"/>
      <c r="X15" s="28"/>
      <c r="Y15" s="36"/>
    </row>
    <row r="16" spans="1:25" x14ac:dyDescent="0.25">
      <c r="A16" s="1"/>
      <c r="B16" s="1"/>
      <c r="C16" s="1"/>
      <c r="D16" s="1"/>
      <c r="E16" s="1"/>
      <c r="F16" s="45"/>
      <c r="G16" s="45"/>
      <c r="H16" s="1"/>
      <c r="I16" s="1"/>
      <c r="J16" s="1"/>
      <c r="K16" s="1"/>
      <c r="L16" s="1"/>
      <c r="M16" s="1"/>
      <c r="N16" s="1"/>
      <c r="O16" s="1"/>
      <c r="P16" s="1"/>
      <c r="Q16" s="1"/>
      <c r="R16" s="45"/>
      <c r="S16" s="45"/>
      <c r="T16" s="45"/>
      <c r="U16" s="45"/>
      <c r="V16" s="1"/>
      <c r="W16" s="1"/>
      <c r="X16" s="28"/>
      <c r="Y16" s="36"/>
    </row>
    <row r="17" spans="1:25" x14ac:dyDescent="0.25">
      <c r="A17" s="1">
        <v>3</v>
      </c>
      <c r="B17" s="1" t="s">
        <v>41</v>
      </c>
      <c r="C17" s="1"/>
      <c r="D17" s="1"/>
      <c r="E17" s="1"/>
      <c r="F17" s="45">
        <f>(2*F9)+(2*B5)</f>
        <v>59.5</v>
      </c>
      <c r="G17" s="45" t="s">
        <v>3</v>
      </c>
      <c r="H17" s="1"/>
      <c r="I17" s="1"/>
      <c r="J17" s="1"/>
      <c r="K17" s="1"/>
      <c r="L17" s="1"/>
      <c r="M17" s="1">
        <v>3</v>
      </c>
      <c r="N17" s="1" t="s">
        <v>41</v>
      </c>
      <c r="O17" s="1"/>
      <c r="P17" s="1"/>
      <c r="Q17" s="1"/>
      <c r="R17" s="45">
        <f>(4*R9)+(4*N5)</f>
        <v>188</v>
      </c>
      <c r="S17" s="45" t="s">
        <v>3</v>
      </c>
      <c r="T17" s="45"/>
      <c r="U17" s="45"/>
      <c r="V17" s="1" t="s">
        <v>55</v>
      </c>
      <c r="W17" s="1"/>
      <c r="X17" s="36">
        <f>F17+R17</f>
        <v>247.5</v>
      </c>
      <c r="Y17" s="36" t="s">
        <v>3</v>
      </c>
    </row>
    <row r="18" spans="1:25" x14ac:dyDescent="0.25">
      <c r="A18" s="1"/>
      <c r="B18" s="1"/>
      <c r="C18" s="1"/>
      <c r="D18" s="1"/>
      <c r="E18" s="1"/>
      <c r="F18" s="45"/>
      <c r="G18" s="45"/>
      <c r="H18" s="1"/>
      <c r="I18" s="1"/>
      <c r="J18" s="1"/>
      <c r="K18" s="1"/>
      <c r="L18" s="1"/>
      <c r="M18" s="1"/>
      <c r="N18" s="1"/>
      <c r="O18" s="1"/>
      <c r="P18" s="1"/>
      <c r="Q18" s="1"/>
      <c r="R18" s="45"/>
      <c r="S18" s="45"/>
      <c r="T18" s="45"/>
      <c r="U18" s="45"/>
      <c r="V18" s="1"/>
      <c r="W18" s="1"/>
      <c r="X18" s="28"/>
      <c r="Y18" s="36"/>
    </row>
    <row r="19" spans="1:25" x14ac:dyDescent="0.25">
      <c r="A19" s="1">
        <v>4</v>
      </c>
      <c r="B19" s="1" t="s">
        <v>42</v>
      </c>
      <c r="C19" s="1"/>
      <c r="D19" s="1"/>
      <c r="E19" s="1"/>
      <c r="F19" s="45">
        <f>F11*0.35</f>
        <v>68.25</v>
      </c>
      <c r="G19" s="45" t="s">
        <v>1</v>
      </c>
      <c r="H19" s="1"/>
      <c r="I19" s="1"/>
      <c r="J19" s="1"/>
      <c r="K19" s="1"/>
      <c r="L19" s="1"/>
      <c r="M19" s="1">
        <v>4</v>
      </c>
      <c r="N19" s="1" t="s">
        <v>42</v>
      </c>
      <c r="O19" s="1"/>
      <c r="P19" s="1"/>
      <c r="Q19" s="1"/>
      <c r="R19" s="45">
        <f>R11*0.35</f>
        <v>189</v>
      </c>
      <c r="S19" s="45" t="s">
        <v>1</v>
      </c>
      <c r="T19" s="45"/>
      <c r="U19" s="45"/>
      <c r="V19" s="1" t="s">
        <v>55</v>
      </c>
      <c r="W19" s="1"/>
      <c r="X19" s="36">
        <f>F19+R19</f>
        <v>257.25</v>
      </c>
      <c r="Y19" s="36" t="s">
        <v>1</v>
      </c>
    </row>
    <row r="20" spans="1:25" x14ac:dyDescent="0.25">
      <c r="A20" s="1"/>
      <c r="B20" s="1"/>
      <c r="C20" s="1"/>
      <c r="D20" s="1"/>
      <c r="E20" s="1"/>
      <c r="F20" s="45"/>
      <c r="G20" s="45"/>
      <c r="H20" s="1"/>
      <c r="I20" s="1"/>
      <c r="J20" s="1"/>
      <c r="K20" s="1"/>
      <c r="L20" s="1"/>
      <c r="M20" s="1"/>
      <c r="N20" s="1"/>
      <c r="O20" s="1"/>
      <c r="P20" s="1"/>
      <c r="Q20" s="1"/>
      <c r="R20" s="45"/>
      <c r="S20" s="45"/>
      <c r="T20" s="45"/>
      <c r="U20" s="45"/>
      <c r="V20" s="1"/>
      <c r="W20" s="1"/>
      <c r="X20" s="28"/>
      <c r="Y20" s="36"/>
    </row>
    <row r="21" spans="1:25" x14ac:dyDescent="0.25">
      <c r="A21" s="1">
        <v>5</v>
      </c>
      <c r="B21" s="8" t="s">
        <v>50</v>
      </c>
      <c r="C21" s="8"/>
      <c r="D21" s="8"/>
      <c r="E21" s="1"/>
      <c r="F21" s="45">
        <f>F11*1</f>
        <v>195</v>
      </c>
      <c r="G21" s="45" t="s">
        <v>0</v>
      </c>
      <c r="H21" s="5"/>
      <c r="I21" s="5"/>
      <c r="J21" s="5"/>
      <c r="K21" s="1"/>
      <c r="L21" s="1"/>
      <c r="M21" s="1">
        <v>5</v>
      </c>
      <c r="N21" s="8" t="s">
        <v>50</v>
      </c>
      <c r="O21" s="8"/>
      <c r="P21" s="8"/>
      <c r="Q21" s="1"/>
      <c r="R21" s="45">
        <f>R11*1</f>
        <v>540</v>
      </c>
      <c r="S21" s="45" t="s">
        <v>0</v>
      </c>
      <c r="T21" s="45"/>
      <c r="U21" s="45"/>
      <c r="V21" s="1" t="s">
        <v>55</v>
      </c>
      <c r="W21" s="5"/>
      <c r="X21" s="36">
        <f>F21+R21</f>
        <v>735</v>
      </c>
      <c r="Y21" s="36" t="s">
        <v>0</v>
      </c>
    </row>
    <row r="22" spans="1:25" x14ac:dyDescent="0.25">
      <c r="A22" s="1"/>
      <c r="B22" s="1"/>
      <c r="C22" s="1"/>
      <c r="D22" s="1"/>
      <c r="E22" s="1"/>
      <c r="F22" s="45"/>
      <c r="G22" s="45"/>
      <c r="H22" s="1"/>
      <c r="I22" s="1"/>
      <c r="J22" s="1"/>
      <c r="K22" s="1"/>
      <c r="L22" s="1"/>
      <c r="M22" s="1"/>
      <c r="N22" s="1"/>
      <c r="O22" s="1"/>
      <c r="P22" s="1"/>
      <c r="Q22" s="1"/>
      <c r="R22" s="45"/>
      <c r="S22" s="45"/>
      <c r="T22" s="45"/>
      <c r="U22" s="45"/>
      <c r="W22" s="1"/>
      <c r="X22" s="28"/>
      <c r="Y22" s="36"/>
    </row>
    <row r="23" spans="1:25" x14ac:dyDescent="0.25">
      <c r="A23" s="1">
        <v>6</v>
      </c>
      <c r="B23" s="1" t="s">
        <v>43</v>
      </c>
      <c r="C23" s="1"/>
      <c r="D23" s="1"/>
      <c r="E23" s="1"/>
      <c r="F23" s="45">
        <f>F11</f>
        <v>195</v>
      </c>
      <c r="G23" s="45" t="s">
        <v>0</v>
      </c>
      <c r="H23" s="1"/>
      <c r="I23" s="1"/>
      <c r="J23" s="1"/>
      <c r="K23" s="1"/>
      <c r="L23" s="1"/>
      <c r="M23" s="1">
        <v>6</v>
      </c>
      <c r="N23" s="1" t="s">
        <v>43</v>
      </c>
      <c r="O23" s="1"/>
      <c r="P23" s="1"/>
      <c r="Q23" s="1"/>
      <c r="R23" s="45">
        <f>R11</f>
        <v>540</v>
      </c>
      <c r="S23" s="45" t="s">
        <v>0</v>
      </c>
      <c r="T23" s="45"/>
      <c r="U23" s="45"/>
      <c r="V23" s="1" t="s">
        <v>55</v>
      </c>
      <c r="W23" s="1"/>
      <c r="X23" s="36">
        <f>F23+R23</f>
        <v>735</v>
      </c>
      <c r="Y23" s="36" t="s">
        <v>0</v>
      </c>
    </row>
    <row r="24" spans="1:25" x14ac:dyDescent="0.25">
      <c r="A24" s="1"/>
      <c r="B24" s="1"/>
      <c r="C24" s="1"/>
      <c r="D24" s="1"/>
      <c r="E24" s="1"/>
      <c r="F24" s="45"/>
      <c r="G24" s="45"/>
      <c r="H24" s="1"/>
      <c r="I24" s="1"/>
      <c r="J24" s="1"/>
      <c r="K24" s="1"/>
      <c r="L24" s="1"/>
      <c r="M24" s="1"/>
      <c r="N24" s="1"/>
      <c r="O24" s="1"/>
      <c r="P24" s="1"/>
      <c r="Q24" s="1"/>
      <c r="R24" s="45"/>
      <c r="S24" s="45"/>
      <c r="T24" s="45"/>
      <c r="U24" s="45"/>
      <c r="V24" s="1"/>
      <c r="W24" s="1"/>
      <c r="X24" s="28"/>
      <c r="Y24" s="36"/>
    </row>
    <row r="25" spans="1:25" x14ac:dyDescent="0.25">
      <c r="A25" s="1">
        <v>7</v>
      </c>
      <c r="B25" s="1" t="s">
        <v>44</v>
      </c>
      <c r="C25" s="1"/>
      <c r="D25" s="1"/>
      <c r="E25" s="1"/>
      <c r="F25" s="45">
        <f>F23</f>
        <v>195</v>
      </c>
      <c r="G25" s="45" t="s">
        <v>0</v>
      </c>
      <c r="H25" s="1"/>
      <c r="I25" s="1"/>
      <c r="J25" s="1"/>
      <c r="K25" s="1"/>
      <c r="L25" s="1"/>
      <c r="M25" s="1">
        <v>7</v>
      </c>
      <c r="N25" s="1" t="s">
        <v>44</v>
      </c>
      <c r="O25" s="1"/>
      <c r="P25" s="1"/>
      <c r="Q25" s="1"/>
      <c r="R25" s="45">
        <f>R23</f>
        <v>540</v>
      </c>
      <c r="S25" s="45" t="s">
        <v>0</v>
      </c>
      <c r="T25" s="45"/>
      <c r="U25" s="45"/>
      <c r="V25" s="1" t="s">
        <v>55</v>
      </c>
      <c r="W25" s="1"/>
      <c r="X25" s="36">
        <f>F25+R25</f>
        <v>735</v>
      </c>
      <c r="Y25" s="36" t="s">
        <v>0</v>
      </c>
    </row>
    <row r="26" spans="1:25" x14ac:dyDescent="0.25">
      <c r="A26" s="1"/>
      <c r="B26" s="1"/>
      <c r="C26" s="1"/>
      <c r="D26" s="1"/>
      <c r="E26" s="1"/>
      <c r="F26" s="45"/>
      <c r="G26" s="45"/>
      <c r="H26" s="1"/>
      <c r="I26" s="1"/>
      <c r="J26" s="1"/>
      <c r="K26" s="1"/>
      <c r="L26" s="1"/>
      <c r="M26" s="1"/>
      <c r="N26" s="1"/>
      <c r="O26" s="1"/>
      <c r="P26" s="1"/>
      <c r="Q26" s="1"/>
      <c r="R26" s="45"/>
      <c r="S26" s="45"/>
      <c r="T26" s="45"/>
      <c r="U26" s="45"/>
      <c r="V26" s="1"/>
      <c r="W26" s="1"/>
      <c r="X26" s="28"/>
      <c r="Y26" s="36"/>
    </row>
    <row r="27" spans="1:25" ht="16.899999999999999" customHeight="1" x14ac:dyDescent="0.25">
      <c r="A27" s="1">
        <v>8</v>
      </c>
      <c r="B27" s="24" t="s">
        <v>51</v>
      </c>
      <c r="C27" s="24"/>
      <c r="D27" s="24"/>
      <c r="E27" s="24"/>
      <c r="F27" s="46">
        <f>F25</f>
        <v>195</v>
      </c>
      <c r="G27" s="46" t="s">
        <v>0</v>
      </c>
      <c r="H27" s="24"/>
      <c r="I27" s="24"/>
      <c r="J27" s="24"/>
      <c r="K27" s="1"/>
      <c r="L27" s="1"/>
      <c r="M27" s="1">
        <v>8</v>
      </c>
      <c r="N27" s="24" t="s">
        <v>51</v>
      </c>
      <c r="O27" s="24"/>
      <c r="P27" s="24"/>
      <c r="Q27" s="24"/>
      <c r="R27" s="46">
        <f>R25</f>
        <v>540</v>
      </c>
      <c r="S27" s="46" t="s">
        <v>0</v>
      </c>
      <c r="T27" s="46"/>
      <c r="U27" s="46"/>
      <c r="V27" s="24" t="s">
        <v>55</v>
      </c>
      <c r="W27" s="24"/>
      <c r="X27" s="36">
        <f>F27+R27</f>
        <v>735</v>
      </c>
      <c r="Y27" s="71" t="s">
        <v>0</v>
      </c>
    </row>
    <row r="28" spans="1:25" x14ac:dyDescent="0.25">
      <c r="A28" s="1"/>
      <c r="B28" s="1"/>
      <c r="C28" s="1"/>
      <c r="D28" s="1"/>
      <c r="E28" s="1"/>
      <c r="F28" s="47"/>
      <c r="G28" s="47"/>
      <c r="H28" s="1"/>
      <c r="I28" s="1"/>
      <c r="J28" s="1"/>
      <c r="K28" s="1"/>
      <c r="L28" s="1"/>
      <c r="M28" s="1"/>
      <c r="N28" s="1"/>
      <c r="O28" s="1"/>
      <c r="P28" s="1"/>
      <c r="Q28" s="1"/>
      <c r="R28" s="47"/>
      <c r="S28" s="47"/>
      <c r="T28" s="47"/>
      <c r="U28" s="47"/>
      <c r="V28" s="1"/>
      <c r="W28" s="1"/>
      <c r="X28" s="28"/>
      <c r="Y28" s="72"/>
    </row>
    <row r="29" spans="1:25" x14ac:dyDescent="0.25">
      <c r="A29" s="1"/>
      <c r="B29" s="1" t="s">
        <v>45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45</v>
      </c>
      <c r="O29" s="1"/>
      <c r="P29" s="1"/>
      <c r="Q29" s="1"/>
      <c r="R29" s="1"/>
      <c r="S29" s="1"/>
      <c r="T29" s="1"/>
      <c r="U29" s="1"/>
      <c r="V29" s="1"/>
      <c r="W29" s="1"/>
      <c r="X29" s="28"/>
      <c r="Y29" s="25"/>
    </row>
    <row r="30" spans="1:2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8"/>
      <c r="Y30" s="25"/>
    </row>
    <row r="31" spans="1:25" x14ac:dyDescent="0.25">
      <c r="A31" s="1">
        <v>9</v>
      </c>
      <c r="B31" s="48" t="s">
        <v>46</v>
      </c>
      <c r="C31" s="48"/>
      <c r="D31" s="48"/>
      <c r="E31" s="1"/>
      <c r="F31" s="49">
        <f>(2*B5)+(F9*2)</f>
        <v>59.5</v>
      </c>
      <c r="G31" s="49" t="s">
        <v>3</v>
      </c>
      <c r="H31" s="1"/>
      <c r="I31" s="1"/>
      <c r="J31" s="1"/>
      <c r="K31" s="1"/>
      <c r="L31" s="1"/>
      <c r="M31" s="1">
        <v>9</v>
      </c>
      <c r="N31" s="48" t="s">
        <v>46</v>
      </c>
      <c r="O31" s="48"/>
      <c r="P31" s="48"/>
      <c r="Q31" s="1"/>
      <c r="R31" s="49">
        <f>(2*N5)+(R9*2)</f>
        <v>94</v>
      </c>
      <c r="S31" s="49" t="s">
        <v>3</v>
      </c>
      <c r="T31" s="49"/>
      <c r="U31" s="49"/>
      <c r="V31" s="1" t="s">
        <v>55</v>
      </c>
      <c r="W31" s="1"/>
      <c r="X31" s="36">
        <f>F31+R31</f>
        <v>153.5</v>
      </c>
      <c r="Y31" s="28" t="s">
        <v>3</v>
      </c>
    </row>
    <row r="32" spans="1:25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5"/>
      <c r="O32" s="5"/>
      <c r="P32" s="5"/>
      <c r="Q32" s="1"/>
      <c r="R32" s="1"/>
      <c r="S32" s="1"/>
      <c r="T32" s="1"/>
      <c r="U32" s="1"/>
      <c r="V32" s="1"/>
      <c r="W32" s="1"/>
      <c r="X32" s="28"/>
      <c r="Y32" s="25"/>
    </row>
    <row r="33" spans="1:25" x14ac:dyDescent="0.25">
      <c r="A33" s="1">
        <v>10</v>
      </c>
      <c r="B33" s="50" t="s">
        <v>47</v>
      </c>
      <c r="C33" s="50"/>
      <c r="D33" s="50"/>
      <c r="E33" s="8"/>
      <c r="F33" s="30">
        <f>(B5*4)</f>
        <v>39</v>
      </c>
      <c r="G33" s="30" t="s">
        <v>3</v>
      </c>
      <c r="H33" s="8"/>
      <c r="I33" s="8"/>
      <c r="J33" s="8"/>
      <c r="K33" s="1"/>
      <c r="L33" s="1"/>
      <c r="M33" s="1">
        <v>10</v>
      </c>
      <c r="N33" s="50" t="s">
        <v>47</v>
      </c>
      <c r="O33" s="50"/>
      <c r="P33" s="50"/>
      <c r="Q33" s="8"/>
      <c r="R33" s="30">
        <f>(N5*5)</f>
        <v>100</v>
      </c>
      <c r="S33" s="30" t="s">
        <v>3</v>
      </c>
      <c r="T33" s="30"/>
      <c r="U33" s="30"/>
      <c r="V33" s="8" t="s">
        <v>55</v>
      </c>
      <c r="W33" s="8"/>
      <c r="X33" s="36">
        <f>F33+R33</f>
        <v>139</v>
      </c>
      <c r="Y33" s="73" t="s">
        <v>3</v>
      </c>
    </row>
    <row r="34" spans="1:25" x14ac:dyDescent="0.25">
      <c r="A34" s="1"/>
      <c r="B34" s="48"/>
      <c r="C34" s="48"/>
      <c r="D34" s="48"/>
      <c r="E34" s="1"/>
      <c r="F34" s="49"/>
      <c r="G34" s="49"/>
      <c r="H34" s="1"/>
      <c r="I34" s="1"/>
      <c r="J34" s="1"/>
      <c r="K34" s="1"/>
      <c r="L34" s="1"/>
      <c r="M34" s="1"/>
      <c r="N34" s="48"/>
      <c r="O34" s="48"/>
      <c r="P34" s="48"/>
      <c r="Q34" s="1"/>
      <c r="R34" s="49"/>
      <c r="S34" s="49"/>
      <c r="T34" s="49"/>
      <c r="U34" s="49"/>
      <c r="V34" s="1"/>
      <c r="W34" s="1"/>
      <c r="X34" s="28"/>
      <c r="Y34" s="28"/>
    </row>
    <row r="35" spans="1:25" x14ac:dyDescent="0.25">
      <c r="A35" s="1">
        <v>11</v>
      </c>
      <c r="B35" s="51" t="s">
        <v>48</v>
      </c>
      <c r="C35" s="51"/>
      <c r="D35" s="51"/>
      <c r="E35" s="1"/>
      <c r="F35" s="49">
        <f>(2*F9)</f>
        <v>40</v>
      </c>
      <c r="G35" s="49" t="s">
        <v>3</v>
      </c>
      <c r="H35" s="1"/>
      <c r="I35" s="1"/>
      <c r="J35" s="1"/>
      <c r="K35" s="1"/>
      <c r="L35" s="1"/>
      <c r="M35" s="1">
        <v>11</v>
      </c>
      <c r="N35" s="51" t="s">
        <v>48</v>
      </c>
      <c r="O35" s="51"/>
      <c r="P35" s="51"/>
      <c r="Q35" s="1"/>
      <c r="R35" s="49">
        <f>(3*R9)</f>
        <v>81</v>
      </c>
      <c r="S35" s="49" t="s">
        <v>3</v>
      </c>
      <c r="T35" s="49"/>
      <c r="U35" s="49"/>
      <c r="V35" s="1" t="s">
        <v>55</v>
      </c>
      <c r="W35" s="1"/>
      <c r="X35" s="36">
        <f>F35+R35</f>
        <v>121</v>
      </c>
      <c r="Y35" s="28" t="s">
        <v>3</v>
      </c>
    </row>
    <row r="36" spans="1:25" x14ac:dyDescent="0.25">
      <c r="X36" s="35"/>
      <c r="Y36" s="2"/>
    </row>
    <row r="37" spans="1:25" x14ac:dyDescent="0.25">
      <c r="X37" s="35"/>
      <c r="Y37" s="2"/>
    </row>
    <row r="38" spans="1:25" x14ac:dyDescent="0.25">
      <c r="X38" s="35"/>
      <c r="Y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I72"/>
  <sheetViews>
    <sheetView tabSelected="1" topLeftCell="A18" workbookViewId="0">
      <selection activeCell="J34" sqref="J34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16384" width="11.28515625" style="1"/>
  </cols>
  <sheetData>
    <row r="2" spans="2:7" x14ac:dyDescent="0.2">
      <c r="B2" s="2" t="str">
        <f>'Surface Beds'!N1</f>
        <v>Stockpile hardstand</v>
      </c>
    </row>
    <row r="3" spans="2:7" x14ac:dyDescent="0.2">
      <c r="B3" s="2"/>
    </row>
    <row r="4" spans="2:7" x14ac:dyDescent="0.2">
      <c r="B4" s="2" t="s">
        <v>4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9"/>
      <c r="E7" s="4"/>
    </row>
    <row r="8" spans="2:7" x14ac:dyDescent="0.2">
      <c r="B8" s="4"/>
      <c r="C8" s="4"/>
      <c r="D8" s="9"/>
      <c r="E8" s="4"/>
    </row>
    <row r="9" spans="2:7" x14ac:dyDescent="0.2">
      <c r="B9" s="4"/>
      <c r="C9" s="4"/>
      <c r="D9" s="9"/>
      <c r="E9" s="4"/>
    </row>
    <row r="10" spans="2:7" x14ac:dyDescent="0.2">
      <c r="B10" s="4"/>
      <c r="C10" s="4"/>
      <c r="D10" s="9"/>
      <c r="E10" s="4"/>
    </row>
    <row r="11" spans="2:7" x14ac:dyDescent="0.2">
      <c r="B11" s="4"/>
      <c r="C11" s="10"/>
      <c r="D11" s="9"/>
      <c r="E11" s="4"/>
    </row>
    <row r="12" spans="2:7" x14ac:dyDescent="0.2">
      <c r="D12" s="21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9"/>
      <c r="E14" s="4"/>
    </row>
    <row r="15" spans="2:7" x14ac:dyDescent="0.2">
      <c r="B15" s="4"/>
      <c r="C15" s="4"/>
      <c r="D15" s="9"/>
      <c r="E15" s="4"/>
      <c r="G15" s="1" t="s">
        <v>5</v>
      </c>
    </row>
    <row r="16" spans="2:7" x14ac:dyDescent="0.2">
      <c r="B16" s="4"/>
      <c r="C16" s="74"/>
      <c r="D16" s="75"/>
      <c r="E16" s="11" t="s">
        <v>36</v>
      </c>
      <c r="F16" s="31"/>
    </row>
    <row r="17" spans="2:9" ht="14.45" customHeight="1" x14ac:dyDescent="0.2">
      <c r="B17" s="11" t="s">
        <v>36</v>
      </c>
      <c r="D17" s="9">
        <v>0.2</v>
      </c>
    </row>
    <row r="18" spans="2:9" x14ac:dyDescent="0.2">
      <c r="B18" s="4"/>
      <c r="C18" s="4"/>
      <c r="D18" s="9"/>
      <c r="E18" s="32"/>
    </row>
    <row r="19" spans="2:9" x14ac:dyDescent="0.2">
      <c r="B19" s="4"/>
      <c r="D19" s="9">
        <v>0.3</v>
      </c>
      <c r="E19" s="9"/>
    </row>
    <row r="20" spans="2:9" x14ac:dyDescent="0.2">
      <c r="B20" s="4"/>
      <c r="C20" s="4"/>
      <c r="D20" s="9"/>
      <c r="E20" s="4"/>
    </row>
    <row r="21" spans="2:9" ht="18" customHeight="1" x14ac:dyDescent="0.2">
      <c r="B21" s="4"/>
      <c r="C21" s="4"/>
      <c r="D21" s="14">
        <v>0.4</v>
      </c>
    </row>
    <row r="22" spans="2:9" ht="16.899999999999999" customHeight="1" x14ac:dyDescent="0.2">
      <c r="B22" s="37">
        <v>0.5</v>
      </c>
      <c r="C22" s="22">
        <v>0.25</v>
      </c>
      <c r="D22" s="9"/>
    </row>
    <row r="23" spans="2:9" ht="14.45" customHeight="1" x14ac:dyDescent="0.2">
      <c r="B23" s="4"/>
      <c r="C23" s="10">
        <v>0.25</v>
      </c>
      <c r="E23" s="4"/>
    </row>
    <row r="24" spans="2:9" s="4" customFormat="1" ht="14.45" customHeight="1" x14ac:dyDescent="0.25">
      <c r="C24" s="10"/>
      <c r="D24" s="10"/>
    </row>
    <row r="25" spans="2:9" x14ac:dyDescent="0.2">
      <c r="B25" s="12" t="s">
        <v>6</v>
      </c>
      <c r="C25" s="12"/>
      <c r="D25" s="12"/>
      <c r="E25" s="23">
        <v>74</v>
      </c>
      <c r="F25" s="12" t="s">
        <v>3</v>
      </c>
      <c r="G25" s="27"/>
      <c r="H25" s="25" t="s">
        <v>37</v>
      </c>
      <c r="I25" s="26"/>
    </row>
    <row r="26" spans="2:9" x14ac:dyDescent="0.2">
      <c r="B26" s="4"/>
      <c r="C26" s="9"/>
      <c r="D26" s="9"/>
      <c r="E26" s="4"/>
      <c r="F26" s="4"/>
      <c r="G26" s="8"/>
      <c r="H26" s="26"/>
      <c r="I26" s="26"/>
    </row>
    <row r="27" spans="2:9" s="8" customFormat="1" x14ac:dyDescent="0.2">
      <c r="B27" s="13" t="s">
        <v>7</v>
      </c>
      <c r="C27" s="14" t="s">
        <v>1</v>
      </c>
      <c r="D27" s="14"/>
      <c r="E27" s="33">
        <v>66.599999999999994</v>
      </c>
      <c r="F27" s="13"/>
      <c r="G27" s="8" t="s">
        <v>38</v>
      </c>
      <c r="H27" s="28">
        <f>E27</f>
        <v>66.599999999999994</v>
      </c>
      <c r="I27" s="76" t="s">
        <v>1</v>
      </c>
    </row>
    <row r="28" spans="2:9" s="8" customFormat="1" x14ac:dyDescent="0.2">
      <c r="B28" s="13"/>
      <c r="C28" s="14"/>
      <c r="D28" s="14"/>
      <c r="E28" s="13"/>
      <c r="F28" s="13"/>
      <c r="H28" s="28"/>
      <c r="I28" s="76"/>
    </row>
    <row r="29" spans="2:9" s="8" customFormat="1" x14ac:dyDescent="0.2">
      <c r="B29" s="13" t="s">
        <v>8</v>
      </c>
      <c r="C29" s="14" t="s">
        <v>1</v>
      </c>
      <c r="D29" s="14"/>
      <c r="E29" s="33">
        <v>37</v>
      </c>
      <c r="F29" s="13"/>
      <c r="G29" s="8" t="s">
        <v>38</v>
      </c>
      <c r="H29" s="28">
        <f>E29</f>
        <v>37</v>
      </c>
      <c r="I29" s="76" t="s">
        <v>1</v>
      </c>
    </row>
    <row r="30" spans="2:9" x14ac:dyDescent="0.2">
      <c r="B30" s="4"/>
      <c r="C30" s="9"/>
      <c r="D30" s="9"/>
      <c r="E30" s="4"/>
      <c r="F30" s="4"/>
      <c r="G30" s="8"/>
      <c r="H30" s="28"/>
      <c r="I30" s="77"/>
    </row>
    <row r="31" spans="2:9" x14ac:dyDescent="0.2">
      <c r="B31" s="34" t="s">
        <v>9</v>
      </c>
      <c r="C31" s="9"/>
      <c r="D31" s="9"/>
      <c r="E31" s="4"/>
      <c r="F31" s="4"/>
      <c r="G31" s="8"/>
      <c r="H31" s="28"/>
      <c r="I31" s="77"/>
    </row>
    <row r="32" spans="2:9" x14ac:dyDescent="0.2">
      <c r="B32" s="4" t="s">
        <v>10</v>
      </c>
      <c r="C32" s="9"/>
      <c r="D32" s="9"/>
      <c r="E32" s="4"/>
      <c r="F32" s="4"/>
      <c r="G32" s="8"/>
      <c r="H32" s="28"/>
      <c r="I32" s="77"/>
    </row>
    <row r="33" spans="2:9" ht="13.15" customHeight="1" x14ac:dyDescent="0.2">
      <c r="B33" s="16" t="s">
        <v>11</v>
      </c>
      <c r="C33" s="9" t="s">
        <v>0</v>
      </c>
      <c r="D33" s="9"/>
      <c r="E33" s="15">
        <f>(2*E25*D21)+(2*E25*D22)</f>
        <v>59.2</v>
      </c>
      <c r="F33" s="4"/>
      <c r="G33" s="27" t="s">
        <v>55</v>
      </c>
      <c r="H33" s="28">
        <f>E33</f>
        <v>59.2</v>
      </c>
      <c r="I33" s="77" t="s">
        <v>0</v>
      </c>
    </row>
    <row r="34" spans="2:9" x14ac:dyDescent="0.2">
      <c r="B34" s="4" t="s">
        <v>12</v>
      </c>
      <c r="C34" s="9"/>
      <c r="D34" s="9"/>
      <c r="E34" s="15"/>
      <c r="F34" s="4"/>
      <c r="G34" s="8"/>
      <c r="H34" s="28"/>
      <c r="I34" s="77"/>
    </row>
    <row r="35" spans="2:9" x14ac:dyDescent="0.2">
      <c r="B35" s="16" t="s">
        <v>13</v>
      </c>
      <c r="C35" s="9" t="s">
        <v>0</v>
      </c>
      <c r="D35" s="9"/>
      <c r="E35" s="15">
        <f>E25*2*(D12+D17+D19)</f>
        <v>148</v>
      </c>
      <c r="F35" s="4"/>
      <c r="G35" s="7" t="s">
        <v>55</v>
      </c>
      <c r="H35" s="28">
        <f>E35</f>
        <v>148</v>
      </c>
      <c r="I35" s="77" t="s">
        <v>0</v>
      </c>
    </row>
    <row r="36" spans="2:9" x14ac:dyDescent="0.2">
      <c r="B36" s="4"/>
      <c r="C36" s="9"/>
      <c r="D36" s="9"/>
      <c r="E36" s="15"/>
      <c r="F36" s="4"/>
      <c r="G36" s="7"/>
      <c r="H36" s="28"/>
      <c r="I36" s="77"/>
    </row>
    <row r="37" spans="2:9" x14ac:dyDescent="0.2">
      <c r="B37" s="4" t="s">
        <v>14</v>
      </c>
      <c r="C37" s="9" t="s">
        <v>3</v>
      </c>
      <c r="D37" s="9"/>
      <c r="E37" s="15">
        <f>E25*2</f>
        <v>148</v>
      </c>
      <c r="F37" s="4"/>
      <c r="G37" s="27" t="s">
        <v>55</v>
      </c>
      <c r="H37" s="28">
        <f>E37</f>
        <v>148</v>
      </c>
      <c r="I37" s="77" t="s">
        <v>3</v>
      </c>
    </row>
    <row r="38" spans="2:9" x14ac:dyDescent="0.2">
      <c r="B38" s="4"/>
      <c r="C38" s="9"/>
      <c r="D38" s="9"/>
      <c r="E38" s="15"/>
      <c r="F38" s="4"/>
      <c r="G38" s="8"/>
      <c r="H38" s="28"/>
      <c r="I38" s="77"/>
    </row>
    <row r="39" spans="2:9" x14ac:dyDescent="0.2">
      <c r="B39" s="13" t="s">
        <v>15</v>
      </c>
      <c r="C39" s="9"/>
      <c r="D39" s="9"/>
      <c r="E39" s="15"/>
      <c r="F39" s="4"/>
      <c r="G39" s="27"/>
      <c r="H39" s="28"/>
      <c r="I39" s="77"/>
    </row>
    <row r="40" spans="2:9" x14ac:dyDescent="0.2">
      <c r="B40" s="13"/>
      <c r="C40" s="9"/>
      <c r="D40" s="9"/>
      <c r="E40" s="15"/>
      <c r="F40" s="4"/>
      <c r="G40" s="27"/>
      <c r="H40" s="28"/>
      <c r="I40" s="77"/>
    </row>
    <row r="41" spans="2:9" ht="67.5" hidden="1" x14ac:dyDescent="0.2">
      <c r="B41" s="17" t="s">
        <v>16</v>
      </c>
      <c r="F41" s="4"/>
      <c r="G41" s="27"/>
      <c r="H41" s="28" t="e">
        <f>#REF!</f>
        <v>#REF!</v>
      </c>
      <c r="I41" s="25"/>
    </row>
    <row r="42" spans="2:9" hidden="1" x14ac:dyDescent="0.2">
      <c r="B42" s="18"/>
      <c r="C42" s="9"/>
      <c r="D42" s="9"/>
      <c r="E42" s="15"/>
      <c r="F42" s="4"/>
      <c r="G42" s="8"/>
      <c r="H42" s="28"/>
      <c r="I42" s="77"/>
    </row>
    <row r="43" spans="2:9" ht="22.5" hidden="1" x14ac:dyDescent="0.2">
      <c r="B43" s="17" t="s">
        <v>17</v>
      </c>
      <c r="C43" s="9"/>
      <c r="D43" s="9"/>
      <c r="E43" s="15"/>
      <c r="F43" s="4"/>
      <c r="G43" s="8"/>
      <c r="H43" s="28" t="e">
        <f>#REF!</f>
        <v>#REF!</v>
      </c>
      <c r="I43" s="77"/>
    </row>
    <row r="44" spans="2:9" hidden="1" x14ac:dyDescent="0.2">
      <c r="B44" s="17" t="s">
        <v>18</v>
      </c>
      <c r="C44" s="9"/>
      <c r="D44" s="9"/>
      <c r="E44" s="15"/>
      <c r="F44" s="4"/>
      <c r="G44" s="7"/>
      <c r="H44" s="28"/>
      <c r="I44" s="77"/>
    </row>
    <row r="45" spans="2:9" hidden="1" x14ac:dyDescent="0.2">
      <c r="B45" s="18"/>
      <c r="C45" s="9"/>
      <c r="D45" s="9"/>
      <c r="E45" s="15"/>
      <c r="F45" s="4"/>
      <c r="G45" s="7"/>
      <c r="H45" s="28" t="e">
        <f>#REF!</f>
        <v>#REF!</v>
      </c>
      <c r="I45" s="77"/>
    </row>
    <row r="46" spans="2:9" ht="22.5" hidden="1" x14ac:dyDescent="0.2">
      <c r="B46" s="17" t="s">
        <v>19</v>
      </c>
      <c r="C46" s="9"/>
      <c r="D46" s="9"/>
      <c r="E46" s="15"/>
      <c r="F46" s="4"/>
      <c r="G46" s="7"/>
      <c r="H46" s="28" t="e">
        <f>#REF!</f>
        <v>#REF!</v>
      </c>
      <c r="I46" s="77"/>
    </row>
    <row r="47" spans="2:9" ht="22.5" hidden="1" x14ac:dyDescent="0.2">
      <c r="B47" s="17" t="s">
        <v>20</v>
      </c>
      <c r="C47" s="9" t="s">
        <v>3</v>
      </c>
      <c r="D47" s="9"/>
      <c r="E47" s="15"/>
      <c r="F47" s="4"/>
      <c r="G47" s="29"/>
      <c r="H47" s="28" t="e">
        <f>#REF!</f>
        <v>#REF!</v>
      </c>
      <c r="I47" s="77" t="s">
        <v>3</v>
      </c>
    </row>
    <row r="48" spans="2:9" ht="22.5" hidden="1" x14ac:dyDescent="0.2">
      <c r="B48" s="17" t="s">
        <v>21</v>
      </c>
      <c r="C48" s="9"/>
      <c r="D48" s="9"/>
      <c r="E48" s="15"/>
      <c r="F48" s="4"/>
      <c r="H48" s="28" t="e">
        <f>#REF!</f>
        <v>#REF!</v>
      </c>
      <c r="I48" s="77"/>
    </row>
    <row r="49" spans="2:9" hidden="1" x14ac:dyDescent="0.2">
      <c r="B49" s="18"/>
      <c r="C49" s="9"/>
      <c r="D49" s="9"/>
      <c r="E49" s="15"/>
      <c r="F49" s="4"/>
      <c r="G49" s="5"/>
      <c r="H49" s="28"/>
      <c r="I49" s="77"/>
    </row>
    <row r="50" spans="2:9" ht="22.5" hidden="1" x14ac:dyDescent="0.2">
      <c r="B50" s="17" t="s">
        <v>22</v>
      </c>
      <c r="C50" s="9" t="s">
        <v>2</v>
      </c>
      <c r="D50" s="9"/>
      <c r="E50" s="15"/>
      <c r="F50" s="4"/>
      <c r="G50" s="5"/>
      <c r="H50" s="28" t="e">
        <f>#REF!</f>
        <v>#REF!</v>
      </c>
      <c r="I50" s="77" t="s">
        <v>2</v>
      </c>
    </row>
    <row r="51" spans="2:9" hidden="1" x14ac:dyDescent="0.2">
      <c r="B51" s="18"/>
      <c r="C51" s="9"/>
      <c r="D51" s="9"/>
      <c r="E51" s="15"/>
      <c r="F51" s="4"/>
      <c r="H51" s="28" t="e">
        <f>#REF!</f>
        <v>#REF!</v>
      </c>
      <c r="I51" s="77"/>
    </row>
    <row r="52" spans="2:9" ht="22.5" hidden="1" x14ac:dyDescent="0.2">
      <c r="B52" s="17" t="s">
        <v>23</v>
      </c>
      <c r="C52" s="9" t="s">
        <v>2</v>
      </c>
      <c r="D52" s="9"/>
      <c r="E52" s="15"/>
      <c r="F52" s="4"/>
      <c r="H52" s="28" t="e">
        <f>#REF!</f>
        <v>#REF!</v>
      </c>
      <c r="I52" s="77" t="s">
        <v>2</v>
      </c>
    </row>
    <row r="53" spans="2:9" hidden="1" x14ac:dyDescent="0.2">
      <c r="B53" s="18"/>
      <c r="C53" s="9"/>
      <c r="D53" s="9"/>
      <c r="E53" s="15"/>
      <c r="F53" s="4"/>
      <c r="H53" s="25"/>
      <c r="I53" s="77"/>
    </row>
    <row r="54" spans="2:9" x14ac:dyDescent="0.2">
      <c r="B54" s="18" t="s">
        <v>24</v>
      </c>
      <c r="C54" s="9"/>
      <c r="D54" s="9"/>
      <c r="E54" s="15"/>
      <c r="F54" s="4"/>
      <c r="H54" s="25"/>
      <c r="I54" s="77"/>
    </row>
    <row r="55" spans="2:9" x14ac:dyDescent="0.2">
      <c r="B55" s="16" t="s">
        <v>11</v>
      </c>
      <c r="C55" s="9" t="s">
        <v>25</v>
      </c>
      <c r="D55" s="9"/>
      <c r="E55" s="19">
        <f>0.11*E61</f>
        <v>3.2560000000000002</v>
      </c>
      <c r="F55" s="4"/>
      <c r="G55" s="1" t="s">
        <v>55</v>
      </c>
      <c r="H55" s="28">
        <f>E55</f>
        <v>3.2560000000000002</v>
      </c>
      <c r="I55" s="77" t="s">
        <v>25</v>
      </c>
    </row>
    <row r="56" spans="2:9" x14ac:dyDescent="0.2">
      <c r="B56" s="16" t="s">
        <v>26</v>
      </c>
      <c r="C56" s="9" t="s">
        <v>25</v>
      </c>
      <c r="D56" s="9"/>
      <c r="E56" s="19">
        <f>0.15*E62</f>
        <v>2.7749999999999999</v>
      </c>
      <c r="F56" s="19"/>
      <c r="G56" s="1" t="s">
        <v>55</v>
      </c>
      <c r="H56" s="28">
        <f>E56</f>
        <v>2.7749999999999999</v>
      </c>
      <c r="I56" s="77" t="s">
        <v>25</v>
      </c>
    </row>
    <row r="57" spans="2:9" x14ac:dyDescent="0.2">
      <c r="B57" s="4"/>
      <c r="C57" s="9"/>
      <c r="D57" s="9"/>
      <c r="E57" s="15"/>
      <c r="F57" s="4"/>
      <c r="H57" s="25"/>
      <c r="I57" s="77"/>
    </row>
    <row r="58" spans="2:9" x14ac:dyDescent="0.2">
      <c r="B58" s="4" t="s">
        <v>27</v>
      </c>
      <c r="C58" s="9"/>
      <c r="D58" s="9"/>
      <c r="E58" s="15"/>
      <c r="F58" s="4"/>
      <c r="H58" s="25"/>
      <c r="I58" s="77"/>
    </row>
    <row r="59" spans="2:9" x14ac:dyDescent="0.2">
      <c r="B59" s="4" t="s">
        <v>28</v>
      </c>
      <c r="C59" s="9" t="s">
        <v>0</v>
      </c>
      <c r="D59" s="9"/>
      <c r="E59" s="15">
        <f>(E25*(B22+C23+C22))</f>
        <v>74</v>
      </c>
      <c r="F59" s="4"/>
      <c r="G59" s="1" t="s">
        <v>55</v>
      </c>
      <c r="H59" s="28">
        <f>E59</f>
        <v>74</v>
      </c>
      <c r="I59" s="77" t="s">
        <v>0</v>
      </c>
    </row>
    <row r="60" spans="2:9" x14ac:dyDescent="0.2">
      <c r="B60" s="4"/>
      <c r="C60" s="9"/>
      <c r="D60" s="9"/>
      <c r="E60" s="15"/>
      <c r="F60" s="4"/>
      <c r="H60" s="25"/>
      <c r="I60" s="77"/>
    </row>
    <row r="61" spans="2:9" x14ac:dyDescent="0.2">
      <c r="B61" s="4" t="s">
        <v>29</v>
      </c>
      <c r="C61" s="9" t="s">
        <v>1</v>
      </c>
      <c r="D61" s="9"/>
      <c r="E61" s="15">
        <f>(E25*(B22+C23+C22)*D21)</f>
        <v>29.6</v>
      </c>
      <c r="F61" s="4"/>
      <c r="G61" s="1" t="s">
        <v>55</v>
      </c>
      <c r="H61" s="28">
        <f>E61</f>
        <v>29.6</v>
      </c>
      <c r="I61" s="77" t="s">
        <v>1</v>
      </c>
    </row>
    <row r="62" spans="2:9" x14ac:dyDescent="0.2">
      <c r="B62" s="4" t="s">
        <v>4</v>
      </c>
      <c r="C62" s="9" t="s">
        <v>1</v>
      </c>
      <c r="D62" s="9"/>
      <c r="E62" s="15">
        <f>(E25*(C4+C23)/2*(D19+D17+D12))</f>
        <v>18.5</v>
      </c>
      <c r="F62" s="4"/>
      <c r="G62" s="1" t="s">
        <v>55</v>
      </c>
      <c r="H62" s="28">
        <f>E62</f>
        <v>18.5</v>
      </c>
      <c r="I62" s="77" t="s">
        <v>1</v>
      </c>
    </row>
    <row r="63" spans="2:9" x14ac:dyDescent="0.2">
      <c r="B63" s="4"/>
      <c r="C63" s="9"/>
      <c r="D63" s="9"/>
      <c r="E63" s="15"/>
      <c r="F63" s="4"/>
      <c r="H63" s="25"/>
      <c r="I63" s="77"/>
    </row>
    <row r="64" spans="2:9" x14ac:dyDescent="0.2">
      <c r="B64" s="4" t="s">
        <v>30</v>
      </c>
      <c r="C64" s="9" t="s">
        <v>0</v>
      </c>
      <c r="D64" s="9"/>
      <c r="E64" s="15">
        <f>E59</f>
        <v>74</v>
      </c>
      <c r="G64" s="1" t="s">
        <v>55</v>
      </c>
      <c r="H64" s="28">
        <f>E64</f>
        <v>74</v>
      </c>
      <c r="I64" s="77" t="s">
        <v>0</v>
      </c>
    </row>
    <row r="65" spans="2:9" x14ac:dyDescent="0.2">
      <c r="B65" s="4"/>
      <c r="C65" s="9"/>
      <c r="D65" s="9"/>
      <c r="E65" s="15"/>
      <c r="H65" s="25"/>
      <c r="I65" s="77"/>
    </row>
    <row r="66" spans="2:9" x14ac:dyDescent="0.2">
      <c r="B66" s="13" t="s">
        <v>31</v>
      </c>
      <c r="E66" s="15"/>
      <c r="G66" s="1" t="s">
        <v>55</v>
      </c>
      <c r="H66" s="25"/>
      <c r="I66" s="25"/>
    </row>
    <row r="67" spans="2:9" x14ac:dyDescent="0.2">
      <c r="B67" s="20" t="s">
        <v>32</v>
      </c>
      <c r="C67" s="9" t="s">
        <v>3</v>
      </c>
      <c r="D67" s="9"/>
      <c r="E67" s="15">
        <f>E25/8*(B22+D21+D19+D17+D12)</f>
        <v>17.574999999999999</v>
      </c>
      <c r="H67" s="28">
        <f>E67</f>
        <v>17.574999999999999</v>
      </c>
      <c r="I67" s="77" t="s">
        <v>3</v>
      </c>
    </row>
    <row r="68" spans="2:9" ht="22.5" x14ac:dyDescent="0.2">
      <c r="B68" s="20" t="s">
        <v>33</v>
      </c>
      <c r="C68" s="9" t="s">
        <v>3</v>
      </c>
      <c r="D68" s="9"/>
      <c r="E68" s="15">
        <f>(E25/10)*(B22+D21+D19+D17+D12)</f>
        <v>14.06</v>
      </c>
      <c r="G68" s="1" t="s">
        <v>55</v>
      </c>
      <c r="H68" s="28">
        <f>E68</f>
        <v>14.06</v>
      </c>
      <c r="I68" s="77" t="s">
        <v>3</v>
      </c>
    </row>
    <row r="69" spans="2:9" ht="22.5" x14ac:dyDescent="0.2">
      <c r="B69" s="20" t="s">
        <v>34</v>
      </c>
      <c r="C69" s="9" t="s">
        <v>3</v>
      </c>
      <c r="D69" s="9"/>
      <c r="E69" s="15">
        <f>(E25/15)*(B22+D21+D19+D17+D12)</f>
        <v>9.3733333333333331</v>
      </c>
      <c r="G69" s="1" t="s">
        <v>55</v>
      </c>
      <c r="H69" s="28">
        <f>E69</f>
        <v>9.3733333333333331</v>
      </c>
      <c r="I69" s="77" t="s">
        <v>3</v>
      </c>
    </row>
    <row r="70" spans="2:9" x14ac:dyDescent="0.2">
      <c r="B70" s="4"/>
      <c r="C70" s="9"/>
      <c r="D70" s="9"/>
      <c r="E70" s="15"/>
      <c r="H70" s="25"/>
      <c r="I70" s="77"/>
    </row>
    <row r="71" spans="2:9" ht="22.5" x14ac:dyDescent="0.2">
      <c r="B71" s="18" t="s">
        <v>35</v>
      </c>
      <c r="C71" s="9" t="s">
        <v>0</v>
      </c>
      <c r="D71" s="9"/>
      <c r="E71" s="15">
        <f>E25*2*(D12+D17+D19)</f>
        <v>148</v>
      </c>
      <c r="G71" s="1" t="s">
        <v>55</v>
      </c>
      <c r="H71" s="28">
        <f>E71</f>
        <v>148</v>
      </c>
      <c r="I71" s="78" t="s">
        <v>0</v>
      </c>
    </row>
    <row r="72" spans="2:9" x14ac:dyDescent="0.2">
      <c r="B72" s="4"/>
      <c r="C72" s="4"/>
      <c r="D72" s="4"/>
      <c r="E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Surface Beds</vt:lpstr>
      <vt:lpstr>Retaining 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2023-09-14T08:09:32Z</dcterms:modified>
</cp:coreProperties>
</file>