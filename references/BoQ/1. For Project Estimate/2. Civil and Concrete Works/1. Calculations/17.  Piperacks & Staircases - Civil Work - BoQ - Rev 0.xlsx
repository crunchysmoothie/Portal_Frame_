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2. Civil and Concrete Works\1. Calculations\"/>
    </mc:Choice>
  </mc:AlternateContent>
  <xr:revisionPtr revIDLastSave="0" documentId="13_ncr:1_{2ED2359D-99A0-4615-82A7-08FD784616DE}" xr6:coauthVersionLast="47" xr6:coauthVersionMax="47" xr10:uidLastSave="{00000000-0000-0000-0000-000000000000}"/>
  <bookViews>
    <workbookView xWindow="20370" yWindow="-120" windowWidth="29040" windowHeight="15840" tabRatio="903" xr2:uid="{00000000-000D-0000-FFFF-FFFF00000000}"/>
  </bookViews>
  <sheets>
    <sheet name="Piperacks" sheetId="177" r:id="rId1"/>
    <sheet name="Total Qty - Rebar &amp; Concrete" sheetId="128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8" i="177" l="1"/>
  <c r="I62" i="177"/>
  <c r="E86" i="177" l="1"/>
  <c r="G86" i="177" s="1"/>
  <c r="E80" i="177"/>
  <c r="G80" i="177" s="1"/>
  <c r="E76" i="177"/>
  <c r="G76" i="177" s="1"/>
  <c r="E70" i="177"/>
  <c r="G70" i="177" s="1"/>
  <c r="E64" i="177"/>
  <c r="G64" i="177" s="1"/>
  <c r="E62" i="177"/>
  <c r="G62" i="177" s="1"/>
  <c r="E58" i="177"/>
  <c r="G58" i="177" s="1"/>
  <c r="E50" i="177"/>
  <c r="G50" i="177" s="1"/>
  <c r="E44" i="177"/>
  <c r="G44" i="177" s="1"/>
  <c r="E40" i="177"/>
  <c r="G40" i="177" s="1"/>
  <c r="E34" i="177"/>
  <c r="G34" i="177" s="1"/>
  <c r="E32" i="177"/>
  <c r="G32" i="177" s="1"/>
  <c r="E22" i="177"/>
  <c r="G22" i="177" s="1"/>
  <c r="E18" i="177"/>
  <c r="G18" i="177" s="1"/>
  <c r="AL70" i="128" l="1"/>
  <c r="AL50" i="128"/>
  <c r="AL36" i="128"/>
  <c r="AK90" i="128"/>
  <c r="AK66" i="128"/>
  <c r="AK64" i="128"/>
  <c r="AK56" i="128"/>
  <c r="AK44" i="128"/>
  <c r="AK16" i="128"/>
  <c r="AK8" i="128"/>
  <c r="AJ90" i="128"/>
  <c r="AJ66" i="128"/>
  <c r="AJ64" i="128"/>
  <c r="AJ56" i="128"/>
  <c r="AJ44" i="128"/>
  <c r="AJ16" i="128"/>
  <c r="AJ8" i="128"/>
  <c r="AI90" i="128"/>
  <c r="AI64" i="128"/>
  <c r="AI66" i="128"/>
  <c r="AI56" i="128"/>
  <c r="AI44" i="128"/>
  <c r="AI16" i="128"/>
  <c r="AI8" i="128"/>
  <c r="W70" i="128"/>
  <c r="W68" i="128"/>
  <c r="W64" i="128"/>
  <c r="W66" i="128"/>
  <c r="W56" i="128"/>
  <c r="W48" i="128"/>
  <c r="W44" i="128"/>
  <c r="W36" i="128"/>
  <c r="W18" i="128"/>
  <c r="W20" i="128"/>
  <c r="W16" i="128"/>
  <c r="W8" i="128"/>
  <c r="P66" i="128"/>
  <c r="P56" i="128"/>
  <c r="P44" i="128"/>
  <c r="P8" i="128"/>
  <c r="AI60" i="128" l="1"/>
  <c r="AJ60" i="128"/>
  <c r="AK60" i="128"/>
  <c r="E98" i="128" l="1"/>
  <c r="E88" i="128"/>
  <c r="E74" i="128"/>
  <c r="E66" i="128"/>
  <c r="E68" i="128"/>
  <c r="E70" i="128"/>
  <c r="E64" i="128"/>
  <c r="E56" i="128"/>
  <c r="E44" i="128"/>
  <c r="E36" i="128"/>
  <c r="E32" i="128"/>
  <c r="E18" i="128"/>
  <c r="E20" i="128"/>
  <c r="E22" i="128"/>
  <c r="E16" i="128"/>
  <c r="E8" i="128"/>
  <c r="F88" i="128"/>
  <c r="F70" i="128"/>
  <c r="F68" i="128"/>
  <c r="F66" i="128"/>
  <c r="F64" i="128"/>
  <c r="F56" i="128"/>
  <c r="F48" i="128"/>
  <c r="F44" i="128"/>
  <c r="Q70" i="128" l="1"/>
  <c r="Q66" i="128"/>
  <c r="Q64" i="128"/>
  <c r="Q74" i="128"/>
  <c r="Q72" i="128"/>
  <c r="Q56" i="128"/>
  <c r="Q48" i="128"/>
  <c r="Q44" i="128"/>
  <c r="Q36" i="128"/>
  <c r="Q30" i="128"/>
  <c r="Q22" i="128"/>
  <c r="Q16" i="128"/>
  <c r="Q10" i="128"/>
  <c r="D10" i="128" s="1"/>
  <c r="Q8" i="128"/>
  <c r="AD96" i="128"/>
  <c r="D96" i="128" s="1"/>
  <c r="AD94" i="128"/>
  <c r="D94" i="128" s="1"/>
  <c r="AC98" i="128"/>
  <c r="AC88" i="128"/>
  <c r="AB92" i="128"/>
  <c r="Z92" i="128"/>
  <c r="Y92" i="128"/>
  <c r="Y90" i="128"/>
  <c r="X98" i="128"/>
  <c r="X88" i="128"/>
  <c r="U92" i="128"/>
  <c r="T92" i="128"/>
  <c r="T90" i="128"/>
  <c r="S92" i="128"/>
  <c r="S90" i="128"/>
  <c r="D90" i="128" s="1"/>
  <c r="O88" i="128"/>
  <c r="N92" i="128"/>
  <c r="I98" i="128"/>
  <c r="H92" i="128"/>
  <c r="G98" i="128"/>
  <c r="G88" i="128"/>
  <c r="V70" i="128"/>
  <c r="V66" i="128"/>
  <c r="V56" i="128"/>
  <c r="V48" i="128"/>
  <c r="V44" i="128"/>
  <c r="D92" i="128" l="1"/>
  <c r="D88" i="128"/>
  <c r="V38" i="128"/>
  <c r="V20" i="128"/>
  <c r="V8" i="128"/>
  <c r="I66" i="128"/>
  <c r="I68" i="128"/>
  <c r="I70" i="128"/>
  <c r="I64" i="128"/>
  <c r="I56" i="128"/>
  <c r="I48" i="128"/>
  <c r="I44" i="128"/>
  <c r="I36" i="128"/>
  <c r="I20" i="128"/>
  <c r="I16" i="128"/>
  <c r="I18" i="128"/>
  <c r="I8" i="128"/>
  <c r="AD74" i="128" l="1"/>
  <c r="AD72" i="128"/>
  <c r="AD76" i="128"/>
  <c r="AD70" i="128"/>
  <c r="AD68" i="128"/>
  <c r="AD66" i="128"/>
  <c r="AD64" i="128"/>
  <c r="AD36" i="128"/>
  <c r="AD32" i="128"/>
  <c r="AD30" i="128"/>
  <c r="AD22" i="128"/>
  <c r="AD20" i="128"/>
  <c r="AD18" i="128"/>
  <c r="AD16" i="128"/>
  <c r="AD10" i="128"/>
  <c r="AD8" i="128"/>
  <c r="O76" i="128" l="1"/>
  <c r="D76" i="128" s="1"/>
  <c r="O74" i="128"/>
  <c r="D74" i="128" s="1"/>
  <c r="O32" i="128"/>
  <c r="D32" i="128" s="1"/>
  <c r="O30" i="128"/>
  <c r="D30" i="128" s="1"/>
  <c r="O22" i="128"/>
  <c r="D22" i="128" s="1"/>
  <c r="S36" i="128" l="1"/>
  <c r="S20" i="128"/>
  <c r="S16" i="128"/>
  <c r="S8" i="128"/>
  <c r="AG20" i="128"/>
  <c r="AG8" i="128"/>
  <c r="AE36" i="128"/>
  <c r="AC36" i="128"/>
  <c r="AC18" i="128"/>
  <c r="AC20" i="128"/>
  <c r="AC16" i="128"/>
  <c r="AC8" i="128"/>
  <c r="AB36" i="128"/>
  <c r="AB20" i="128"/>
  <c r="AB8" i="128"/>
  <c r="AB16" i="128"/>
  <c r="AA36" i="128"/>
  <c r="AA20" i="128"/>
  <c r="AA16" i="128"/>
  <c r="AA8" i="128"/>
  <c r="Z36" i="128"/>
  <c r="Z20" i="128"/>
  <c r="Z16" i="128"/>
  <c r="Z8" i="128"/>
  <c r="Y36" i="128"/>
  <c r="Y20" i="128"/>
  <c r="Y16" i="128"/>
  <c r="Y8" i="128"/>
  <c r="X36" i="128"/>
  <c r="X18" i="128"/>
  <c r="X20" i="128"/>
  <c r="X16" i="128"/>
  <c r="X8" i="128"/>
  <c r="U36" i="128"/>
  <c r="U16" i="128"/>
  <c r="U10" i="128"/>
  <c r="U8" i="128"/>
  <c r="T36" i="128"/>
  <c r="T18" i="128"/>
  <c r="T16" i="128"/>
  <c r="T8" i="128"/>
  <c r="R38" i="128"/>
  <c r="N36" i="128"/>
  <c r="N16" i="128"/>
  <c r="N8" i="128"/>
  <c r="L36" i="128"/>
  <c r="L26" i="128"/>
  <c r="D26" i="128" s="1"/>
  <c r="J36" i="128"/>
  <c r="J8" i="128"/>
  <c r="H16" i="128"/>
  <c r="H18" i="128"/>
  <c r="H20" i="128"/>
  <c r="H8" i="128"/>
  <c r="G16" i="128"/>
  <c r="G18" i="128"/>
  <c r="G20" i="128"/>
  <c r="G8" i="128"/>
  <c r="F16" i="128"/>
  <c r="F18" i="128"/>
  <c r="F20" i="128"/>
  <c r="F8" i="128"/>
  <c r="AH60" i="128"/>
  <c r="AE82" i="128"/>
  <c r="AE48" i="128"/>
  <c r="M60" i="128"/>
  <c r="L80" i="128"/>
  <c r="D80" i="128" s="1"/>
  <c r="L48" i="128"/>
  <c r="L44" i="128"/>
  <c r="J70" i="128"/>
  <c r="J66" i="128"/>
  <c r="J48" i="128"/>
  <c r="J44" i="128"/>
  <c r="H78" i="128"/>
  <c r="D78" i="128" s="1"/>
  <c r="H66" i="128"/>
  <c r="H68" i="128"/>
  <c r="H70" i="128"/>
  <c r="H64" i="128"/>
  <c r="H56" i="128"/>
  <c r="H44" i="128"/>
  <c r="R82" i="128"/>
  <c r="R50" i="128"/>
  <c r="D60" i="128" l="1"/>
  <c r="D20" i="128"/>
  <c r="D82" i="128"/>
  <c r="D36" i="128"/>
  <c r="O38" i="128"/>
  <c r="D38" i="128" s="1"/>
  <c r="O98" i="128"/>
  <c r="D98" i="128" s="1"/>
  <c r="O70" i="128"/>
  <c r="O24" i="128"/>
  <c r="D24" i="128" s="1"/>
  <c r="O50" i="128"/>
  <c r="D50" i="128" s="1"/>
  <c r="O44" i="128"/>
  <c r="O18" i="128"/>
  <c r="D18" i="128" s="1"/>
  <c r="O16" i="128"/>
  <c r="D16" i="128" s="1"/>
  <c r="O66" i="128"/>
  <c r="O72" i="128"/>
  <c r="D72" i="128" s="1"/>
  <c r="O64" i="128"/>
  <c r="O8" i="128"/>
  <c r="D8" i="128" s="1"/>
  <c r="U70" i="128" l="1"/>
  <c r="U66" i="128"/>
  <c r="U64" i="128"/>
  <c r="T66" i="128"/>
  <c r="T68" i="128"/>
  <c r="T70" i="128"/>
  <c r="T64" i="128"/>
  <c r="T72" i="128"/>
  <c r="T56" i="128"/>
  <c r="N66" i="128"/>
  <c r="D66" i="128" s="1"/>
  <c r="N70" i="128"/>
  <c r="D70" i="128" s="1"/>
  <c r="N64" i="128"/>
  <c r="D64" i="128" s="1"/>
  <c r="N56" i="128"/>
  <c r="D56" i="128" s="1"/>
  <c r="N48" i="128"/>
  <c r="D48" i="128" s="1"/>
  <c r="AG66" i="128"/>
  <c r="AG68" i="128"/>
  <c r="AG56" i="128"/>
  <c r="AG44" i="128"/>
  <c r="AD48" i="128"/>
  <c r="AC48" i="128"/>
  <c r="AC56" i="128"/>
  <c r="AC66" i="128"/>
  <c r="AC68" i="128"/>
  <c r="AC70" i="128"/>
  <c r="AC44" i="128"/>
  <c r="AB48" i="128"/>
  <c r="AB56" i="128"/>
  <c r="AB66" i="128"/>
  <c r="AB68" i="128"/>
  <c r="AB70" i="128"/>
  <c r="AB44" i="128"/>
  <c r="AA48" i="128"/>
  <c r="AA56" i="128"/>
  <c r="AA66" i="128"/>
  <c r="AA68" i="128"/>
  <c r="AA70" i="128"/>
  <c r="AA44" i="128"/>
  <c r="Z48" i="128"/>
  <c r="Z56" i="128"/>
  <c r="Z66" i="128"/>
  <c r="Z68" i="128"/>
  <c r="Z70" i="128"/>
  <c r="Z44" i="128"/>
  <c r="Y48" i="128"/>
  <c r="Y56" i="128"/>
  <c r="Y66" i="128"/>
  <c r="Y68" i="128"/>
  <c r="Y70" i="128"/>
  <c r="Y44" i="128"/>
  <c r="X48" i="128"/>
  <c r="X56" i="128"/>
  <c r="X66" i="128"/>
  <c r="X68" i="128"/>
  <c r="X70" i="128"/>
  <c r="X44" i="128"/>
  <c r="U48" i="128"/>
  <c r="T48" i="128"/>
  <c r="T44" i="128"/>
  <c r="S48" i="128"/>
  <c r="S56" i="128"/>
  <c r="S66" i="128"/>
  <c r="S68" i="128"/>
  <c r="D68" i="128" s="1"/>
  <c r="S70" i="128"/>
  <c r="S44" i="128"/>
  <c r="G48" i="128"/>
  <c r="G56" i="128"/>
  <c r="G64" i="128"/>
  <c r="G66" i="128"/>
  <c r="G68" i="128"/>
  <c r="G70" i="128"/>
  <c r="N44" i="128"/>
  <c r="D44" i="128" s="1"/>
  <c r="G44" i="128"/>
  <c r="AD44" i="128" l="1"/>
  <c r="AD56" i="128"/>
  <c r="U56" i="128" l="1"/>
  <c r="U44" i="128"/>
  <c r="D85" i="128" s="1"/>
</calcChain>
</file>

<file path=xl/sharedStrings.xml><?xml version="1.0" encoding="utf-8"?>
<sst xmlns="http://schemas.openxmlformats.org/spreadsheetml/2006/main" count="176" uniqueCount="112">
  <si>
    <t xml:space="preserve">Restricted excavation </t>
  </si>
  <si>
    <t>m</t>
  </si>
  <si>
    <t>t</t>
  </si>
  <si>
    <t xml:space="preserve">High Tensile Welded Mesh </t>
  </si>
  <si>
    <t xml:space="preserve">SCHEDULED CONCRETE ITEMS </t>
  </si>
  <si>
    <t xml:space="preserve">Blinding layer in: </t>
  </si>
  <si>
    <t>No</t>
  </si>
  <si>
    <t>ITEM NO</t>
  </si>
  <si>
    <t>PAY REF</t>
  </si>
  <si>
    <t>DESCRIPTION</t>
  </si>
  <si>
    <t>UNIT</t>
  </si>
  <si>
    <t>RATE</t>
  </si>
  <si>
    <t>AMOUNT</t>
  </si>
  <si>
    <t>Depth up to 2m</t>
  </si>
  <si>
    <t xml:space="preserve">SCHEDULED FORMWORK ITEMS </t>
  </si>
  <si>
    <t xml:space="preserve">Rough: </t>
  </si>
  <si>
    <t xml:space="preserve">Vertical formwork to: </t>
  </si>
  <si>
    <t xml:space="preserve">SCHEDULED REINFORCING ITEMS </t>
  </si>
  <si>
    <t xml:space="preserve">High-tensile steel bars in the following: </t>
  </si>
  <si>
    <t>50mm Thickness</t>
  </si>
  <si>
    <t>Smooth</t>
  </si>
  <si>
    <t>Surface beds including thickenings</t>
  </si>
  <si>
    <t>Bases</t>
  </si>
  <si>
    <t xml:space="preserve">GROUTING </t>
  </si>
  <si>
    <t>Under bases (or beds):</t>
  </si>
  <si>
    <t>Non-shrink grout</t>
  </si>
  <si>
    <t>Box Out Holes / Form Voids:</t>
  </si>
  <si>
    <t>0m up to and including 0,5m</t>
  </si>
  <si>
    <t xml:space="preserve">Sides of walls </t>
  </si>
  <si>
    <t>Hold Down Bolts, etc.:</t>
  </si>
  <si>
    <t>m3</t>
  </si>
  <si>
    <t>Soilcrete backfill under structures as indicated on the drawings or directed by the Engineer</t>
  </si>
  <si>
    <t>Hold Down Bolts, Commercial "Grade 4.6, Tensile Strength fu = 365Mpa":</t>
  </si>
  <si>
    <t>QTY</t>
  </si>
  <si>
    <t>m2</t>
  </si>
  <si>
    <t>Excavation for restricted foundations in all materials and dispose spoil material at a site provided by the Contractor</t>
  </si>
  <si>
    <t>Retaining walls</t>
  </si>
  <si>
    <t xml:space="preserve">20mm diameter x 520mm long holding down bolts cast 410mm deep into the concrete with 70mm x 70mm x 12mm plate welded 10mm from the one end and M20 x 110mm long thread on the other end </t>
  </si>
  <si>
    <t xml:space="preserve">24mm diameter x 625mm long holding down bolts cast 500mm deep into the concrete with 85mm x 85mm x 12mm plate welded 10mm from the one end and M24 x 110mm long thread on the other end </t>
  </si>
  <si>
    <t>HOLD DOWN BOLTS AND MISCELLANEOUS METALWORK (SUPPLIED BY THE CONTRACTOR):</t>
  </si>
  <si>
    <t>All diameters</t>
  </si>
  <si>
    <t>Ref.395 mesh reinforcement</t>
  </si>
  <si>
    <t xml:space="preserve">Class 15Mpa/19mm: </t>
  </si>
  <si>
    <t>EARTHWORKS</t>
  </si>
  <si>
    <t xml:space="preserve"> </t>
  </si>
  <si>
    <t>GEORGE BIOMASS POWER PLANT</t>
  </si>
  <si>
    <t xml:space="preserve">  </t>
  </si>
  <si>
    <t>8.3.1</t>
  </si>
  <si>
    <t>8.2.2</t>
  </si>
  <si>
    <t>8.3.3</t>
  </si>
  <si>
    <t>8.2</t>
  </si>
  <si>
    <t>8.2.6</t>
  </si>
  <si>
    <t>8.3</t>
  </si>
  <si>
    <t>8.4</t>
  </si>
  <si>
    <t>8.4.2</t>
  </si>
  <si>
    <t>8.4.4</t>
  </si>
  <si>
    <t>8.7</t>
  </si>
  <si>
    <t>8.8</t>
  </si>
  <si>
    <t>SANS 1200D</t>
  </si>
  <si>
    <t>SANS 1200G</t>
  </si>
  <si>
    <t xml:space="preserve">Grooves, chases and splayes: </t>
  </si>
  <si>
    <t>25mm x 25mm Chamfers</t>
  </si>
  <si>
    <t>Extra overs on Item  above for:</t>
  </si>
  <si>
    <t>CONCRETE (STRUCTURAL)</t>
  </si>
  <si>
    <t>Narrow Widths (up to 300mm wide):</t>
  </si>
  <si>
    <t>Class 30Mpa/19mm in:</t>
  </si>
  <si>
    <t>Unformed Surface Finishes</t>
  </si>
  <si>
    <t>TOTAL AMOUNT FOR SECTION CARRIED TO SUMMARY</t>
  </si>
  <si>
    <t>1200D</t>
  </si>
  <si>
    <t>Outlet Structures</t>
  </si>
  <si>
    <t>Ref.617 mesh reinforcement</t>
  </si>
  <si>
    <t>Sides of stub-columns / columns</t>
  </si>
  <si>
    <t>Stub-columns / Columns</t>
  </si>
  <si>
    <t>Ground Beams</t>
  </si>
  <si>
    <t>Sides of bases</t>
  </si>
  <si>
    <t>Small, other than circular, of area up to and including 0.15m2, and in the following depth ranges:</t>
  </si>
  <si>
    <t xml:space="preserve">48mm diameter x 1 125mm long holding down bolts cast 1 000mm deep into the concrete with 150mm x 150mm x 12mm plate welded 10mm from the one end and M48 x 150mm long thread on the other end </t>
  </si>
  <si>
    <t xml:space="preserve">16mm diameter x 520mm long holding down bolts cast 410mm deep into the concrete with 70mm x 70mm x 12mm plate welded 10mm from the one end and M20 x 110mm long thread on the other end </t>
  </si>
  <si>
    <t xml:space="preserve">Over 100mm and up to 200mm </t>
  </si>
  <si>
    <t>t/m3</t>
  </si>
  <si>
    <t xml:space="preserve">24mm diameter x 520mm long holding down bolts cast 410mm deep into the concrete with 70mm x 70mm x 12mm plate welded 10mm from the one end and M20 x 110mm long thread on the other end </t>
  </si>
  <si>
    <t>Pile Caps</t>
  </si>
  <si>
    <t>Total
Quantity</t>
  </si>
  <si>
    <t>Stormwater - Outlet Structures</t>
  </si>
  <si>
    <t>Encasing of piping</t>
  </si>
  <si>
    <t>Class 20Mpa/19mm in:</t>
  </si>
  <si>
    <t>Road Pavement</t>
  </si>
  <si>
    <t>50mm Thickness Blinding Layer</t>
  </si>
  <si>
    <t xml:space="preserve">Over 200mm and up to 300mm </t>
  </si>
  <si>
    <t xml:space="preserve">Horisontal formwork to: </t>
  </si>
  <si>
    <t>Elevated Beams (4 000mm high)</t>
  </si>
  <si>
    <t>Elevated Beams (8 000mm high)</t>
  </si>
  <si>
    <t>Elevated Beams</t>
  </si>
  <si>
    <t>Upstands</t>
  </si>
  <si>
    <t>Sides of elevated beams</t>
  </si>
  <si>
    <t xml:space="preserve">30mm diameter x 520mm long holding down bolts cast 410mm deep into the concrete with 70mm x 70mm x 12mm plate welded 10mm from the one end and M20 x 110mm long thread on the other end </t>
  </si>
  <si>
    <t xml:space="preserve">38mm diameter x 725mm long holding down bolts cast 600mm deep into the concrete with 150mm x 150mm x 12mm plate welded 10mm from the one end and M48 x 150mm long thread on the other end </t>
  </si>
  <si>
    <t>Transfer Towers</t>
  </si>
  <si>
    <t>Pipe Racks</t>
  </si>
  <si>
    <t>Conveyors</t>
  </si>
  <si>
    <t>Waste Area</t>
  </si>
  <si>
    <t>3 1110 / 3 1210 / 3 1320</t>
  </si>
  <si>
    <t>Steel-Floated finish to:</t>
  </si>
  <si>
    <t>Top of bases</t>
  </si>
  <si>
    <t>PIPERACKS</t>
  </si>
  <si>
    <t>PIPERACKS &amp; STAIRCASES</t>
  </si>
  <si>
    <t>Rev 0</t>
  </si>
  <si>
    <t>12/9/2023</t>
  </si>
  <si>
    <t>CIVIL WORK</t>
  </si>
  <si>
    <t>SECTION  - BILL OF QUANTITIES</t>
  </si>
  <si>
    <t>NAFASI - ARNOT WASTE WATER TREATMENT PLANT</t>
  </si>
  <si>
    <t>STAIRCASES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</si>
</sst>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  <numFmt numFmtId="166" formatCode="#,##0.0"/>
    <numFmt numFmtId="167" formatCode="0.000"/>
    <numFmt numFmtId="168" formatCode="[$-1C09]dd\ mmmm\ yyyy;@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0"/>
      <name val="Times New Roman"/>
      <family val="1"/>
    </font>
    <font>
      <sz val="10"/>
      <name val="Arial"/>
      <family val="2"/>
    </font>
    <font>
      <sz val="12"/>
      <name val="Arial MT"/>
    </font>
    <font>
      <b/>
      <i/>
      <sz val="9"/>
      <name val="Arial"/>
      <family val="2"/>
    </font>
    <font>
      <sz val="11"/>
      <color theme="1"/>
      <name val="Arial"/>
      <family val="2"/>
    </font>
    <font>
      <u/>
      <sz val="10"/>
      <name val="Times New Roman"/>
      <family val="1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u/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u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3" fontId="19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9" fillId="0" borderId="0"/>
    <xf numFmtId="0" fontId="21" fillId="34" borderId="18" applyBorder="0" applyAlignment="0">
      <alignment horizontal="center" vertical="center" wrapText="1"/>
    </xf>
    <xf numFmtId="0" fontId="22" fillId="0" borderId="0"/>
    <xf numFmtId="0" fontId="23" fillId="0" borderId="0"/>
    <xf numFmtId="0" fontId="1" fillId="0" borderId="0"/>
    <xf numFmtId="0" fontId="26" fillId="0" borderId="0"/>
    <xf numFmtId="43" fontId="19" fillId="0" borderId="0" applyFont="0" applyFill="0" applyBorder="0" applyAlignment="0" applyProtection="0"/>
  </cellStyleXfs>
  <cellXfs count="172">
    <xf numFmtId="0" fontId="0" fillId="0" borderId="0" xfId="0"/>
    <xf numFmtId="0" fontId="25" fillId="0" borderId="10" xfId="0" applyFont="1" applyBorder="1" applyAlignment="1">
      <alignment horizontal="center" vertical="center" wrapText="1"/>
    </xf>
    <xf numFmtId="0" fontId="30" fillId="0" borderId="0" xfId="0" applyFont="1"/>
    <xf numFmtId="0" fontId="28" fillId="0" borderId="11" xfId="0" applyFont="1" applyBorder="1" applyAlignment="1">
      <alignment vertical="center" wrapText="1"/>
    </xf>
    <xf numFmtId="0" fontId="25" fillId="0" borderId="11" xfId="0" applyFont="1" applyBorder="1" applyAlignment="1">
      <alignment horizontal="center" vertical="center" wrapText="1"/>
    </xf>
    <xf numFmtId="0" fontId="29" fillId="0" borderId="11" xfId="0" applyFont="1" applyBorder="1" applyAlignment="1">
      <alignment vertical="center" wrapText="1"/>
    </xf>
    <xf numFmtId="0" fontId="25" fillId="0" borderId="11" xfId="0" applyFont="1" applyBorder="1" applyAlignment="1">
      <alignment vertical="center" wrapText="1"/>
    </xf>
    <xf numFmtId="0" fontId="25" fillId="33" borderId="11" xfId="0" applyFont="1" applyFill="1" applyBorder="1" applyAlignment="1">
      <alignment vertical="center" wrapText="1"/>
    </xf>
    <xf numFmtId="0" fontId="30" fillId="0" borderId="0" xfId="0" applyFont="1" applyAlignment="1">
      <alignment vertical="center"/>
    </xf>
    <xf numFmtId="167" fontId="30" fillId="0" borderId="0" xfId="0" applyNumberFormat="1" applyFont="1"/>
    <xf numFmtId="0" fontId="25" fillId="33" borderId="11" xfId="0" applyFont="1" applyFill="1" applyBorder="1" applyAlignment="1">
      <alignment horizontal="center" vertical="center"/>
    </xf>
    <xf numFmtId="0" fontId="25" fillId="33" borderId="0" xfId="0" applyFont="1" applyFill="1" applyAlignment="1">
      <alignment horizontal="center"/>
    </xf>
    <xf numFmtId="0" fontId="25" fillId="0" borderId="21" xfId="0" applyFont="1" applyBorder="1" applyAlignment="1">
      <alignment horizontal="center" vertical="center" wrapText="1"/>
    </xf>
    <xf numFmtId="0" fontId="25" fillId="0" borderId="21" xfId="0" applyFont="1" applyBorder="1" applyAlignment="1">
      <alignment vertical="center" wrapText="1"/>
    </xf>
    <xf numFmtId="0" fontId="25" fillId="33" borderId="21" xfId="0" applyFont="1" applyFill="1" applyBorder="1" applyAlignment="1">
      <alignment horizontal="center" vertical="center"/>
    </xf>
    <xf numFmtId="0" fontId="29" fillId="0" borderId="21" xfId="0" applyFont="1" applyBorder="1" applyAlignment="1">
      <alignment vertical="center" wrapText="1"/>
    </xf>
    <xf numFmtId="3" fontId="25" fillId="33" borderId="21" xfId="0" applyNumberFormat="1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 wrapText="1"/>
    </xf>
    <xf numFmtId="0" fontId="25" fillId="0" borderId="23" xfId="0" applyFont="1" applyBorder="1" applyAlignment="1">
      <alignment vertical="center" wrapText="1"/>
    </xf>
    <xf numFmtId="0" fontId="25" fillId="33" borderId="23" xfId="0" applyFont="1" applyFill="1" applyBorder="1" applyAlignment="1">
      <alignment horizontal="center" vertical="center"/>
    </xf>
    <xf numFmtId="0" fontId="25" fillId="0" borderId="24" xfId="0" applyFont="1" applyBorder="1" applyAlignment="1">
      <alignment horizontal="center" vertical="center" wrapText="1"/>
    </xf>
    <xf numFmtId="0" fontId="25" fillId="0" borderId="24" xfId="0" applyFont="1" applyBorder="1" applyAlignment="1">
      <alignment vertical="center" wrapText="1"/>
    </xf>
    <xf numFmtId="0" fontId="25" fillId="33" borderId="24" xfId="0" applyFont="1" applyFill="1" applyBorder="1" applyAlignment="1">
      <alignment horizontal="center" vertical="center"/>
    </xf>
    <xf numFmtId="3" fontId="25" fillId="33" borderId="24" xfId="0" applyNumberFormat="1" applyFont="1" applyFill="1" applyBorder="1" applyAlignment="1">
      <alignment horizontal="center" vertical="center"/>
    </xf>
    <xf numFmtId="0" fontId="25" fillId="0" borderId="25" xfId="0" applyFont="1" applyBorder="1" applyAlignment="1">
      <alignment vertical="center" wrapText="1"/>
    </xf>
    <xf numFmtId="0" fontId="25" fillId="0" borderId="25" xfId="0" applyFont="1" applyBorder="1" applyAlignment="1">
      <alignment horizontal="center" vertical="center" wrapText="1"/>
    </xf>
    <xf numFmtId="0" fontId="25" fillId="33" borderId="25" xfId="0" applyFont="1" applyFill="1" applyBorder="1" applyAlignment="1">
      <alignment horizontal="center" vertical="center"/>
    </xf>
    <xf numFmtId="3" fontId="25" fillId="33" borderId="25" xfId="0" applyNumberFormat="1" applyFont="1" applyFill="1" applyBorder="1" applyAlignment="1">
      <alignment horizontal="center" vertical="center"/>
    </xf>
    <xf numFmtId="0" fontId="30" fillId="0" borderId="20" xfId="0" applyFont="1" applyBorder="1"/>
    <xf numFmtId="0" fontId="30" fillId="0" borderId="21" xfId="0" applyFont="1" applyBorder="1"/>
    <xf numFmtId="0" fontId="30" fillId="0" borderId="24" xfId="0" applyFont="1" applyBorder="1"/>
    <xf numFmtId="0" fontId="25" fillId="0" borderId="20" xfId="0" applyFont="1" applyBorder="1" applyAlignment="1">
      <alignment vertical="center" wrapText="1"/>
    </xf>
    <xf numFmtId="0" fontId="28" fillId="0" borderId="21" xfId="0" applyFont="1" applyBorder="1" applyAlignment="1">
      <alignment vertical="center" wrapText="1"/>
    </xf>
    <xf numFmtId="0" fontId="32" fillId="0" borderId="21" xfId="0" applyFont="1" applyBorder="1" applyAlignment="1">
      <alignment vertical="center" wrapText="1"/>
    </xf>
    <xf numFmtId="0" fontId="25" fillId="33" borderId="11" xfId="0" applyFont="1" applyFill="1" applyBorder="1" applyAlignment="1">
      <alignment horizontal="center" vertical="center" wrapText="1"/>
    </xf>
    <xf numFmtId="0" fontId="30" fillId="0" borderId="11" xfId="0" applyFont="1" applyBorder="1"/>
    <xf numFmtId="0" fontId="32" fillId="0" borderId="11" xfId="0" applyFont="1" applyBorder="1" applyAlignment="1">
      <alignment vertical="center" wrapText="1"/>
    </xf>
    <xf numFmtId="0" fontId="30" fillId="0" borderId="13" xfId="0" applyFont="1" applyBorder="1"/>
    <xf numFmtId="0" fontId="29" fillId="0" borderId="13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9" fillId="33" borderId="0" xfId="0" applyFont="1" applyFill="1" applyAlignment="1">
      <alignment horizontal="center"/>
    </xf>
    <xf numFmtId="0" fontId="24" fillId="33" borderId="0" xfId="0" applyFont="1" applyFill="1" applyAlignment="1">
      <alignment horizontal="center"/>
    </xf>
    <xf numFmtId="0" fontId="31" fillId="0" borderId="11" xfId="0" applyFont="1" applyBorder="1" applyAlignment="1">
      <alignment vertical="center" wrapText="1"/>
    </xf>
    <xf numFmtId="0" fontId="30" fillId="0" borderId="14" xfId="0" applyFont="1" applyBorder="1"/>
    <xf numFmtId="0" fontId="30" fillId="0" borderId="23" xfId="0" applyFont="1" applyBorder="1"/>
    <xf numFmtId="0" fontId="25" fillId="33" borderId="23" xfId="0" applyFont="1" applyFill="1" applyBorder="1" applyAlignment="1">
      <alignment horizontal="center"/>
    </xf>
    <xf numFmtId="0" fontId="25" fillId="33" borderId="20" xfId="0" applyFont="1" applyFill="1" applyBorder="1" applyAlignment="1">
      <alignment horizontal="center" vertical="center"/>
    </xf>
    <xf numFmtId="0" fontId="25" fillId="33" borderId="21" xfId="0" applyFont="1" applyFill="1" applyBorder="1" applyAlignment="1">
      <alignment vertical="center" wrapText="1"/>
    </xf>
    <xf numFmtId="0" fontId="27" fillId="33" borderId="21" xfId="0" applyFont="1" applyFill="1" applyBorder="1" applyAlignment="1">
      <alignment horizontal="center" vertical="center" wrapText="1"/>
    </xf>
    <xf numFmtId="0" fontId="25" fillId="33" borderId="21" xfId="0" applyFont="1" applyFill="1" applyBorder="1" applyAlignment="1">
      <alignment horizontal="center" vertical="center" wrapText="1"/>
    </xf>
    <xf numFmtId="0" fontId="25" fillId="33" borderId="25" xfId="0" applyFont="1" applyFill="1" applyBorder="1" applyAlignment="1">
      <alignment horizontal="center" vertical="center" wrapText="1"/>
    </xf>
    <xf numFmtId="3" fontId="25" fillId="33" borderId="21" xfId="0" applyNumberFormat="1" applyFont="1" applyFill="1" applyBorder="1" applyAlignment="1">
      <alignment horizontal="center" vertical="center" wrapText="1"/>
    </xf>
    <xf numFmtId="0" fontId="25" fillId="33" borderId="24" xfId="0" applyFont="1" applyFill="1" applyBorder="1" applyAlignment="1">
      <alignment horizontal="center" vertical="center" wrapText="1"/>
    </xf>
    <xf numFmtId="3" fontId="25" fillId="33" borderId="24" xfId="0" applyNumberFormat="1" applyFont="1" applyFill="1" applyBorder="1" applyAlignment="1">
      <alignment horizontal="center" vertical="center" wrapText="1"/>
    </xf>
    <xf numFmtId="0" fontId="30" fillId="33" borderId="25" xfId="0" applyFont="1" applyFill="1" applyBorder="1" applyAlignment="1">
      <alignment horizontal="center" vertical="center"/>
    </xf>
    <xf numFmtId="0" fontId="30" fillId="33" borderId="21" xfId="0" applyFont="1" applyFill="1" applyBorder="1" applyAlignment="1">
      <alignment horizontal="center" vertical="center"/>
    </xf>
    <xf numFmtId="3" fontId="30" fillId="33" borderId="21" xfId="0" applyNumberFormat="1" applyFont="1" applyFill="1" applyBorder="1" applyAlignment="1">
      <alignment horizontal="center" vertical="center"/>
    </xf>
    <xf numFmtId="3" fontId="30" fillId="33" borderId="24" xfId="0" applyNumberFormat="1" applyFont="1" applyFill="1" applyBorder="1" applyAlignment="1">
      <alignment horizontal="center" vertical="center"/>
    </xf>
    <xf numFmtId="3" fontId="30" fillId="33" borderId="25" xfId="0" applyNumberFormat="1" applyFont="1" applyFill="1" applyBorder="1" applyAlignment="1">
      <alignment horizontal="center" vertical="center"/>
    </xf>
    <xf numFmtId="0" fontId="30" fillId="33" borderId="24" xfId="0" applyFont="1" applyFill="1" applyBorder="1" applyAlignment="1">
      <alignment horizontal="center" vertical="center"/>
    </xf>
    <xf numFmtId="0" fontId="30" fillId="33" borderId="23" xfId="0" applyFont="1" applyFill="1" applyBorder="1" applyAlignment="1">
      <alignment horizontal="center" vertical="center"/>
    </xf>
    <xf numFmtId="0" fontId="30" fillId="33" borderId="0" xfId="0" applyFont="1" applyFill="1" applyAlignment="1">
      <alignment horizontal="center"/>
    </xf>
    <xf numFmtId="0" fontId="30" fillId="33" borderId="20" xfId="0" applyFont="1" applyFill="1" applyBorder="1" applyAlignment="1">
      <alignment horizontal="center" vertical="center"/>
    </xf>
    <xf numFmtId="0" fontId="30" fillId="33" borderId="23" xfId="0" applyFont="1" applyFill="1" applyBorder="1" applyAlignment="1">
      <alignment horizont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3" fontId="29" fillId="35" borderId="19" xfId="0" applyNumberFormat="1" applyFont="1" applyFill="1" applyBorder="1" applyAlignment="1">
      <alignment horizontal="center" vertical="center" wrapText="1"/>
    </xf>
    <xf numFmtId="3" fontId="29" fillId="35" borderId="25" xfId="0" applyNumberFormat="1" applyFont="1" applyFill="1" applyBorder="1" applyAlignment="1">
      <alignment horizontal="center" vertical="center" wrapText="1"/>
    </xf>
    <xf numFmtId="3" fontId="29" fillId="35" borderId="21" xfId="0" applyNumberFormat="1" applyFont="1" applyFill="1" applyBorder="1" applyAlignment="1">
      <alignment horizontal="center" vertical="center" wrapText="1"/>
    </xf>
    <xf numFmtId="3" fontId="29" fillId="35" borderId="24" xfId="0" applyNumberFormat="1" applyFont="1" applyFill="1" applyBorder="1" applyAlignment="1">
      <alignment horizontal="center" vertical="center" wrapText="1"/>
    </xf>
    <xf numFmtId="3" fontId="25" fillId="35" borderId="25" xfId="0" applyNumberFormat="1" applyFont="1" applyFill="1" applyBorder="1" applyAlignment="1">
      <alignment horizontal="center" vertical="center" wrapText="1"/>
    </xf>
    <xf numFmtId="3" fontId="25" fillId="35" borderId="21" xfId="0" applyNumberFormat="1" applyFont="1" applyFill="1" applyBorder="1" applyAlignment="1">
      <alignment horizontal="center" vertical="center" wrapText="1"/>
    </xf>
    <xf numFmtId="0" fontId="30" fillId="35" borderId="21" xfId="0" applyFont="1" applyFill="1" applyBorder="1" applyAlignment="1">
      <alignment vertical="center"/>
    </xf>
    <xf numFmtId="3" fontId="25" fillId="33" borderId="19" xfId="0" applyNumberFormat="1" applyFont="1" applyFill="1" applyBorder="1" applyAlignment="1">
      <alignment horizontal="center" vertical="center" wrapText="1"/>
    </xf>
    <xf numFmtId="0" fontId="25" fillId="33" borderId="19" xfId="0" applyFont="1" applyFill="1" applyBorder="1" applyAlignment="1">
      <alignment horizontal="center" vertical="center" wrapText="1"/>
    </xf>
    <xf numFmtId="3" fontId="25" fillId="33" borderId="19" xfId="0" applyNumberFormat="1" applyFont="1" applyFill="1" applyBorder="1" applyAlignment="1">
      <alignment horizontal="center" vertical="center"/>
    </xf>
    <xf numFmtId="0" fontId="25" fillId="35" borderId="23" xfId="0" applyFont="1" applyFill="1" applyBorder="1" applyAlignment="1">
      <alignment horizontal="center" vertical="center" wrapText="1"/>
    </xf>
    <xf numFmtId="0" fontId="30" fillId="33" borderId="25" xfId="0" applyFont="1" applyFill="1" applyBorder="1" applyAlignment="1">
      <alignment horizontal="center" vertical="center" wrapText="1"/>
    </xf>
    <xf numFmtId="3" fontId="30" fillId="33" borderId="25" xfId="0" applyNumberFormat="1" applyFont="1" applyFill="1" applyBorder="1" applyAlignment="1">
      <alignment horizontal="center" vertical="center" wrapText="1"/>
    </xf>
    <xf numFmtId="0" fontId="31" fillId="33" borderId="25" xfId="0" applyFont="1" applyFill="1" applyBorder="1" applyAlignment="1">
      <alignment horizontal="center" vertical="center" wrapText="1"/>
    </xf>
    <xf numFmtId="0" fontId="31" fillId="33" borderId="25" xfId="0" applyFont="1" applyFill="1" applyBorder="1" applyAlignment="1">
      <alignment horizontal="center" vertical="center"/>
    </xf>
    <xf numFmtId="0" fontId="30" fillId="33" borderId="21" xfId="0" applyFont="1" applyFill="1" applyBorder="1" applyAlignment="1">
      <alignment horizontal="center" vertical="center" wrapText="1"/>
    </xf>
    <xf numFmtId="3" fontId="30" fillId="33" borderId="21" xfId="0" applyNumberFormat="1" applyFont="1" applyFill="1" applyBorder="1" applyAlignment="1">
      <alignment horizontal="center" vertical="center" wrapText="1"/>
    </xf>
    <xf numFmtId="0" fontId="31" fillId="33" borderId="21" xfId="0" applyFont="1" applyFill="1" applyBorder="1" applyAlignment="1">
      <alignment horizontal="center" vertical="center" wrapText="1"/>
    </xf>
    <xf numFmtId="0" fontId="31" fillId="33" borderId="21" xfId="0" applyFont="1" applyFill="1" applyBorder="1" applyAlignment="1">
      <alignment horizontal="center" vertical="center"/>
    </xf>
    <xf numFmtId="3" fontId="30" fillId="33" borderId="21" xfId="0" applyNumberFormat="1" applyFont="1" applyFill="1" applyBorder="1" applyAlignment="1">
      <alignment horizontal="center"/>
    </xf>
    <xf numFmtId="0" fontId="30" fillId="33" borderId="21" xfId="0" applyFont="1" applyFill="1" applyBorder="1" applyAlignment="1">
      <alignment horizontal="center"/>
    </xf>
    <xf numFmtId="0" fontId="30" fillId="33" borderId="24" xfId="0" applyFont="1" applyFill="1" applyBorder="1" applyAlignment="1">
      <alignment horizontal="center" vertical="center" wrapText="1"/>
    </xf>
    <xf numFmtId="3" fontId="30" fillId="33" borderId="24" xfId="0" applyNumberFormat="1" applyFont="1" applyFill="1" applyBorder="1" applyAlignment="1">
      <alignment horizontal="center" vertical="center" wrapText="1"/>
    </xf>
    <xf numFmtId="0" fontId="31" fillId="33" borderId="24" xfId="0" applyFont="1" applyFill="1" applyBorder="1" applyAlignment="1">
      <alignment horizontal="center" vertical="center" wrapText="1"/>
    </xf>
    <xf numFmtId="0" fontId="31" fillId="33" borderId="24" xfId="0" applyFont="1" applyFill="1" applyBorder="1" applyAlignment="1">
      <alignment horizontal="center" vertical="center"/>
    </xf>
    <xf numFmtId="0" fontId="30" fillId="33" borderId="22" xfId="0" applyFont="1" applyFill="1" applyBorder="1" applyAlignment="1">
      <alignment vertical="center"/>
    </xf>
    <xf numFmtId="4" fontId="30" fillId="33" borderId="21" xfId="0" applyNumberFormat="1" applyFont="1" applyFill="1" applyBorder="1" applyAlignment="1">
      <alignment horizontal="center" vertical="center"/>
    </xf>
    <xf numFmtId="0" fontId="30" fillId="33" borderId="0" xfId="0" applyFont="1" applyFill="1" applyAlignment="1">
      <alignment vertical="center"/>
    </xf>
    <xf numFmtId="0" fontId="30" fillId="33" borderId="22" xfId="0" applyFont="1" applyFill="1" applyBorder="1" applyAlignment="1">
      <alignment horizontal="center" vertical="center"/>
    </xf>
    <xf numFmtId="4" fontId="30" fillId="33" borderId="21" xfId="0" applyNumberFormat="1" applyFont="1" applyFill="1" applyBorder="1" applyAlignment="1">
      <alignment vertical="center"/>
    </xf>
    <xf numFmtId="0" fontId="30" fillId="33" borderId="21" xfId="0" applyFont="1" applyFill="1" applyBorder="1" applyAlignment="1">
      <alignment vertical="center"/>
    </xf>
    <xf numFmtId="4" fontId="30" fillId="33" borderId="24" xfId="0" applyNumberFormat="1" applyFont="1" applyFill="1" applyBorder="1" applyAlignment="1">
      <alignment horizontal="center" vertical="center"/>
    </xf>
    <xf numFmtId="4" fontId="30" fillId="33" borderId="24" xfId="0" applyNumberFormat="1" applyFont="1" applyFill="1" applyBorder="1" applyAlignment="1">
      <alignment vertical="center"/>
    </xf>
    <xf numFmtId="0" fontId="30" fillId="33" borderId="24" xfId="0" applyFont="1" applyFill="1" applyBorder="1" applyAlignment="1">
      <alignment vertical="center"/>
    </xf>
    <xf numFmtId="0" fontId="30" fillId="33" borderId="23" xfId="0" applyFont="1" applyFill="1" applyBorder="1" applyAlignment="1">
      <alignment vertical="center"/>
    </xf>
    <xf numFmtId="0" fontId="30" fillId="33" borderId="0" xfId="0" applyFont="1" applyFill="1"/>
    <xf numFmtId="3" fontId="30" fillId="33" borderId="20" xfId="0" applyNumberFormat="1" applyFont="1" applyFill="1" applyBorder="1" applyAlignment="1">
      <alignment horizontal="center" vertical="center"/>
    </xf>
    <xf numFmtId="3" fontId="30" fillId="33" borderId="11" xfId="0" applyNumberFormat="1" applyFont="1" applyFill="1" applyBorder="1" applyAlignment="1">
      <alignment horizontal="center" vertical="center"/>
    </xf>
    <xf numFmtId="0" fontId="30" fillId="33" borderId="23" xfId="0" applyFont="1" applyFill="1" applyBorder="1"/>
    <xf numFmtId="0" fontId="24" fillId="33" borderId="0" xfId="0" applyFont="1" applyFill="1"/>
    <xf numFmtId="0" fontId="29" fillId="35" borderId="15" xfId="0" applyFont="1" applyFill="1" applyBorder="1" applyAlignment="1">
      <alignment vertical="center" wrapText="1"/>
    </xf>
    <xf numFmtId="0" fontId="25" fillId="35" borderId="17" xfId="0" applyFont="1" applyFill="1" applyBorder="1" applyAlignment="1">
      <alignment horizontal="center" vertical="center" wrapText="1"/>
    </xf>
    <xf numFmtId="3" fontId="29" fillId="35" borderId="17" xfId="0" applyNumberFormat="1" applyFont="1" applyFill="1" applyBorder="1" applyAlignment="1">
      <alignment horizontal="center" vertical="center" wrapText="1"/>
    </xf>
    <xf numFmtId="3" fontId="30" fillId="35" borderId="17" xfId="0" applyNumberFormat="1" applyFont="1" applyFill="1" applyBorder="1" applyAlignment="1">
      <alignment horizontal="center" vertical="center"/>
    </xf>
    <xf numFmtId="3" fontId="25" fillId="35" borderId="17" xfId="0" applyNumberFormat="1" applyFont="1" applyFill="1" applyBorder="1" applyAlignment="1">
      <alignment horizontal="center" vertical="center"/>
    </xf>
    <xf numFmtId="3" fontId="25" fillId="35" borderId="16" xfId="0" applyNumberFormat="1" applyFont="1" applyFill="1" applyBorder="1" applyAlignment="1">
      <alignment horizontal="center" vertical="center"/>
    </xf>
    <xf numFmtId="0" fontId="30" fillId="35" borderId="0" xfId="0" applyFont="1" applyFill="1"/>
    <xf numFmtId="0" fontId="30" fillId="35" borderId="17" xfId="0" applyFont="1" applyFill="1" applyBorder="1"/>
    <xf numFmtId="0" fontId="30" fillId="35" borderId="17" xfId="0" applyFont="1" applyFill="1" applyBorder="1" applyAlignment="1">
      <alignment horizontal="center"/>
    </xf>
    <xf numFmtId="0" fontId="24" fillId="35" borderId="17" xfId="0" applyFont="1" applyFill="1" applyBorder="1" applyAlignment="1">
      <alignment horizontal="center" vertical="center" wrapText="1"/>
    </xf>
    <xf numFmtId="3" fontId="24" fillId="35" borderId="17" xfId="0" applyNumberFormat="1" applyFont="1" applyFill="1" applyBorder="1" applyAlignment="1">
      <alignment horizontal="center" vertical="center" wrapText="1"/>
    </xf>
    <xf numFmtId="0" fontId="29" fillId="35" borderId="17" xfId="0" applyFont="1" applyFill="1" applyBorder="1" applyAlignment="1">
      <alignment horizontal="center" vertical="center" wrapText="1"/>
    </xf>
    <xf numFmtId="0" fontId="33" fillId="35" borderId="17" xfId="0" applyFont="1" applyFill="1" applyBorder="1" applyAlignment="1">
      <alignment horizontal="center" vertical="center" wrapText="1"/>
    </xf>
    <xf numFmtId="0" fontId="29" fillId="35" borderId="17" xfId="0" applyFont="1" applyFill="1" applyBorder="1" applyAlignment="1">
      <alignment horizontal="center" vertical="center"/>
    </xf>
    <xf numFmtId="0" fontId="24" fillId="35" borderId="17" xfId="0" applyFont="1" applyFill="1" applyBorder="1" applyAlignment="1">
      <alignment horizontal="center" vertical="center"/>
    </xf>
    <xf numFmtId="0" fontId="25" fillId="35" borderId="17" xfId="0" applyFont="1" applyFill="1" applyBorder="1" applyAlignment="1">
      <alignment horizontal="center" vertical="center"/>
    </xf>
    <xf numFmtId="0" fontId="30" fillId="35" borderId="17" xfId="0" applyFont="1" applyFill="1" applyBorder="1" applyAlignment="1">
      <alignment horizontal="center" vertical="center"/>
    </xf>
    <xf numFmtId="0" fontId="31" fillId="35" borderId="17" xfId="0" applyFont="1" applyFill="1" applyBorder="1" applyAlignment="1">
      <alignment horizontal="center" vertical="center"/>
    </xf>
    <xf numFmtId="0" fontId="25" fillId="35" borderId="16" xfId="0" applyFont="1" applyFill="1" applyBorder="1" applyAlignment="1">
      <alignment horizontal="center" vertical="center"/>
    </xf>
    <xf numFmtId="0" fontId="30" fillId="35" borderId="17" xfId="0" applyFont="1" applyFill="1" applyBorder="1" applyAlignment="1">
      <alignment vertical="center"/>
    </xf>
    <xf numFmtId="0" fontId="25" fillId="35" borderId="16" xfId="0" applyFont="1" applyFill="1" applyBorder="1" applyAlignment="1">
      <alignment vertical="center"/>
    </xf>
    <xf numFmtId="0" fontId="28" fillId="35" borderId="15" xfId="0" applyFont="1" applyFill="1" applyBorder="1" applyAlignment="1">
      <alignment vertical="center" wrapText="1"/>
    </xf>
    <xf numFmtId="0" fontId="25" fillId="35" borderId="17" xfId="0" applyFont="1" applyFill="1" applyBorder="1" applyAlignment="1">
      <alignment horizontal="center"/>
    </xf>
    <xf numFmtId="0" fontId="25" fillId="35" borderId="16" xfId="0" applyFont="1" applyFill="1" applyBorder="1" applyAlignment="1">
      <alignment horizont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4" fontId="25" fillId="0" borderId="0" xfId="0" applyNumberFormat="1" applyFont="1" applyAlignment="1">
      <alignment horizontal="center" vertical="center"/>
    </xf>
    <xf numFmtId="4" fontId="25" fillId="0" borderId="0" xfId="0" applyNumberFormat="1" applyFont="1" applyAlignment="1">
      <alignment horizontal="right" vertical="center"/>
    </xf>
    <xf numFmtId="0" fontId="25" fillId="0" borderId="0" xfId="0" applyFont="1" applyAlignment="1">
      <alignment vertical="center"/>
    </xf>
    <xf numFmtId="4" fontId="29" fillId="0" borderId="0" xfId="0" applyNumberFormat="1" applyFont="1" applyAlignment="1">
      <alignment horizontal="center" vertical="center" wrapText="1"/>
    </xf>
    <xf numFmtId="0" fontId="29" fillId="0" borderId="0" xfId="0" applyFont="1" applyAlignment="1">
      <alignment horizontal="centerContinuous" vertical="center" wrapText="1"/>
    </xf>
    <xf numFmtId="0" fontId="25" fillId="0" borderId="0" xfId="0" applyFont="1" applyAlignment="1">
      <alignment horizontal="centerContinuous" vertical="center" wrapText="1"/>
    </xf>
    <xf numFmtId="0" fontId="29" fillId="0" borderId="0" xfId="0" applyFont="1" applyAlignment="1">
      <alignment horizontal="center" vertical="center"/>
    </xf>
    <xf numFmtId="4" fontId="29" fillId="0" borderId="0" xfId="0" applyNumberFormat="1" applyFont="1" applyAlignment="1">
      <alignment horizontal="center" vertical="center"/>
    </xf>
    <xf numFmtId="4" fontId="29" fillId="0" borderId="10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4" fontId="29" fillId="0" borderId="11" xfId="0" applyNumberFormat="1" applyFont="1" applyBorder="1" applyAlignment="1">
      <alignment horizontal="center" vertical="center"/>
    </xf>
    <xf numFmtId="0" fontId="28" fillId="0" borderId="0" xfId="0" applyFont="1" applyAlignment="1">
      <alignment vertical="center" wrapText="1"/>
    </xf>
    <xf numFmtId="4" fontId="25" fillId="0" borderId="11" xfId="0" applyNumberFormat="1" applyFont="1" applyBorder="1" applyAlignment="1">
      <alignment horizontal="center" vertical="center" wrapText="1"/>
    </xf>
    <xf numFmtId="3" fontId="25" fillId="0" borderId="11" xfId="0" applyNumberFormat="1" applyFont="1" applyBorder="1" applyAlignment="1">
      <alignment horizontal="center" vertical="center" wrapText="1"/>
    </xf>
    <xf numFmtId="0" fontId="28" fillId="0" borderId="0" xfId="42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9" fillId="0" borderId="12" xfId="0" applyFont="1" applyBorder="1" applyAlignment="1">
      <alignment horizontal="center" vertical="center" wrapText="1"/>
    </xf>
    <xf numFmtId="3" fontId="25" fillId="33" borderId="11" xfId="0" applyNumberFormat="1" applyFont="1" applyFill="1" applyBorder="1" applyAlignment="1">
      <alignment horizontal="center" vertical="center" wrapText="1"/>
    </xf>
    <xf numFmtId="3" fontId="25" fillId="0" borderId="0" xfId="0" applyNumberFormat="1" applyFont="1" applyAlignment="1">
      <alignment vertical="center"/>
    </xf>
    <xf numFmtId="3" fontId="25" fillId="0" borderId="11" xfId="0" applyNumberFormat="1" applyFont="1" applyBorder="1" applyAlignment="1">
      <alignment horizontal="center" vertical="center"/>
    </xf>
    <xf numFmtId="3" fontId="29" fillId="0" borderId="11" xfId="0" applyNumberFormat="1" applyFont="1" applyBorder="1" applyAlignment="1">
      <alignment vertical="center" wrapText="1"/>
    </xf>
    <xf numFmtId="166" fontId="25" fillId="0" borderId="11" xfId="0" applyNumberFormat="1" applyFont="1" applyBorder="1" applyAlignment="1">
      <alignment horizontal="center" vertical="center"/>
    </xf>
    <xf numFmtId="166" fontId="25" fillId="0" borderId="11" xfId="0" applyNumberFormat="1" applyFont="1" applyBorder="1" applyAlignment="1">
      <alignment horizontal="center" vertical="center" wrapText="1"/>
    </xf>
    <xf numFmtId="4" fontId="29" fillId="0" borderId="10" xfId="0" applyNumberFormat="1" applyFont="1" applyBorder="1" applyAlignment="1">
      <alignment horizontal="center" vertical="center" wrapText="1"/>
    </xf>
    <xf numFmtId="43" fontId="25" fillId="0" borderId="11" xfId="0" applyNumberFormat="1" applyFont="1" applyBorder="1" applyAlignment="1">
      <alignment horizontal="right" vertical="center" wrapText="1"/>
    </xf>
    <xf numFmtId="43" fontId="29" fillId="0" borderId="11" xfId="0" applyNumberFormat="1" applyFont="1" applyBorder="1" applyAlignment="1">
      <alignment horizontal="center" vertical="center"/>
    </xf>
    <xf numFmtId="43" fontId="29" fillId="0" borderId="10" xfId="0" applyNumberFormat="1" applyFont="1" applyBorder="1" applyAlignment="1">
      <alignment vertical="center"/>
    </xf>
    <xf numFmtId="43" fontId="25" fillId="0" borderId="0" xfId="0" applyNumberFormat="1" applyFont="1" applyAlignment="1">
      <alignment horizontal="right" vertical="center"/>
    </xf>
    <xf numFmtId="168" fontId="29" fillId="0" borderId="0" xfId="0" applyNumberFormat="1" applyFont="1" applyAlignment="1">
      <alignment horizontal="center" vertical="center" wrapText="1"/>
    </xf>
    <xf numFmtId="4" fontId="29" fillId="33" borderId="0" xfId="0" applyNumberFormat="1" applyFont="1" applyFill="1" applyAlignment="1">
      <alignment horizontal="center" vertical="center" wrapText="1"/>
    </xf>
    <xf numFmtId="0" fontId="29" fillId="0" borderId="15" xfId="0" applyFont="1" applyBorder="1" applyAlignment="1">
      <alignment vertical="center" wrapText="1"/>
    </xf>
    <xf numFmtId="0" fontId="29" fillId="0" borderId="17" xfId="0" applyFont="1" applyBorder="1" applyAlignment="1">
      <alignment vertical="center" wrapText="1"/>
    </xf>
    <xf numFmtId="0" fontId="29" fillId="0" borderId="16" xfId="0" applyFont="1" applyBorder="1" applyAlignment="1">
      <alignment vertical="center" wrapText="1"/>
    </xf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6" xr:uid="{00000000-0005-0000-0000-00001B000000}"/>
    <cellStyle name="Comma 3" xfId="56" xr:uid="{00000000-0005-0000-0000-00001C000000}"/>
    <cellStyle name="Comma0" xfId="43" xr:uid="{00000000-0005-0000-0000-00001D000000}"/>
    <cellStyle name="Currency 2" xfId="49" xr:uid="{00000000-0005-0000-0000-00001E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7" xr:uid="{00000000-0005-0000-0000-000029000000}"/>
    <cellStyle name="Normal 3" xfId="44" xr:uid="{00000000-0005-0000-0000-00002A000000}"/>
    <cellStyle name="Normal 4" xfId="50" xr:uid="{00000000-0005-0000-0000-00002B000000}"/>
    <cellStyle name="Normal 5" xfId="54" xr:uid="{00000000-0005-0000-0000-00002C000000}"/>
    <cellStyle name="Normal 6" xfId="52" xr:uid="{00000000-0005-0000-0000-00002D000000}"/>
    <cellStyle name="Normal 7" xfId="55" xr:uid="{00000000-0005-0000-0000-00002E000000}"/>
    <cellStyle name="Note" xfId="15" builtinId="10" customBuiltin="1"/>
    <cellStyle name="OPSKRIF" xfId="42" xr:uid="{00000000-0005-0000-0000-000030000000}"/>
    <cellStyle name="OPSKRIFTE" xfId="53" xr:uid="{00000000-0005-0000-0000-000031000000}"/>
    <cellStyle name="Output" xfId="10" builtinId="21" customBuiltin="1"/>
    <cellStyle name="Percent 2" xfId="48" xr:uid="{00000000-0005-0000-0000-000034000000}"/>
    <cellStyle name="Percent 3" xfId="45" xr:uid="{00000000-0005-0000-0000-000035000000}"/>
    <cellStyle name="Title" xfId="1" builtinId="15" customBuiltin="1"/>
    <cellStyle name="Total" xfId="17" builtinId="25" customBuiltin="1"/>
    <cellStyle name="TR1" xfId="51" xr:uid="{00000000-0005-0000-0000-000038000000}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  <color rgb="FFFFFF66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9E45-5BFC-4FEF-ACC4-3D57BBC1164C}">
  <dimension ref="A1:M94"/>
  <sheetViews>
    <sheetView tabSelected="1" topLeftCell="A55" workbookViewId="0">
      <selection activeCell="M12" sqref="M12"/>
    </sheetView>
  </sheetViews>
  <sheetFormatPr defaultColWidth="13.140625" defaultRowHeight="11.25"/>
  <cols>
    <col min="1" max="1" width="4.85546875" style="66" customWidth="1"/>
    <col min="2" max="2" width="6.7109375" style="136" customWidth="1"/>
    <col min="3" max="3" width="43.28515625" style="137" customWidth="1"/>
    <col min="4" max="4" width="5.140625" style="66" customWidth="1"/>
    <col min="5" max="5" width="7.7109375" style="66" customWidth="1"/>
    <col min="6" max="6" width="8.7109375" style="138" customWidth="1"/>
    <col min="7" max="7" width="9.5703125" style="139" customWidth="1"/>
    <col min="8" max="8" width="2.85546875" style="140" customWidth="1"/>
    <col min="9" max="10" width="11.5703125" style="66" customWidth="1"/>
    <col min="11" max="16384" width="13.140625" style="140"/>
  </cols>
  <sheetData>
    <row r="1" spans="1:10" ht="20.45" hidden="1" customHeight="1">
      <c r="A1" s="135" t="s">
        <v>45</v>
      </c>
    </row>
    <row r="2" spans="1:10" ht="15" customHeight="1">
      <c r="A2" s="135" t="s">
        <v>110</v>
      </c>
      <c r="G2" s="168" t="s">
        <v>106</v>
      </c>
    </row>
    <row r="3" spans="1:10" ht="15" customHeight="1">
      <c r="A3" s="135" t="s">
        <v>108</v>
      </c>
      <c r="G3" s="141"/>
    </row>
    <row r="4" spans="1:10" ht="15" customHeight="1">
      <c r="A4" s="135" t="s">
        <v>109</v>
      </c>
      <c r="G4" s="167" t="s">
        <v>107</v>
      </c>
    </row>
    <row r="5" spans="1:10" ht="15" customHeight="1">
      <c r="A5" s="142"/>
      <c r="B5" s="143"/>
      <c r="C5" s="143"/>
      <c r="E5" s="144"/>
      <c r="G5" s="145"/>
    </row>
    <row r="6" spans="1:10" s="134" customFormat="1" ht="25.15" customHeight="1">
      <c r="A6" s="65" t="s">
        <v>7</v>
      </c>
      <c r="B6" s="64" t="s">
        <v>8</v>
      </c>
      <c r="C6" s="65" t="s">
        <v>9</v>
      </c>
      <c r="D6" s="64" t="s">
        <v>10</v>
      </c>
      <c r="E6" s="64" t="s">
        <v>33</v>
      </c>
      <c r="F6" s="146" t="s">
        <v>11</v>
      </c>
      <c r="G6" s="162" t="s">
        <v>12</v>
      </c>
      <c r="I6" s="1" t="s">
        <v>104</v>
      </c>
      <c r="J6" s="1" t="s">
        <v>111</v>
      </c>
    </row>
    <row r="7" spans="1:10" s="134" customFormat="1" ht="4.9000000000000004" customHeight="1">
      <c r="A7" s="147"/>
      <c r="B7" s="67"/>
      <c r="C7" s="148"/>
      <c r="D7" s="67"/>
      <c r="E7" s="67"/>
      <c r="F7" s="149"/>
      <c r="G7" s="164"/>
      <c r="I7" s="67"/>
      <c r="J7" s="67"/>
    </row>
    <row r="8" spans="1:10" ht="16.149999999999999" customHeight="1">
      <c r="A8" s="4"/>
      <c r="B8" s="147"/>
      <c r="C8" s="150" t="s">
        <v>105</v>
      </c>
      <c r="D8" s="4"/>
      <c r="E8" s="152"/>
      <c r="F8" s="152"/>
      <c r="G8" s="163"/>
      <c r="H8" s="157"/>
      <c r="I8" s="158"/>
      <c r="J8" s="158"/>
    </row>
    <row r="9" spans="1:10" ht="10.9" customHeight="1">
      <c r="A9" s="4"/>
      <c r="B9" s="147"/>
      <c r="C9" s="150"/>
      <c r="D9" s="4"/>
      <c r="E9" s="152"/>
      <c r="F9" s="152"/>
      <c r="G9" s="163"/>
      <c r="H9" s="157"/>
      <c r="I9" s="158"/>
      <c r="J9" s="158"/>
    </row>
    <row r="10" spans="1:10" ht="21.6" customHeight="1">
      <c r="A10" s="4"/>
      <c r="B10" s="147" t="s">
        <v>58</v>
      </c>
      <c r="C10" s="153" t="s">
        <v>43</v>
      </c>
      <c r="D10" s="4"/>
      <c r="E10" s="152"/>
      <c r="F10" s="152"/>
      <c r="G10" s="163"/>
      <c r="H10" s="157"/>
      <c r="I10" s="158"/>
      <c r="J10" s="158"/>
    </row>
    <row r="11" spans="1:10" ht="13.9" customHeight="1">
      <c r="A11" s="4"/>
      <c r="B11" s="147"/>
      <c r="C11" s="154" t="s">
        <v>46</v>
      </c>
      <c r="D11" s="4"/>
      <c r="E11" s="152"/>
      <c r="F11" s="152"/>
      <c r="G11" s="163"/>
      <c r="H11" s="157"/>
      <c r="I11" s="158"/>
      <c r="J11" s="158"/>
    </row>
    <row r="12" spans="1:10" ht="13.9" customHeight="1">
      <c r="A12" s="4"/>
      <c r="B12" s="147" t="s">
        <v>68</v>
      </c>
      <c r="C12" s="153" t="s">
        <v>43</v>
      </c>
      <c r="D12" s="4"/>
      <c r="E12" s="152"/>
      <c r="F12" s="152"/>
      <c r="G12" s="163"/>
      <c r="H12" s="157"/>
      <c r="I12" s="158"/>
      <c r="J12" s="158"/>
    </row>
    <row r="13" spans="1:10" ht="13.9" customHeight="1">
      <c r="A13" s="4"/>
      <c r="B13" s="147"/>
      <c r="C13" s="154" t="s">
        <v>46</v>
      </c>
      <c r="D13" s="4"/>
      <c r="E13" s="152"/>
      <c r="F13" s="152"/>
      <c r="G13" s="163"/>
      <c r="H13" s="157"/>
      <c r="I13" s="158"/>
      <c r="J13" s="158"/>
    </row>
    <row r="14" spans="1:10" ht="13.9" customHeight="1">
      <c r="A14" s="4"/>
      <c r="B14" s="4" t="s">
        <v>49</v>
      </c>
      <c r="C14" s="36" t="s">
        <v>0</v>
      </c>
      <c r="D14" s="4"/>
      <c r="E14" s="152"/>
      <c r="F14" s="152"/>
      <c r="G14" s="163"/>
      <c r="H14" s="157"/>
      <c r="I14" s="158"/>
      <c r="J14" s="158"/>
    </row>
    <row r="15" spans="1:10" ht="13.9" customHeight="1">
      <c r="A15" s="4"/>
      <c r="B15" s="4"/>
      <c r="C15" s="6"/>
      <c r="D15" s="4"/>
      <c r="E15" s="152"/>
      <c r="F15" s="152"/>
      <c r="G15" s="163"/>
      <c r="H15" s="157"/>
      <c r="I15" s="158"/>
      <c r="J15" s="158"/>
    </row>
    <row r="16" spans="1:10" ht="22.9" customHeight="1">
      <c r="A16" s="4"/>
      <c r="B16" s="4"/>
      <c r="C16" s="6" t="s">
        <v>35</v>
      </c>
      <c r="D16" s="4"/>
      <c r="E16" s="152"/>
      <c r="F16" s="152"/>
      <c r="G16" s="163"/>
      <c r="H16" s="157"/>
      <c r="I16" s="158"/>
      <c r="J16" s="158"/>
    </row>
    <row r="17" spans="1:10" ht="13.9" customHeight="1">
      <c r="A17" s="4"/>
      <c r="B17" s="4"/>
      <c r="C17" s="140"/>
      <c r="D17" s="4"/>
      <c r="E17" s="152"/>
      <c r="F17" s="152"/>
      <c r="G17" s="163"/>
      <c r="H17" s="157"/>
      <c r="I17" s="158"/>
      <c r="J17" s="158"/>
    </row>
    <row r="18" spans="1:10" ht="13.9" customHeight="1">
      <c r="A18" s="4">
        <v>1</v>
      </c>
      <c r="B18" s="4"/>
      <c r="C18" s="6" t="s">
        <v>13</v>
      </c>
      <c r="D18" s="4" t="s">
        <v>30</v>
      </c>
      <c r="E18" s="152">
        <f>SUM(I18:M18)</f>
        <v>910</v>
      </c>
      <c r="F18" s="152"/>
      <c r="G18" s="163">
        <f t="shared" ref="G18" si="0">+E18*F18</f>
        <v>0</v>
      </c>
      <c r="H18" s="157"/>
      <c r="I18" s="158">
        <v>733</v>
      </c>
      <c r="J18" s="158">
        <v>177</v>
      </c>
    </row>
    <row r="19" spans="1:10" ht="13.9" customHeight="1">
      <c r="A19" s="4"/>
      <c r="B19" s="4"/>
      <c r="C19" s="6"/>
      <c r="D19" s="4"/>
      <c r="E19" s="152"/>
      <c r="F19" s="152"/>
      <c r="G19" s="163"/>
      <c r="H19" s="157"/>
      <c r="I19" s="158"/>
      <c r="J19" s="158"/>
    </row>
    <row r="20" spans="1:10" ht="13.9" customHeight="1">
      <c r="A20" s="4"/>
      <c r="B20" s="4"/>
      <c r="C20" s="36" t="s">
        <v>62</v>
      </c>
      <c r="D20" s="4"/>
      <c r="E20" s="152"/>
      <c r="F20" s="152"/>
      <c r="G20" s="163"/>
      <c r="H20" s="157"/>
      <c r="I20" s="158"/>
      <c r="J20" s="158"/>
    </row>
    <row r="21" spans="1:10" ht="13.9" customHeight="1">
      <c r="A21" s="4"/>
      <c r="B21" s="4"/>
      <c r="C21" s="6"/>
      <c r="D21" s="4"/>
      <c r="E21" s="152"/>
      <c r="F21" s="152"/>
      <c r="G21" s="163"/>
      <c r="H21" s="157"/>
      <c r="I21" s="158"/>
      <c r="J21" s="158"/>
    </row>
    <row r="22" spans="1:10" ht="28.9" customHeight="1">
      <c r="A22" s="4">
        <v>2</v>
      </c>
      <c r="B22" s="4"/>
      <c r="C22" s="6" t="s">
        <v>31</v>
      </c>
      <c r="D22" s="4" t="s">
        <v>30</v>
      </c>
      <c r="E22" s="152">
        <f>SUM(I22:M22)</f>
        <v>660</v>
      </c>
      <c r="F22" s="152"/>
      <c r="G22" s="163">
        <f t="shared" ref="G22" si="1">+E22*F22</f>
        <v>0</v>
      </c>
      <c r="H22" s="157"/>
      <c r="I22" s="158">
        <v>542</v>
      </c>
      <c r="J22" s="158">
        <v>118</v>
      </c>
    </row>
    <row r="23" spans="1:10" ht="13.9" customHeight="1">
      <c r="A23" s="4"/>
      <c r="B23" s="4"/>
      <c r="C23" s="6"/>
      <c r="D23" s="4"/>
      <c r="E23" s="152"/>
      <c r="F23" s="152"/>
      <c r="G23" s="163"/>
      <c r="H23" s="157"/>
      <c r="I23" s="158"/>
      <c r="J23" s="158"/>
    </row>
    <row r="24" spans="1:10" ht="21.6" customHeight="1">
      <c r="A24" s="4"/>
      <c r="B24" s="147" t="s">
        <v>59</v>
      </c>
      <c r="C24" s="3" t="s">
        <v>63</v>
      </c>
      <c r="D24" s="4"/>
      <c r="E24" s="152"/>
      <c r="F24" s="152"/>
      <c r="G24" s="163"/>
      <c r="H24" s="157"/>
      <c r="I24" s="158"/>
      <c r="J24" s="158"/>
    </row>
    <row r="25" spans="1:10" ht="13.9" customHeight="1">
      <c r="A25" s="4"/>
      <c r="B25" s="4"/>
      <c r="C25" s="6"/>
      <c r="D25" s="4"/>
      <c r="E25" s="152"/>
      <c r="F25" s="152"/>
      <c r="G25" s="163"/>
      <c r="H25" s="157"/>
      <c r="I25" s="158"/>
      <c r="J25" s="158"/>
    </row>
    <row r="26" spans="1:10" ht="13.9" customHeight="1">
      <c r="A26" s="4"/>
      <c r="B26" s="4" t="s">
        <v>50</v>
      </c>
      <c r="C26" s="5" t="s">
        <v>14</v>
      </c>
      <c r="D26" s="4"/>
      <c r="E26" s="152"/>
      <c r="F26" s="152"/>
      <c r="G26" s="163"/>
      <c r="H26" s="157"/>
      <c r="I26" s="158"/>
      <c r="J26" s="158"/>
    </row>
    <row r="27" spans="1:10" ht="13.9" customHeight="1">
      <c r="A27" s="4"/>
      <c r="B27" s="4"/>
      <c r="C27" s="6"/>
      <c r="D27" s="4"/>
      <c r="E27" s="152"/>
      <c r="F27" s="152"/>
      <c r="G27" s="163"/>
      <c r="H27" s="157"/>
      <c r="I27" s="158"/>
      <c r="J27" s="158"/>
    </row>
    <row r="28" spans="1:10" ht="13.9" customHeight="1">
      <c r="A28" s="4"/>
      <c r="B28" s="4" t="s">
        <v>48</v>
      </c>
      <c r="C28" s="3" t="s">
        <v>20</v>
      </c>
      <c r="D28" s="4"/>
      <c r="E28" s="152"/>
      <c r="F28" s="152"/>
      <c r="G28" s="163"/>
      <c r="H28" s="157"/>
      <c r="I28" s="158"/>
      <c r="J28" s="158"/>
    </row>
    <row r="29" spans="1:10" ht="13.9" customHeight="1">
      <c r="A29" s="4"/>
      <c r="B29" s="4"/>
      <c r="C29" s="6"/>
      <c r="D29" s="4"/>
      <c r="E29" s="152"/>
      <c r="F29" s="152"/>
      <c r="G29" s="163"/>
      <c r="H29" s="157"/>
      <c r="I29" s="158"/>
      <c r="J29" s="158"/>
    </row>
    <row r="30" spans="1:10" ht="13.9" customHeight="1">
      <c r="A30" s="4"/>
      <c r="B30" s="4"/>
      <c r="C30" s="36" t="s">
        <v>16</v>
      </c>
      <c r="D30" s="4"/>
      <c r="E30" s="152"/>
      <c r="F30" s="152"/>
      <c r="G30" s="163"/>
      <c r="H30" s="157"/>
      <c r="I30" s="158"/>
      <c r="J30" s="158"/>
    </row>
    <row r="31" spans="1:10" ht="13.9" customHeight="1">
      <c r="A31" s="4"/>
      <c r="B31" s="4"/>
      <c r="C31" s="6"/>
      <c r="D31" s="4"/>
      <c r="E31" s="152"/>
      <c r="F31" s="152"/>
      <c r="G31" s="163"/>
      <c r="H31" s="157"/>
      <c r="I31" s="158"/>
      <c r="J31" s="158"/>
    </row>
    <row r="32" spans="1:10" ht="13.9" customHeight="1">
      <c r="A32" s="4">
        <v>3</v>
      </c>
      <c r="B32" s="4"/>
      <c r="C32" s="6" t="s">
        <v>71</v>
      </c>
      <c r="D32" s="4" t="s">
        <v>34</v>
      </c>
      <c r="E32" s="152">
        <f>SUM(I32:M32)</f>
        <v>217</v>
      </c>
      <c r="F32" s="152"/>
      <c r="G32" s="163">
        <f t="shared" ref="G32" si="2">+E32*F32</f>
        <v>0</v>
      </c>
      <c r="H32" s="157"/>
      <c r="I32" s="158">
        <v>125</v>
      </c>
      <c r="J32" s="158">
        <v>92</v>
      </c>
    </row>
    <row r="33" spans="1:10" ht="13.9" customHeight="1">
      <c r="A33" s="4"/>
      <c r="B33" s="4"/>
      <c r="C33" s="6"/>
      <c r="D33" s="4"/>
      <c r="E33" s="152"/>
      <c r="F33" s="152"/>
      <c r="G33" s="163"/>
      <c r="H33" s="157"/>
      <c r="I33" s="158"/>
      <c r="J33" s="158"/>
    </row>
    <row r="34" spans="1:10" ht="13.9" customHeight="1">
      <c r="A34" s="4">
        <v>4</v>
      </c>
      <c r="B34" s="4"/>
      <c r="C34" s="6" t="s">
        <v>74</v>
      </c>
      <c r="D34" s="4" t="s">
        <v>34</v>
      </c>
      <c r="E34" s="152">
        <f>SUM(I34:M34)</f>
        <v>534</v>
      </c>
      <c r="F34" s="152"/>
      <c r="G34" s="163">
        <f t="shared" ref="G34" si="3">+E34*F34</f>
        <v>0</v>
      </c>
      <c r="H34" s="157"/>
      <c r="I34" s="158">
        <v>309</v>
      </c>
      <c r="J34" s="158">
        <v>225</v>
      </c>
    </row>
    <row r="35" spans="1:10" ht="13.9" customHeight="1">
      <c r="A35" s="4"/>
      <c r="B35" s="4"/>
      <c r="C35" s="6"/>
      <c r="D35" s="4"/>
      <c r="E35" s="152"/>
      <c r="F35" s="152"/>
      <c r="G35" s="163"/>
      <c r="H35" s="157"/>
      <c r="I35" s="158"/>
      <c r="J35" s="158"/>
    </row>
    <row r="36" spans="1:10" ht="13.9" customHeight="1">
      <c r="A36" s="4"/>
      <c r="B36" s="4" t="s">
        <v>51</v>
      </c>
      <c r="C36" s="5" t="s">
        <v>26</v>
      </c>
      <c r="D36" s="4"/>
      <c r="E36" s="152"/>
      <c r="F36" s="152"/>
      <c r="G36" s="163"/>
      <c r="H36" s="157"/>
      <c r="I36" s="158"/>
      <c r="J36" s="158"/>
    </row>
    <row r="37" spans="1:10" ht="13.9" customHeight="1">
      <c r="A37" s="4"/>
      <c r="B37" s="4"/>
      <c r="C37" s="6"/>
      <c r="D37" s="4"/>
      <c r="E37" s="152"/>
      <c r="F37" s="152"/>
      <c r="G37" s="163"/>
      <c r="H37" s="157"/>
      <c r="I37" s="158"/>
      <c r="J37" s="158"/>
    </row>
    <row r="38" spans="1:10" ht="24" customHeight="1">
      <c r="A38" s="4"/>
      <c r="B38" s="4"/>
      <c r="C38" s="6" t="s">
        <v>75</v>
      </c>
      <c r="D38" s="4"/>
      <c r="E38" s="152"/>
      <c r="F38" s="152"/>
      <c r="G38" s="163"/>
      <c r="H38" s="157"/>
      <c r="I38" s="158"/>
      <c r="J38" s="158"/>
    </row>
    <row r="39" spans="1:10" ht="13.9" customHeight="1">
      <c r="A39" s="4"/>
      <c r="B39" s="4"/>
      <c r="C39" s="6"/>
      <c r="D39" s="4"/>
      <c r="E39" s="152"/>
      <c r="F39" s="152"/>
      <c r="G39" s="163"/>
      <c r="H39" s="157"/>
      <c r="I39" s="158"/>
      <c r="J39" s="158"/>
    </row>
    <row r="40" spans="1:10" ht="13.9" customHeight="1">
      <c r="A40" s="4">
        <v>5</v>
      </c>
      <c r="B40" s="4"/>
      <c r="C40" s="6" t="s">
        <v>27</v>
      </c>
      <c r="D40" s="4" t="s">
        <v>6</v>
      </c>
      <c r="E40" s="152">
        <f>SUM(I40:M40)</f>
        <v>928</v>
      </c>
      <c r="F40" s="152"/>
      <c r="G40" s="163">
        <f t="shared" ref="G40" si="4">+E40*F40</f>
        <v>0</v>
      </c>
      <c r="H40" s="157"/>
      <c r="I40" s="158">
        <v>520</v>
      </c>
      <c r="J40" s="158">
        <v>408</v>
      </c>
    </row>
    <row r="41" spans="1:10" ht="13.9" customHeight="1">
      <c r="A41" s="4"/>
      <c r="B41" s="4"/>
      <c r="D41" s="4"/>
      <c r="E41" s="152"/>
      <c r="F41" s="152"/>
      <c r="G41" s="163"/>
      <c r="H41" s="157"/>
      <c r="I41" s="158"/>
      <c r="J41" s="158"/>
    </row>
    <row r="42" spans="1:10" ht="13.9" customHeight="1">
      <c r="A42" s="4"/>
      <c r="B42" s="4"/>
      <c r="C42" s="134" t="s">
        <v>60</v>
      </c>
      <c r="D42" s="4"/>
      <c r="E42" s="152"/>
      <c r="F42" s="152"/>
      <c r="G42" s="163"/>
      <c r="H42" s="157"/>
      <c r="I42" s="158"/>
      <c r="J42" s="158"/>
    </row>
    <row r="43" spans="1:10" ht="13.9" customHeight="1">
      <c r="A43" s="4"/>
      <c r="B43" s="4"/>
      <c r="C43" s="140"/>
      <c r="D43" s="4"/>
      <c r="E43" s="152"/>
      <c r="F43" s="152"/>
      <c r="G43" s="163"/>
      <c r="H43" s="157"/>
      <c r="I43" s="158"/>
      <c r="J43" s="158"/>
    </row>
    <row r="44" spans="1:10" ht="13.9" customHeight="1">
      <c r="A44" s="4">
        <v>6</v>
      </c>
      <c r="B44" s="4"/>
      <c r="C44" s="140" t="s">
        <v>61</v>
      </c>
      <c r="D44" s="4" t="s">
        <v>1</v>
      </c>
      <c r="E44" s="152">
        <f>SUM(I44:M44)</f>
        <v>1482</v>
      </c>
      <c r="F44" s="152"/>
      <c r="G44" s="163">
        <f t="shared" ref="G44" si="5">+E44*F44</f>
        <v>0</v>
      </c>
      <c r="H44" s="157"/>
      <c r="I44" s="158">
        <v>878</v>
      </c>
      <c r="J44" s="158">
        <v>604</v>
      </c>
    </row>
    <row r="45" spans="1:10" ht="13.9" customHeight="1">
      <c r="A45" s="4"/>
      <c r="B45" s="4"/>
      <c r="C45" s="140"/>
      <c r="D45" s="4"/>
      <c r="E45" s="152"/>
      <c r="F45" s="152"/>
      <c r="G45" s="163"/>
      <c r="H45" s="157"/>
      <c r="I45" s="158"/>
      <c r="J45" s="158"/>
    </row>
    <row r="46" spans="1:10" ht="13.9" customHeight="1">
      <c r="A46" s="4"/>
      <c r="B46" s="147" t="s">
        <v>52</v>
      </c>
      <c r="C46" s="3" t="s">
        <v>17</v>
      </c>
      <c r="D46" s="4"/>
      <c r="E46" s="152"/>
      <c r="F46" s="152"/>
      <c r="G46" s="163"/>
      <c r="H46" s="157"/>
      <c r="I46" s="158"/>
      <c r="J46" s="158"/>
    </row>
    <row r="47" spans="1:10" ht="13.9" customHeight="1">
      <c r="A47" s="4"/>
      <c r="B47" s="4"/>
      <c r="C47" s="6"/>
      <c r="D47" s="4"/>
      <c r="E47" s="152"/>
      <c r="F47" s="152"/>
      <c r="G47" s="163"/>
      <c r="H47" s="157"/>
      <c r="I47" s="158"/>
      <c r="J47" s="158"/>
    </row>
    <row r="48" spans="1:10" ht="13.9" customHeight="1">
      <c r="A48" s="4"/>
      <c r="B48" s="4" t="s">
        <v>47</v>
      </c>
      <c r="C48" s="5" t="s">
        <v>18</v>
      </c>
      <c r="D48" s="4"/>
      <c r="E48" s="152"/>
      <c r="F48" s="152"/>
      <c r="G48" s="163"/>
      <c r="H48" s="157"/>
      <c r="I48" s="158"/>
      <c r="J48" s="158"/>
    </row>
    <row r="49" spans="1:10" ht="13.9" customHeight="1">
      <c r="A49" s="4"/>
      <c r="B49" s="4"/>
      <c r="C49" s="6"/>
      <c r="D49" s="4"/>
      <c r="E49" s="152"/>
      <c r="F49" s="152"/>
      <c r="G49" s="163"/>
      <c r="H49" s="157"/>
      <c r="I49" s="158"/>
      <c r="J49" s="158"/>
    </row>
    <row r="50" spans="1:10" ht="13.9" customHeight="1">
      <c r="A50" s="4">
        <v>7</v>
      </c>
      <c r="B50" s="4"/>
      <c r="C50" s="6" t="s">
        <v>40</v>
      </c>
      <c r="D50" s="4" t="s">
        <v>2</v>
      </c>
      <c r="E50" s="152">
        <f>SUM(I50:M50)</f>
        <v>29</v>
      </c>
      <c r="F50" s="152"/>
      <c r="G50" s="163">
        <f t="shared" ref="G50" si="6">+E50*F50</f>
        <v>0</v>
      </c>
      <c r="H50" s="157"/>
      <c r="I50" s="158">
        <v>22</v>
      </c>
      <c r="J50" s="158">
        <v>7</v>
      </c>
    </row>
    <row r="51" spans="1:10" ht="13.9" customHeight="1">
      <c r="A51" s="4"/>
      <c r="B51" s="4"/>
      <c r="C51" s="6"/>
      <c r="D51" s="4"/>
      <c r="E51" s="152"/>
      <c r="F51" s="152"/>
      <c r="G51" s="163"/>
      <c r="H51" s="157"/>
      <c r="I51" s="158"/>
      <c r="J51" s="158"/>
    </row>
    <row r="52" spans="1:10" ht="13.9" customHeight="1">
      <c r="A52" s="4"/>
      <c r="B52" s="155" t="s">
        <v>53</v>
      </c>
      <c r="C52" s="3" t="s">
        <v>4</v>
      </c>
      <c r="D52" s="4"/>
      <c r="E52" s="152"/>
      <c r="F52" s="152"/>
      <c r="G52" s="163"/>
      <c r="H52" s="157"/>
      <c r="I52" s="158"/>
      <c r="J52" s="158"/>
    </row>
    <row r="53" spans="1:10" ht="13.9" customHeight="1">
      <c r="A53" s="4"/>
      <c r="C53" s="6"/>
      <c r="D53" s="4"/>
      <c r="E53" s="152"/>
      <c r="F53" s="152"/>
      <c r="G53" s="163"/>
      <c r="H53" s="157"/>
      <c r="I53" s="158"/>
      <c r="J53" s="158"/>
    </row>
    <row r="54" spans="1:10" ht="13.9" customHeight="1">
      <c r="A54" s="4"/>
      <c r="B54" s="136" t="s">
        <v>54</v>
      </c>
      <c r="C54" s="5" t="s">
        <v>5</v>
      </c>
      <c r="D54" s="4"/>
      <c r="E54" s="152"/>
      <c r="F54" s="152"/>
      <c r="G54" s="163"/>
      <c r="H54" s="157"/>
      <c r="I54" s="158"/>
      <c r="J54" s="158"/>
    </row>
    <row r="55" spans="1:10" ht="13.9" customHeight="1">
      <c r="A55" s="4"/>
      <c r="C55" s="6"/>
      <c r="D55" s="4"/>
      <c r="E55" s="152"/>
      <c r="F55" s="152"/>
      <c r="G55" s="163"/>
      <c r="H55" s="157"/>
      <c r="I55" s="158"/>
      <c r="J55" s="158"/>
    </row>
    <row r="56" spans="1:10" ht="13.9" customHeight="1">
      <c r="A56" s="4"/>
      <c r="C56" s="6" t="s">
        <v>42</v>
      </c>
      <c r="D56" s="4"/>
      <c r="E56" s="152"/>
      <c r="F56" s="152"/>
      <c r="G56" s="163"/>
      <c r="H56" s="157"/>
      <c r="I56" s="158"/>
      <c r="J56" s="158"/>
    </row>
    <row r="57" spans="1:10" ht="13.9" customHeight="1">
      <c r="A57" s="4"/>
      <c r="C57" s="6"/>
      <c r="D57" s="4"/>
      <c r="E57" s="152"/>
      <c r="F57" s="152"/>
      <c r="G57" s="163"/>
      <c r="H57" s="157"/>
      <c r="I57" s="158"/>
      <c r="J57" s="158"/>
    </row>
    <row r="58" spans="1:10" ht="13.9" customHeight="1">
      <c r="A58" s="4">
        <v>8</v>
      </c>
      <c r="C58" s="6" t="s">
        <v>19</v>
      </c>
      <c r="D58" s="4" t="s">
        <v>34</v>
      </c>
      <c r="E58" s="152">
        <f>SUM(I58:M58)</f>
        <v>1024</v>
      </c>
      <c r="F58" s="152"/>
      <c r="G58" s="163">
        <f t="shared" ref="G58" si="7">+E58*F58</f>
        <v>0</v>
      </c>
      <c r="H58" s="157"/>
      <c r="I58" s="158">
        <v>733</v>
      </c>
      <c r="J58" s="158">
        <v>291</v>
      </c>
    </row>
    <row r="59" spans="1:10" ht="13.9" customHeight="1">
      <c r="A59" s="4"/>
      <c r="B59" s="4"/>
      <c r="C59" s="6"/>
      <c r="D59" s="4"/>
      <c r="E59" s="152"/>
      <c r="F59" s="152"/>
      <c r="G59" s="163"/>
      <c r="H59" s="157"/>
      <c r="I59" s="158"/>
      <c r="J59" s="158"/>
    </row>
    <row r="60" spans="1:10" ht="13.9" customHeight="1">
      <c r="A60" s="4"/>
      <c r="B60" s="4"/>
      <c r="C60" s="5" t="s">
        <v>65</v>
      </c>
      <c r="D60" s="4"/>
      <c r="E60" s="152"/>
      <c r="F60" s="152"/>
      <c r="G60" s="163"/>
      <c r="H60" s="157"/>
      <c r="I60" s="158"/>
      <c r="J60" s="158"/>
    </row>
    <row r="61" spans="1:10" ht="13.9" customHeight="1">
      <c r="A61" s="4"/>
      <c r="B61" s="4"/>
      <c r="C61" s="6"/>
      <c r="D61" s="4"/>
      <c r="E61" s="152"/>
      <c r="F61" s="152"/>
      <c r="G61" s="163"/>
      <c r="H61" s="157"/>
      <c r="I61" s="158"/>
      <c r="J61" s="158"/>
    </row>
    <row r="62" spans="1:10" ht="13.9" customHeight="1">
      <c r="A62" s="4">
        <v>9</v>
      </c>
      <c r="B62" s="4"/>
      <c r="C62" s="6" t="s">
        <v>72</v>
      </c>
      <c r="D62" s="4" t="s">
        <v>30</v>
      </c>
      <c r="E62" s="152">
        <f>SUM(I62:M62)</f>
        <v>21.35</v>
      </c>
      <c r="F62" s="152"/>
      <c r="G62" s="163">
        <f t="shared" ref="G62" si="8">+E62*F62</f>
        <v>0</v>
      </c>
      <c r="H62" s="157"/>
      <c r="I62" s="158">
        <f>0.19*65</f>
        <v>12.35</v>
      </c>
      <c r="J62" s="158">
        <v>9</v>
      </c>
    </row>
    <row r="63" spans="1:10" ht="13.9" customHeight="1">
      <c r="A63" s="4"/>
      <c r="B63" s="4"/>
      <c r="C63" s="6"/>
      <c r="D63" s="4"/>
      <c r="E63" s="152"/>
      <c r="F63" s="152"/>
      <c r="G63" s="163"/>
      <c r="H63" s="157"/>
      <c r="I63" s="158"/>
      <c r="J63" s="158"/>
    </row>
    <row r="64" spans="1:10" ht="13.9" customHeight="1">
      <c r="A64" s="4">
        <v>10</v>
      </c>
      <c r="B64" s="4"/>
      <c r="C64" s="6" t="s">
        <v>22</v>
      </c>
      <c r="D64" s="4" t="s">
        <v>30</v>
      </c>
      <c r="E64" s="152">
        <f>SUM(I64:M64)</f>
        <v>250</v>
      </c>
      <c r="F64" s="152"/>
      <c r="G64" s="163">
        <f t="shared" ref="G64" si="9">+E64*F64</f>
        <v>0</v>
      </c>
      <c r="H64" s="157"/>
      <c r="I64" s="158">
        <v>191</v>
      </c>
      <c r="J64" s="158">
        <v>59</v>
      </c>
    </row>
    <row r="65" spans="1:10" ht="13.9" customHeight="1">
      <c r="A65" s="4"/>
      <c r="B65" s="4"/>
      <c r="C65" s="6"/>
      <c r="D65" s="4"/>
      <c r="E65" s="152"/>
      <c r="F65" s="152"/>
      <c r="G65" s="163"/>
      <c r="H65" s="157"/>
      <c r="I65" s="158"/>
      <c r="J65" s="158"/>
    </row>
    <row r="66" spans="1:10" ht="13.9" customHeight="1">
      <c r="A66" s="4"/>
      <c r="B66" s="4" t="s">
        <v>55</v>
      </c>
      <c r="C66" s="5" t="s">
        <v>66</v>
      </c>
      <c r="D66" s="4"/>
      <c r="E66" s="152"/>
      <c r="F66" s="152"/>
      <c r="G66" s="163"/>
      <c r="H66" s="157"/>
      <c r="I66" s="158"/>
      <c r="J66" s="158"/>
    </row>
    <row r="67" spans="1:10" ht="13.9" customHeight="1">
      <c r="A67" s="4"/>
      <c r="B67" s="4"/>
      <c r="C67" s="6"/>
      <c r="D67" s="4"/>
      <c r="E67" s="152"/>
      <c r="F67" s="152"/>
      <c r="G67" s="163"/>
      <c r="H67" s="157"/>
      <c r="I67" s="158"/>
      <c r="J67" s="158"/>
    </row>
    <row r="68" spans="1:10" ht="13.9" customHeight="1">
      <c r="A68" s="4"/>
      <c r="B68" s="4"/>
      <c r="C68" s="36" t="s">
        <v>102</v>
      </c>
      <c r="D68" s="4"/>
      <c r="E68" s="152"/>
      <c r="F68" s="152"/>
      <c r="G68" s="163"/>
      <c r="H68" s="157"/>
      <c r="I68" s="158"/>
      <c r="J68" s="158"/>
    </row>
    <row r="69" spans="1:10" ht="13.9" customHeight="1">
      <c r="A69" s="4"/>
      <c r="B69" s="4"/>
      <c r="C69" s="6"/>
      <c r="D69" s="4"/>
      <c r="E69" s="152"/>
      <c r="F69" s="152"/>
      <c r="G69" s="163"/>
      <c r="H69" s="157"/>
      <c r="I69" s="158"/>
      <c r="J69" s="158"/>
    </row>
    <row r="70" spans="1:10" ht="13.9" customHeight="1">
      <c r="A70" s="4">
        <v>11</v>
      </c>
      <c r="B70" s="4"/>
      <c r="C70" s="6" t="s">
        <v>103</v>
      </c>
      <c r="D70" s="4" t="s">
        <v>34</v>
      </c>
      <c r="E70" s="152">
        <f>SUM(I70:M70)</f>
        <v>595</v>
      </c>
      <c r="F70" s="152"/>
      <c r="G70" s="163">
        <f t="shared" ref="G70" si="10">+E70*F70</f>
        <v>0</v>
      </c>
      <c r="H70" s="157"/>
      <c r="I70" s="158">
        <v>478</v>
      </c>
      <c r="J70" s="158">
        <v>117</v>
      </c>
    </row>
    <row r="71" spans="1:10" ht="13.9" customHeight="1">
      <c r="A71" s="4"/>
      <c r="B71" s="4"/>
      <c r="C71" s="140"/>
      <c r="D71" s="4"/>
      <c r="E71" s="152"/>
      <c r="F71" s="152"/>
      <c r="G71" s="163"/>
      <c r="H71" s="157"/>
      <c r="I71" s="158"/>
      <c r="J71" s="158"/>
    </row>
    <row r="72" spans="1:10" ht="13.9" customHeight="1">
      <c r="A72" s="68"/>
      <c r="B72" s="4" t="s">
        <v>56</v>
      </c>
      <c r="C72" s="3" t="s">
        <v>23</v>
      </c>
      <c r="D72" s="4"/>
      <c r="E72" s="152"/>
      <c r="F72" s="152"/>
      <c r="G72" s="163"/>
      <c r="H72" s="157"/>
      <c r="I72" s="158"/>
      <c r="J72" s="158"/>
    </row>
    <row r="73" spans="1:10" ht="13.9" customHeight="1">
      <c r="A73" s="68"/>
      <c r="B73" s="4"/>
      <c r="C73" s="6"/>
      <c r="D73" s="4"/>
      <c r="E73" s="152"/>
      <c r="F73" s="152"/>
      <c r="G73" s="163"/>
      <c r="H73" s="157"/>
      <c r="I73" s="158"/>
      <c r="J73" s="158"/>
    </row>
    <row r="74" spans="1:10" ht="13.9" customHeight="1">
      <c r="A74" s="68"/>
      <c r="B74" s="4"/>
      <c r="C74" s="6" t="s">
        <v>24</v>
      </c>
      <c r="D74" s="4"/>
      <c r="E74" s="152"/>
      <c r="F74" s="152"/>
      <c r="G74" s="163"/>
      <c r="H74" s="157"/>
      <c r="I74" s="158"/>
      <c r="J74" s="158"/>
    </row>
    <row r="75" spans="1:10" ht="13.9" customHeight="1">
      <c r="A75" s="68"/>
      <c r="B75" s="4"/>
      <c r="C75" s="6"/>
      <c r="D75" s="4"/>
      <c r="E75" s="152"/>
      <c r="F75" s="152"/>
      <c r="G75" s="163"/>
      <c r="H75" s="157"/>
      <c r="I75" s="158"/>
      <c r="J75" s="158"/>
    </row>
    <row r="76" spans="1:10" ht="13.9" customHeight="1">
      <c r="A76" s="68">
        <v>12</v>
      </c>
      <c r="B76" s="4"/>
      <c r="C76" s="6" t="s">
        <v>25</v>
      </c>
      <c r="D76" s="4" t="s">
        <v>30</v>
      </c>
      <c r="E76" s="161">
        <f>SUM(I76:M76)</f>
        <v>3.9</v>
      </c>
      <c r="F76" s="152"/>
      <c r="G76" s="163">
        <f t="shared" ref="G76" si="11">+E76*F76</f>
        <v>0</v>
      </c>
      <c r="H76" s="157"/>
      <c r="I76" s="160">
        <v>2</v>
      </c>
      <c r="J76" s="160">
        <v>1.9</v>
      </c>
    </row>
    <row r="77" spans="1:10" ht="13.9" customHeight="1">
      <c r="A77" s="68"/>
      <c r="B77" s="4"/>
      <c r="C77" s="6"/>
      <c r="D77" s="4"/>
      <c r="E77" s="161"/>
      <c r="F77" s="152"/>
      <c r="G77" s="163"/>
      <c r="H77" s="157"/>
      <c r="I77" s="160"/>
      <c r="J77" s="160"/>
    </row>
    <row r="78" spans="1:10" ht="13.9" customHeight="1">
      <c r="A78" s="68"/>
      <c r="B78" s="4"/>
      <c r="C78" s="36" t="s">
        <v>29</v>
      </c>
      <c r="D78" s="4"/>
      <c r="E78" s="161"/>
      <c r="F78" s="152"/>
      <c r="G78" s="163"/>
      <c r="H78" s="157"/>
      <c r="I78" s="160"/>
      <c r="J78" s="160"/>
    </row>
    <row r="79" spans="1:10" ht="13.9" customHeight="1">
      <c r="A79" s="68"/>
      <c r="B79" s="4"/>
      <c r="C79" s="6"/>
      <c r="D79" s="4"/>
      <c r="E79" s="161"/>
      <c r="F79" s="152"/>
      <c r="G79" s="163"/>
      <c r="H79" s="157"/>
      <c r="I79" s="160"/>
      <c r="J79" s="160"/>
    </row>
    <row r="80" spans="1:10" ht="13.9" customHeight="1">
      <c r="A80" s="68">
        <v>13</v>
      </c>
      <c r="B80" s="4"/>
      <c r="C80" s="6" t="s">
        <v>25</v>
      </c>
      <c r="D80" s="4" t="s">
        <v>30</v>
      </c>
      <c r="E80" s="161">
        <f>SUM(I80:M80)</f>
        <v>3.2</v>
      </c>
      <c r="F80" s="152"/>
      <c r="G80" s="163">
        <f t="shared" ref="G80" si="12">+E80*F80</f>
        <v>0</v>
      </c>
      <c r="H80" s="157"/>
      <c r="I80" s="160">
        <v>2</v>
      </c>
      <c r="J80" s="160">
        <v>1.2</v>
      </c>
    </row>
    <row r="81" spans="1:13" ht="13.9" customHeight="1">
      <c r="A81" s="5"/>
      <c r="B81" s="5"/>
      <c r="C81" s="5"/>
      <c r="D81" s="5"/>
      <c r="E81" s="159"/>
      <c r="F81" s="159"/>
      <c r="G81" s="164"/>
      <c r="H81" s="157"/>
      <c r="I81" s="158"/>
      <c r="J81" s="158"/>
    </row>
    <row r="82" spans="1:13" ht="24.6" customHeight="1">
      <c r="A82" s="68"/>
      <c r="B82" s="4" t="s">
        <v>57</v>
      </c>
      <c r="C82" s="3" t="s">
        <v>39</v>
      </c>
      <c r="D82" s="4"/>
      <c r="E82" s="152"/>
      <c r="F82" s="152"/>
      <c r="G82" s="163"/>
      <c r="H82" s="157"/>
      <c r="I82" s="158"/>
      <c r="J82" s="158"/>
    </row>
    <row r="83" spans="1:13" ht="13.9" customHeight="1">
      <c r="A83" s="68"/>
      <c r="B83" s="4"/>
      <c r="C83" s="3"/>
      <c r="D83" s="4"/>
      <c r="E83" s="152"/>
      <c r="F83" s="152"/>
      <c r="G83" s="163"/>
      <c r="H83" s="157"/>
      <c r="I83" s="158"/>
      <c r="J83" s="158"/>
    </row>
    <row r="84" spans="1:13" ht="22.9" customHeight="1">
      <c r="A84" s="68"/>
      <c r="B84" s="4"/>
      <c r="C84" s="3" t="s">
        <v>32</v>
      </c>
      <c r="D84" s="4"/>
      <c r="E84" s="152"/>
      <c r="F84" s="152"/>
      <c r="G84" s="163"/>
      <c r="H84" s="157"/>
      <c r="I84" s="158"/>
      <c r="J84" s="158"/>
    </row>
    <row r="85" spans="1:13" ht="13.9" customHeight="1">
      <c r="A85" s="68"/>
      <c r="B85" s="4"/>
      <c r="C85" s="6"/>
      <c r="D85" s="4"/>
      <c r="E85" s="152"/>
      <c r="F85" s="152"/>
      <c r="G85" s="163"/>
      <c r="H85" s="157"/>
      <c r="I85" s="158"/>
      <c r="J85" s="158"/>
    </row>
    <row r="86" spans="1:13" ht="46.15" customHeight="1">
      <c r="A86" s="68">
        <v>14</v>
      </c>
      <c r="B86" s="4"/>
      <c r="C86" s="7" t="s">
        <v>38</v>
      </c>
      <c r="D86" s="34" t="s">
        <v>6</v>
      </c>
      <c r="E86" s="152">
        <f>SUM(I86:M86)</f>
        <v>928</v>
      </c>
      <c r="F86" s="152"/>
      <c r="G86" s="163">
        <f t="shared" ref="G86" si="13">+E86*F86</f>
        <v>0</v>
      </c>
      <c r="H86" s="157"/>
      <c r="I86" s="158">
        <v>520</v>
      </c>
      <c r="J86" s="158">
        <v>408</v>
      </c>
    </row>
    <row r="87" spans="1:13" ht="10.15" customHeight="1">
      <c r="A87" s="4"/>
      <c r="B87" s="10"/>
      <c r="C87" s="7"/>
      <c r="D87" s="10"/>
      <c r="E87" s="156"/>
      <c r="F87" s="151"/>
      <c r="G87" s="163"/>
      <c r="I87" s="69"/>
      <c r="J87" s="69"/>
    </row>
    <row r="88" spans="1:13" ht="15.6" customHeight="1">
      <c r="A88" s="169" t="s">
        <v>67</v>
      </c>
      <c r="B88" s="170"/>
      <c r="C88" s="170"/>
      <c r="D88" s="170"/>
      <c r="E88" s="170"/>
      <c r="F88" s="171"/>
      <c r="G88" s="165">
        <f>SUM(G8:G87)</f>
        <v>0</v>
      </c>
    </row>
    <row r="89" spans="1:13" ht="26.25" customHeight="1">
      <c r="G89" s="166"/>
    </row>
    <row r="90" spans="1:13" ht="14.45" customHeight="1">
      <c r="G90" s="166"/>
    </row>
    <row r="91" spans="1:13">
      <c r="G91" s="166"/>
    </row>
    <row r="94" spans="1:13" s="66" customFormat="1">
      <c r="B94" s="136"/>
      <c r="C94" s="137" t="s">
        <v>44</v>
      </c>
      <c r="F94" s="138"/>
      <c r="G94" s="139"/>
      <c r="H94" s="140"/>
      <c r="K94" s="140"/>
      <c r="L94" s="140"/>
      <c r="M94" s="140"/>
    </row>
  </sheetData>
  <mergeCells count="1">
    <mergeCell ref="A88:F8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19E5-78BE-40FA-89A9-CB8AFFA862FA}">
  <dimension ref="A1:AL103"/>
  <sheetViews>
    <sheetView workbookViewId="0">
      <pane ySplit="1" topLeftCell="A91" activePane="bottomLeft" state="frozen"/>
      <selection pane="bottomLeft" activeCell="I106" sqref="I106"/>
    </sheetView>
  </sheetViews>
  <sheetFormatPr defaultColWidth="8.85546875" defaultRowHeight="11.25"/>
  <cols>
    <col min="1" max="1" width="1.42578125" style="2" customWidth="1"/>
    <col min="2" max="2" width="26.7109375" style="2" customWidth="1"/>
    <col min="3" max="3" width="5.85546875" style="2" customWidth="1"/>
    <col min="4" max="4" width="7.42578125" style="2" customWidth="1"/>
    <col min="5" max="5" width="9.28515625" style="61" customWidth="1"/>
    <col min="6" max="6" width="10.85546875" style="109" customWidth="1"/>
    <col min="7" max="7" width="6.28515625" style="41" customWidth="1"/>
    <col min="8" max="8" width="11.7109375" style="41" customWidth="1"/>
    <col min="9" max="9" width="6.28515625" style="41" customWidth="1"/>
    <col min="10" max="10" width="6.28515625" style="40" customWidth="1"/>
    <col min="11" max="18" width="6.28515625" style="41" customWidth="1"/>
    <col min="19" max="21" width="6.140625" style="109" customWidth="1"/>
    <col min="22" max="30" width="6.140625" style="105" customWidth="1"/>
    <col min="31" max="33" width="6.5703125" style="61" customWidth="1"/>
    <col min="34" max="34" width="6.5703125" style="11" customWidth="1"/>
    <col min="35" max="37" width="8.85546875" style="105" customWidth="1"/>
    <col min="38" max="38" width="8.85546875" style="105"/>
    <col min="39" max="16384" width="8.85546875" style="2"/>
  </cols>
  <sheetData>
    <row r="1" spans="1:38" ht="24.6" customHeight="1">
      <c r="D1" s="70" t="s">
        <v>82</v>
      </c>
      <c r="E1" s="77">
        <v>15100</v>
      </c>
      <c r="F1" s="78" t="s">
        <v>101</v>
      </c>
      <c r="G1" s="77">
        <v>31410</v>
      </c>
      <c r="H1" s="77">
        <v>31411</v>
      </c>
      <c r="I1" s="77">
        <v>31500</v>
      </c>
      <c r="J1" s="77">
        <v>31600</v>
      </c>
      <c r="K1" s="77">
        <v>31610</v>
      </c>
      <c r="L1" s="77">
        <v>31620</v>
      </c>
      <c r="M1" s="79">
        <v>31700</v>
      </c>
      <c r="N1" s="79">
        <v>32000</v>
      </c>
      <c r="O1" s="79">
        <v>33000</v>
      </c>
      <c r="P1" s="79">
        <v>34000</v>
      </c>
      <c r="Q1" s="79">
        <v>35100</v>
      </c>
      <c r="R1" s="79">
        <v>41000</v>
      </c>
      <c r="S1" s="79">
        <v>42110</v>
      </c>
      <c r="T1" s="79">
        <v>42120</v>
      </c>
      <c r="U1" s="79">
        <v>42130</v>
      </c>
      <c r="V1" s="79">
        <v>42140</v>
      </c>
      <c r="W1" s="79">
        <v>42220</v>
      </c>
      <c r="X1" s="79">
        <v>42700</v>
      </c>
      <c r="Y1" s="79">
        <v>43100</v>
      </c>
      <c r="Z1" s="79">
        <v>43200</v>
      </c>
      <c r="AA1" s="79">
        <v>43300</v>
      </c>
      <c r="AB1" s="79">
        <v>43400</v>
      </c>
      <c r="AC1" s="79">
        <v>43720</v>
      </c>
      <c r="AD1" s="79">
        <v>53000</v>
      </c>
      <c r="AE1" s="79">
        <v>68000</v>
      </c>
      <c r="AF1" s="79">
        <v>68100</v>
      </c>
      <c r="AG1" s="79">
        <v>68200</v>
      </c>
      <c r="AH1" s="79">
        <v>68300</v>
      </c>
      <c r="AI1" s="77" t="s">
        <v>97</v>
      </c>
      <c r="AJ1" s="77" t="s">
        <v>98</v>
      </c>
      <c r="AK1" s="77" t="s">
        <v>99</v>
      </c>
      <c r="AL1" s="77" t="s">
        <v>100</v>
      </c>
    </row>
    <row r="2" spans="1:38" ht="13.9" customHeight="1">
      <c r="A2" s="116"/>
      <c r="B2" s="110" t="s">
        <v>14</v>
      </c>
      <c r="C2" s="117"/>
      <c r="D2" s="117"/>
      <c r="E2" s="118"/>
      <c r="F2" s="119"/>
      <c r="G2" s="119"/>
      <c r="H2" s="120"/>
      <c r="I2" s="120"/>
      <c r="J2" s="121"/>
      <c r="K2" s="122"/>
      <c r="L2" s="121"/>
      <c r="M2" s="123"/>
      <c r="N2" s="124"/>
      <c r="O2" s="124"/>
      <c r="P2" s="124"/>
      <c r="Q2" s="124"/>
      <c r="R2" s="124"/>
      <c r="S2" s="124"/>
      <c r="T2" s="123"/>
      <c r="U2" s="123"/>
      <c r="V2" s="125"/>
      <c r="W2" s="125"/>
      <c r="X2" s="126"/>
      <c r="Y2" s="126"/>
      <c r="Z2" s="126"/>
      <c r="AA2" s="126"/>
      <c r="AB2" s="126"/>
      <c r="AC2" s="126"/>
      <c r="AD2" s="126"/>
      <c r="AE2" s="125"/>
      <c r="AF2" s="127"/>
      <c r="AG2" s="126"/>
      <c r="AH2" s="128"/>
      <c r="AI2" s="128"/>
      <c r="AJ2" s="128"/>
      <c r="AK2" s="128"/>
      <c r="AL2" s="128"/>
    </row>
    <row r="3" spans="1:38" ht="11.45" customHeight="1">
      <c r="B3" s="31"/>
      <c r="C3" s="28"/>
      <c r="D3" s="71"/>
      <c r="E3" s="81"/>
      <c r="F3" s="81"/>
      <c r="G3" s="81"/>
      <c r="H3" s="82"/>
      <c r="I3" s="82"/>
      <c r="J3" s="50"/>
      <c r="K3" s="83"/>
      <c r="L3" s="50"/>
      <c r="M3" s="26"/>
      <c r="N3" s="54"/>
      <c r="O3" s="54"/>
      <c r="P3" s="54"/>
      <c r="Q3" s="54"/>
      <c r="R3" s="54"/>
      <c r="S3" s="54"/>
      <c r="T3" s="26"/>
      <c r="U3" s="26"/>
      <c r="V3" s="26"/>
      <c r="W3" s="26"/>
      <c r="X3" s="54"/>
      <c r="Y3" s="54"/>
      <c r="Z3" s="54"/>
      <c r="AA3" s="54"/>
      <c r="AB3" s="54"/>
      <c r="AC3" s="54"/>
      <c r="AD3" s="54"/>
      <c r="AE3" s="26"/>
      <c r="AF3" s="84"/>
      <c r="AG3" s="54"/>
      <c r="AH3" s="26"/>
      <c r="AI3" s="26"/>
      <c r="AJ3" s="26"/>
      <c r="AK3" s="26"/>
      <c r="AL3" s="26"/>
    </row>
    <row r="4" spans="1:38" ht="11.45" customHeight="1">
      <c r="B4" s="32" t="s">
        <v>15</v>
      </c>
      <c r="C4" s="29"/>
      <c r="D4" s="72"/>
      <c r="E4" s="85"/>
      <c r="F4" s="85"/>
      <c r="G4" s="85"/>
      <c r="H4" s="86"/>
      <c r="I4" s="86"/>
      <c r="J4" s="49"/>
      <c r="K4" s="87"/>
      <c r="L4" s="49"/>
      <c r="M4" s="14"/>
      <c r="N4" s="55"/>
      <c r="O4" s="55"/>
      <c r="P4" s="55"/>
      <c r="Q4" s="55"/>
      <c r="R4" s="55"/>
      <c r="S4" s="55"/>
      <c r="T4" s="14"/>
      <c r="U4" s="14"/>
      <c r="V4" s="14"/>
      <c r="W4" s="14"/>
      <c r="X4" s="55"/>
      <c r="Y4" s="55"/>
      <c r="Z4" s="55"/>
      <c r="AA4" s="55"/>
      <c r="AB4" s="55"/>
      <c r="AC4" s="55"/>
      <c r="AD4" s="55"/>
      <c r="AE4" s="14"/>
      <c r="AF4" s="88"/>
      <c r="AG4" s="55"/>
      <c r="AH4" s="14"/>
      <c r="AI4" s="14"/>
      <c r="AJ4" s="14"/>
      <c r="AK4" s="14"/>
      <c r="AL4" s="14"/>
    </row>
    <row r="5" spans="1:38" ht="11.45" customHeight="1">
      <c r="B5" s="13"/>
      <c r="C5" s="29"/>
      <c r="D5" s="72"/>
      <c r="E5" s="85"/>
      <c r="F5" s="85"/>
      <c r="G5" s="85"/>
      <c r="H5" s="86"/>
      <c r="I5" s="86"/>
      <c r="J5" s="49"/>
      <c r="K5" s="87"/>
      <c r="L5" s="49"/>
      <c r="M5" s="14"/>
      <c r="N5" s="55"/>
      <c r="O5" s="55"/>
      <c r="P5" s="55"/>
      <c r="Q5" s="55"/>
      <c r="R5" s="55"/>
      <c r="S5" s="55"/>
      <c r="T5" s="14"/>
      <c r="U5" s="14"/>
      <c r="V5" s="14"/>
      <c r="W5" s="14"/>
      <c r="X5" s="55"/>
      <c r="Y5" s="55"/>
      <c r="Z5" s="55"/>
      <c r="AA5" s="55"/>
      <c r="AB5" s="55"/>
      <c r="AC5" s="55"/>
      <c r="AD5" s="55"/>
      <c r="AE5" s="14"/>
      <c r="AF5" s="88"/>
      <c r="AG5" s="55"/>
      <c r="AH5" s="14"/>
      <c r="AI5" s="14"/>
      <c r="AJ5" s="14"/>
      <c r="AK5" s="14"/>
      <c r="AL5" s="14"/>
    </row>
    <row r="6" spans="1:38" ht="11.45" customHeight="1">
      <c r="B6" s="33" t="s">
        <v>16</v>
      </c>
      <c r="C6" s="29"/>
      <c r="D6" s="72"/>
      <c r="E6" s="85"/>
      <c r="F6" s="85"/>
      <c r="G6" s="85"/>
      <c r="H6" s="86"/>
      <c r="I6" s="86"/>
      <c r="J6" s="49"/>
      <c r="K6" s="87"/>
      <c r="L6" s="49"/>
      <c r="M6" s="14"/>
      <c r="N6" s="55"/>
      <c r="O6" s="55"/>
      <c r="P6" s="55"/>
      <c r="Q6" s="55"/>
      <c r="R6" s="55"/>
      <c r="S6" s="55"/>
      <c r="T6" s="14"/>
      <c r="U6" s="14"/>
      <c r="V6" s="14"/>
      <c r="W6" s="14"/>
      <c r="X6" s="55"/>
      <c r="Y6" s="55"/>
      <c r="Z6" s="55"/>
      <c r="AA6" s="55"/>
      <c r="AB6" s="55"/>
      <c r="AC6" s="55"/>
      <c r="AD6" s="55"/>
      <c r="AE6" s="14"/>
      <c r="AF6" s="88"/>
      <c r="AG6" s="55"/>
      <c r="AH6" s="14"/>
      <c r="AI6" s="14"/>
      <c r="AJ6" s="14"/>
      <c r="AK6" s="14"/>
      <c r="AL6" s="14"/>
    </row>
    <row r="7" spans="1:38" ht="11.45" customHeight="1">
      <c r="B7" s="33"/>
      <c r="C7" s="29"/>
      <c r="D7" s="72"/>
      <c r="E7" s="85"/>
      <c r="F7" s="85"/>
      <c r="G7" s="85"/>
      <c r="H7" s="86"/>
      <c r="I7" s="86"/>
      <c r="J7" s="49"/>
      <c r="K7" s="87"/>
      <c r="L7" s="49"/>
      <c r="M7" s="14"/>
      <c r="N7" s="55"/>
      <c r="O7" s="55"/>
      <c r="P7" s="55"/>
      <c r="Q7" s="55"/>
      <c r="R7" s="55"/>
      <c r="S7" s="55"/>
      <c r="T7" s="14"/>
      <c r="U7" s="14"/>
      <c r="V7" s="14"/>
      <c r="W7" s="14"/>
      <c r="X7" s="55"/>
      <c r="Y7" s="55"/>
      <c r="Z7" s="55"/>
      <c r="AA7" s="55"/>
      <c r="AB7" s="55"/>
      <c r="AC7" s="55"/>
      <c r="AD7" s="55"/>
      <c r="AE7" s="14"/>
      <c r="AF7" s="88"/>
      <c r="AG7" s="55"/>
      <c r="AH7" s="14"/>
      <c r="AI7" s="14"/>
      <c r="AJ7" s="14"/>
      <c r="AK7" s="14"/>
      <c r="AL7" s="14"/>
    </row>
    <row r="8" spans="1:38" ht="11.45" customHeight="1">
      <c r="B8" s="13" t="s">
        <v>22</v>
      </c>
      <c r="C8" s="12" t="s">
        <v>34</v>
      </c>
      <c r="D8" s="72" t="e">
        <f>SUM(F8:AN8)</f>
        <v>#REF!</v>
      </c>
      <c r="E8" s="89" t="e">
        <f>#REF!</f>
        <v>#REF!</v>
      </c>
      <c r="F8" s="86" t="e">
        <f>#REF!</f>
        <v>#REF!</v>
      </c>
      <c r="G8" s="86" t="e">
        <f>#REF!</f>
        <v>#REF!</v>
      </c>
      <c r="H8" s="86" t="e">
        <f>#REF!</f>
        <v>#REF!</v>
      </c>
      <c r="I8" s="86" t="e">
        <f>#REF!</f>
        <v>#REF!</v>
      </c>
      <c r="J8" s="51" t="e">
        <f>#REF!</f>
        <v>#REF!</v>
      </c>
      <c r="K8" s="87"/>
      <c r="L8" s="49"/>
      <c r="M8" s="14"/>
      <c r="N8" s="56" t="e">
        <f>#REF!</f>
        <v>#REF!</v>
      </c>
      <c r="O8" s="56" t="e">
        <f>#REF!</f>
        <v>#REF!</v>
      </c>
      <c r="P8" s="56" t="e">
        <f>#REF!</f>
        <v>#REF!</v>
      </c>
      <c r="Q8" s="56" t="e">
        <f>#REF!</f>
        <v>#REF!</v>
      </c>
      <c r="R8" s="55"/>
      <c r="S8" s="56" t="e">
        <f>#REF!</f>
        <v>#REF!</v>
      </c>
      <c r="T8" s="16" t="e">
        <f>#REF!</f>
        <v>#REF!</v>
      </c>
      <c r="U8" s="16" t="e">
        <f>#REF!</f>
        <v>#REF!</v>
      </c>
      <c r="V8" s="16" t="e">
        <f>#REF!</f>
        <v>#REF!</v>
      </c>
      <c r="W8" s="16" t="e">
        <f>#REF!</f>
        <v>#REF!</v>
      </c>
      <c r="X8" s="56" t="e">
        <f>#REF!</f>
        <v>#REF!</v>
      </c>
      <c r="Y8" s="56" t="e">
        <f>#REF!</f>
        <v>#REF!</v>
      </c>
      <c r="Z8" s="56" t="e">
        <f>#REF!</f>
        <v>#REF!</v>
      </c>
      <c r="AA8" s="56" t="e">
        <f>#REF!</f>
        <v>#REF!</v>
      </c>
      <c r="AB8" s="56" t="e">
        <f>#REF!</f>
        <v>#REF!</v>
      </c>
      <c r="AC8" s="56" t="e">
        <f>#REF!</f>
        <v>#REF!</v>
      </c>
      <c r="AD8" s="56" t="e">
        <f>#REF!</f>
        <v>#REF!</v>
      </c>
      <c r="AE8" s="14"/>
      <c r="AF8" s="88"/>
      <c r="AG8" s="56" t="e">
        <f>#REF!</f>
        <v>#REF!</v>
      </c>
      <c r="AH8" s="14"/>
      <c r="AI8" s="16" t="e">
        <f>#REF!</f>
        <v>#REF!</v>
      </c>
      <c r="AJ8" s="16" t="e">
        <f>#REF!</f>
        <v>#REF!</v>
      </c>
      <c r="AK8" s="16" t="e">
        <f>#REF!</f>
        <v>#REF!</v>
      </c>
      <c r="AL8" s="16"/>
    </row>
    <row r="9" spans="1:38" ht="11.45" customHeight="1">
      <c r="B9" s="13"/>
      <c r="C9" s="29"/>
      <c r="D9" s="72"/>
      <c r="E9" s="90"/>
      <c r="F9" s="86"/>
      <c r="G9" s="86"/>
      <c r="H9" s="86"/>
      <c r="I9" s="86"/>
      <c r="J9" s="49"/>
      <c r="K9" s="87"/>
      <c r="L9" s="49"/>
      <c r="M9" s="14"/>
      <c r="N9" s="55"/>
      <c r="O9" s="56"/>
      <c r="P9" s="56"/>
      <c r="Q9" s="56"/>
      <c r="R9" s="55"/>
      <c r="S9" s="55"/>
      <c r="T9" s="14"/>
      <c r="U9" s="14"/>
      <c r="V9" s="14"/>
      <c r="W9" s="14"/>
      <c r="X9" s="55"/>
      <c r="Y9" s="55"/>
      <c r="Z9" s="55"/>
      <c r="AA9" s="55"/>
      <c r="AB9" s="55"/>
      <c r="AC9" s="55"/>
      <c r="AD9" s="55"/>
      <c r="AE9" s="14"/>
      <c r="AF9" s="88"/>
      <c r="AG9" s="55"/>
      <c r="AH9" s="14"/>
      <c r="AI9" s="14"/>
      <c r="AJ9" s="14"/>
      <c r="AK9" s="14"/>
      <c r="AL9" s="14"/>
    </row>
    <row r="10" spans="1:38" ht="11.45" customHeight="1">
      <c r="B10" s="13" t="s">
        <v>73</v>
      </c>
      <c r="C10" s="12" t="s">
        <v>34</v>
      </c>
      <c r="D10" s="72" t="e">
        <f>SUM(F10:AN10)</f>
        <v>#REF!</v>
      </c>
      <c r="E10" s="90"/>
      <c r="F10" s="86"/>
      <c r="G10" s="86"/>
      <c r="H10" s="86"/>
      <c r="I10" s="86"/>
      <c r="J10" s="49"/>
      <c r="K10" s="87"/>
      <c r="L10" s="49"/>
      <c r="M10" s="14"/>
      <c r="N10" s="55"/>
      <c r="O10" s="56"/>
      <c r="P10" s="56"/>
      <c r="Q10" s="56" t="e">
        <f>#REF!</f>
        <v>#REF!</v>
      </c>
      <c r="R10" s="55"/>
      <c r="S10" s="55"/>
      <c r="T10" s="14"/>
      <c r="U10" s="16" t="e">
        <f>#REF!</f>
        <v>#REF!</v>
      </c>
      <c r="V10" s="16"/>
      <c r="W10" s="16"/>
      <c r="X10" s="55"/>
      <c r="Y10" s="55"/>
      <c r="Z10" s="55"/>
      <c r="AA10" s="55"/>
      <c r="AB10" s="55"/>
      <c r="AC10" s="55"/>
      <c r="AD10" s="56" t="e">
        <f>#REF!</f>
        <v>#REF!</v>
      </c>
      <c r="AE10" s="14"/>
      <c r="AF10" s="88"/>
      <c r="AG10" s="55"/>
      <c r="AH10" s="14"/>
      <c r="AI10" s="14"/>
      <c r="AJ10" s="14"/>
      <c r="AK10" s="14"/>
      <c r="AL10" s="14"/>
    </row>
    <row r="11" spans="1:38" ht="11.45" customHeight="1">
      <c r="B11" s="13"/>
      <c r="C11" s="29"/>
      <c r="D11" s="72"/>
      <c r="E11" s="90"/>
      <c r="F11" s="86"/>
      <c r="G11" s="86"/>
      <c r="H11" s="86"/>
      <c r="I11" s="86"/>
      <c r="J11" s="49"/>
      <c r="K11" s="87"/>
      <c r="L11" s="49"/>
      <c r="M11" s="14"/>
      <c r="N11" s="55"/>
      <c r="O11" s="56"/>
      <c r="P11" s="56"/>
      <c r="Q11" s="56"/>
      <c r="R11" s="55"/>
      <c r="S11" s="55"/>
      <c r="T11" s="14"/>
      <c r="U11" s="14"/>
      <c r="V11" s="14"/>
      <c r="W11" s="14"/>
      <c r="X11" s="55"/>
      <c r="Y11" s="55"/>
      <c r="Z11" s="55"/>
      <c r="AA11" s="55"/>
      <c r="AB11" s="55"/>
      <c r="AC11" s="55"/>
      <c r="AD11" s="55"/>
      <c r="AE11" s="14"/>
      <c r="AF11" s="88"/>
      <c r="AG11" s="55"/>
      <c r="AH11" s="14"/>
      <c r="AI11" s="14"/>
      <c r="AJ11" s="14"/>
      <c r="AK11" s="14"/>
      <c r="AL11" s="14"/>
    </row>
    <row r="12" spans="1:38" ht="11.45" customHeight="1">
      <c r="B12" s="32" t="s">
        <v>20</v>
      </c>
      <c r="C12" s="29"/>
      <c r="D12" s="72"/>
      <c r="E12" s="90"/>
      <c r="F12" s="86"/>
      <c r="G12" s="86"/>
      <c r="H12" s="86"/>
      <c r="I12" s="86"/>
      <c r="J12" s="49"/>
      <c r="K12" s="87"/>
      <c r="L12" s="49"/>
      <c r="M12" s="14"/>
      <c r="N12" s="55"/>
      <c r="O12" s="56"/>
      <c r="P12" s="56"/>
      <c r="Q12" s="56"/>
      <c r="R12" s="55"/>
      <c r="S12" s="55"/>
      <c r="T12" s="14"/>
      <c r="U12" s="14"/>
      <c r="V12" s="14"/>
      <c r="W12" s="14"/>
      <c r="X12" s="55"/>
      <c r="Y12" s="55"/>
      <c r="Z12" s="55"/>
      <c r="AA12" s="55"/>
      <c r="AB12" s="55"/>
      <c r="AC12" s="55"/>
      <c r="AD12" s="55"/>
      <c r="AE12" s="14"/>
      <c r="AF12" s="88"/>
      <c r="AG12" s="55"/>
      <c r="AH12" s="14"/>
      <c r="AI12" s="14"/>
      <c r="AJ12" s="14"/>
      <c r="AK12" s="14"/>
      <c r="AL12" s="14"/>
    </row>
    <row r="13" spans="1:38" ht="11.45" customHeight="1">
      <c r="B13" s="13"/>
      <c r="C13" s="29"/>
      <c r="D13" s="72"/>
      <c r="E13" s="90"/>
      <c r="F13" s="86"/>
      <c r="G13" s="86"/>
      <c r="H13" s="86"/>
      <c r="I13" s="86"/>
      <c r="J13" s="49"/>
      <c r="K13" s="87"/>
      <c r="L13" s="49"/>
      <c r="M13" s="14"/>
      <c r="N13" s="55"/>
      <c r="O13" s="56"/>
      <c r="P13" s="56"/>
      <c r="Q13" s="56"/>
      <c r="R13" s="55"/>
      <c r="S13" s="55"/>
      <c r="T13" s="14"/>
      <c r="U13" s="14"/>
      <c r="V13" s="14"/>
      <c r="W13" s="14"/>
      <c r="X13" s="55"/>
      <c r="Y13" s="55"/>
      <c r="Z13" s="55"/>
      <c r="AA13" s="55"/>
      <c r="AB13" s="55"/>
      <c r="AC13" s="55"/>
      <c r="AD13" s="55"/>
      <c r="AE13" s="14"/>
      <c r="AF13" s="88"/>
      <c r="AG13" s="55"/>
      <c r="AH13" s="14"/>
      <c r="AI13" s="14"/>
      <c r="AJ13" s="14"/>
      <c r="AK13" s="14"/>
      <c r="AL13" s="14"/>
    </row>
    <row r="14" spans="1:38" ht="11.45" customHeight="1">
      <c r="B14" s="33" t="s">
        <v>16</v>
      </c>
      <c r="C14" s="29"/>
      <c r="D14" s="72"/>
      <c r="E14" s="90"/>
      <c r="F14" s="86"/>
      <c r="G14" s="86"/>
      <c r="H14" s="86"/>
      <c r="I14" s="86"/>
      <c r="J14" s="49"/>
      <c r="K14" s="87"/>
      <c r="L14" s="49"/>
      <c r="M14" s="14"/>
      <c r="N14" s="55"/>
      <c r="O14" s="56"/>
      <c r="P14" s="56"/>
      <c r="Q14" s="56"/>
      <c r="R14" s="55"/>
      <c r="S14" s="55"/>
      <c r="T14" s="14"/>
      <c r="U14" s="14"/>
      <c r="V14" s="14"/>
      <c r="W14" s="14"/>
      <c r="X14" s="55"/>
      <c r="Y14" s="55"/>
      <c r="Z14" s="55"/>
      <c r="AA14" s="55"/>
      <c r="AB14" s="55"/>
      <c r="AC14" s="55"/>
      <c r="AD14" s="55"/>
      <c r="AE14" s="14"/>
      <c r="AF14" s="88"/>
      <c r="AG14" s="55"/>
      <c r="AH14" s="14"/>
      <c r="AI14" s="14"/>
      <c r="AJ14" s="14"/>
      <c r="AK14" s="14"/>
      <c r="AL14" s="14"/>
    </row>
    <row r="15" spans="1:38" ht="11.45" customHeight="1">
      <c r="B15" s="13"/>
      <c r="C15" s="29"/>
      <c r="D15" s="72"/>
      <c r="E15" s="90"/>
      <c r="F15" s="86"/>
      <c r="G15" s="86"/>
      <c r="H15" s="86"/>
      <c r="I15" s="86"/>
      <c r="J15" s="49"/>
      <c r="K15" s="87"/>
      <c r="L15" s="49"/>
      <c r="M15" s="14"/>
      <c r="N15" s="55"/>
      <c r="O15" s="56"/>
      <c r="P15" s="56"/>
      <c r="Q15" s="56"/>
      <c r="R15" s="55"/>
      <c r="S15" s="55"/>
      <c r="T15" s="14"/>
      <c r="U15" s="14"/>
      <c r="V15" s="14"/>
      <c r="W15" s="14"/>
      <c r="X15" s="55"/>
      <c r="Y15" s="55"/>
      <c r="Z15" s="55"/>
      <c r="AA15" s="55"/>
      <c r="AB15" s="55"/>
      <c r="AC15" s="55"/>
      <c r="AD15" s="55"/>
      <c r="AE15" s="14"/>
      <c r="AF15" s="88"/>
      <c r="AG15" s="55"/>
      <c r="AH15" s="14"/>
      <c r="AI15" s="14"/>
      <c r="AJ15" s="14"/>
      <c r="AK15" s="14"/>
      <c r="AL15" s="14"/>
    </row>
    <row r="16" spans="1:38" ht="11.45" customHeight="1">
      <c r="B16" s="13" t="s">
        <v>71</v>
      </c>
      <c r="C16" s="12" t="s">
        <v>34</v>
      </c>
      <c r="D16" s="72" t="e">
        <f>SUM(F16:AN16)</f>
        <v>#REF!</v>
      </c>
      <c r="E16" s="89" t="e">
        <f>#REF!</f>
        <v>#REF!</v>
      </c>
      <c r="F16" s="86" t="e">
        <f>#REF!</f>
        <v>#REF!</v>
      </c>
      <c r="G16" s="86" t="e">
        <f>#REF!</f>
        <v>#REF!</v>
      </c>
      <c r="H16" s="86" t="e">
        <f>#REF!</f>
        <v>#REF!</v>
      </c>
      <c r="I16" s="86" t="e">
        <f>#REF!</f>
        <v>#REF!</v>
      </c>
      <c r="J16" s="49"/>
      <c r="K16" s="87"/>
      <c r="L16" s="49"/>
      <c r="M16" s="14"/>
      <c r="N16" s="56" t="e">
        <f>#REF!</f>
        <v>#REF!</v>
      </c>
      <c r="O16" s="56" t="e">
        <f>#REF!</f>
        <v>#REF!</v>
      </c>
      <c r="P16" s="56"/>
      <c r="Q16" s="56" t="e">
        <f>#REF!</f>
        <v>#REF!</v>
      </c>
      <c r="R16" s="55"/>
      <c r="S16" s="56" t="e">
        <f>#REF!</f>
        <v>#REF!</v>
      </c>
      <c r="T16" s="16" t="e">
        <f>#REF!</f>
        <v>#REF!</v>
      </c>
      <c r="U16" s="16" t="e">
        <f>#REF!</f>
        <v>#REF!</v>
      </c>
      <c r="V16" s="16"/>
      <c r="W16" s="16" t="e">
        <f>#REF!</f>
        <v>#REF!</v>
      </c>
      <c r="X16" s="56" t="e">
        <f>#REF!</f>
        <v>#REF!</v>
      </c>
      <c r="Y16" s="56" t="e">
        <f>#REF!</f>
        <v>#REF!</v>
      </c>
      <c r="Z16" s="56" t="e">
        <f>#REF!</f>
        <v>#REF!</v>
      </c>
      <c r="AA16" s="56" t="e">
        <f>#REF!</f>
        <v>#REF!</v>
      </c>
      <c r="AB16" s="56" t="e">
        <f>#REF!</f>
        <v>#REF!</v>
      </c>
      <c r="AC16" s="56" t="e">
        <f>#REF!</f>
        <v>#REF!</v>
      </c>
      <c r="AD16" s="56" t="e">
        <f>#REF!</f>
        <v>#REF!</v>
      </c>
      <c r="AE16" s="14"/>
      <c r="AF16" s="88"/>
      <c r="AG16" s="55"/>
      <c r="AH16" s="14"/>
      <c r="AI16" s="16" t="e">
        <f>#REF!</f>
        <v>#REF!</v>
      </c>
      <c r="AJ16" s="16" t="e">
        <f>#REF!</f>
        <v>#REF!</v>
      </c>
      <c r="AK16" s="16" t="e">
        <f>#REF!</f>
        <v>#REF!</v>
      </c>
      <c r="AL16" s="16"/>
    </row>
    <row r="17" spans="2:38" ht="11.45" customHeight="1">
      <c r="B17" s="13"/>
      <c r="C17" s="29"/>
      <c r="D17" s="72"/>
      <c r="E17" s="89"/>
      <c r="F17" s="86"/>
      <c r="G17" s="86"/>
      <c r="H17" s="86"/>
      <c r="I17" s="86"/>
      <c r="J17" s="49"/>
      <c r="K17" s="87"/>
      <c r="L17" s="49"/>
      <c r="M17" s="14"/>
      <c r="N17" s="55"/>
      <c r="O17" s="56"/>
      <c r="P17" s="56"/>
      <c r="Q17" s="56"/>
      <c r="R17" s="55"/>
      <c r="S17" s="55"/>
      <c r="T17" s="16"/>
      <c r="U17" s="14"/>
      <c r="V17" s="14"/>
      <c r="W17" s="16"/>
      <c r="X17" s="56"/>
      <c r="Y17" s="55"/>
      <c r="Z17" s="55"/>
      <c r="AA17" s="55"/>
      <c r="AB17" s="55"/>
      <c r="AC17" s="56"/>
      <c r="AD17" s="56"/>
      <c r="AE17" s="14"/>
      <c r="AF17" s="88"/>
      <c r="AG17" s="55"/>
      <c r="AH17" s="14"/>
      <c r="AI17" s="14"/>
      <c r="AJ17" s="14"/>
      <c r="AK17" s="14"/>
      <c r="AL17" s="14"/>
    </row>
    <row r="18" spans="2:38" ht="11.45" customHeight="1">
      <c r="B18" s="13" t="s">
        <v>74</v>
      </c>
      <c r="C18" s="12" t="s">
        <v>34</v>
      </c>
      <c r="D18" s="72" t="e">
        <f>SUM(F18:AN18)</f>
        <v>#REF!</v>
      </c>
      <c r="E18" s="89" t="e">
        <f>#REF!</f>
        <v>#REF!</v>
      </c>
      <c r="F18" s="86" t="e">
        <f>#REF!</f>
        <v>#REF!</v>
      </c>
      <c r="G18" s="86" t="e">
        <f>#REF!</f>
        <v>#REF!</v>
      </c>
      <c r="H18" s="86" t="e">
        <f>#REF!</f>
        <v>#REF!</v>
      </c>
      <c r="I18" s="86" t="e">
        <f>#REF!</f>
        <v>#REF!</v>
      </c>
      <c r="J18" s="49"/>
      <c r="K18" s="87"/>
      <c r="L18" s="49"/>
      <c r="M18" s="14"/>
      <c r="N18" s="61"/>
      <c r="O18" s="56" t="e">
        <f>#REF!</f>
        <v>#REF!</v>
      </c>
      <c r="P18" s="56"/>
      <c r="Q18" s="56"/>
      <c r="R18" s="55"/>
      <c r="S18" s="55"/>
      <c r="T18" s="16" t="e">
        <f>#REF!</f>
        <v>#REF!</v>
      </c>
      <c r="U18" s="14"/>
      <c r="V18" s="14"/>
      <c r="W18" s="16" t="e">
        <f>#REF!</f>
        <v>#REF!</v>
      </c>
      <c r="X18" s="56" t="e">
        <f>#REF!</f>
        <v>#REF!</v>
      </c>
      <c r="Y18" s="55"/>
      <c r="Z18" s="55"/>
      <c r="AA18" s="55"/>
      <c r="AB18" s="55"/>
      <c r="AC18" s="56" t="e">
        <f>#REF!</f>
        <v>#REF!</v>
      </c>
      <c r="AD18" s="56" t="e">
        <f>#REF!</f>
        <v>#REF!</v>
      </c>
      <c r="AE18" s="14"/>
      <c r="AF18" s="88"/>
      <c r="AG18" s="55"/>
      <c r="AH18" s="14"/>
      <c r="AI18" s="14"/>
      <c r="AJ18" s="14"/>
      <c r="AK18" s="14"/>
      <c r="AL18" s="14"/>
    </row>
    <row r="19" spans="2:38" ht="11.45" customHeight="1">
      <c r="B19" s="13"/>
      <c r="C19" s="29"/>
      <c r="D19" s="72"/>
      <c r="E19" s="89"/>
      <c r="F19" s="86"/>
      <c r="G19" s="86"/>
      <c r="H19" s="86"/>
      <c r="I19" s="86"/>
      <c r="J19" s="49"/>
      <c r="K19" s="87"/>
      <c r="L19" s="49"/>
      <c r="M19" s="14"/>
      <c r="N19" s="55"/>
      <c r="O19" s="56"/>
      <c r="P19" s="56"/>
      <c r="Q19" s="56"/>
      <c r="R19" s="55"/>
      <c r="S19" s="55"/>
      <c r="T19" s="16"/>
      <c r="U19" s="14"/>
      <c r="V19" s="14"/>
      <c r="W19" s="16"/>
      <c r="X19" s="56"/>
      <c r="Y19" s="55"/>
      <c r="Z19" s="55"/>
      <c r="AA19" s="55"/>
      <c r="AB19" s="55"/>
      <c r="AC19" s="56"/>
      <c r="AD19" s="56"/>
      <c r="AE19" s="14"/>
      <c r="AF19" s="88"/>
      <c r="AG19" s="55"/>
      <c r="AH19" s="14"/>
      <c r="AI19" s="14"/>
      <c r="AJ19" s="14"/>
      <c r="AK19" s="14"/>
      <c r="AL19" s="14"/>
    </row>
    <row r="20" spans="2:38" ht="11.45" customHeight="1">
      <c r="B20" s="13" t="s">
        <v>28</v>
      </c>
      <c r="C20" s="12" t="s">
        <v>34</v>
      </c>
      <c r="D20" s="72" t="e">
        <f>SUM(F20:AN20)</f>
        <v>#REF!</v>
      </c>
      <c r="E20" s="89" t="e">
        <f>#REF!</f>
        <v>#REF!</v>
      </c>
      <c r="F20" s="86" t="e">
        <f>#REF!</f>
        <v>#REF!</v>
      </c>
      <c r="G20" s="86" t="e">
        <f>#REF!</f>
        <v>#REF!</v>
      </c>
      <c r="H20" s="86" t="e">
        <f>#REF!</f>
        <v>#REF!</v>
      </c>
      <c r="I20" s="86" t="e">
        <f>#REF!</f>
        <v>#REF!</v>
      </c>
      <c r="J20" s="49"/>
      <c r="K20" s="87"/>
      <c r="L20" s="49"/>
      <c r="M20" s="14"/>
      <c r="N20" s="55"/>
      <c r="O20" s="56"/>
      <c r="P20" s="56"/>
      <c r="Q20" s="56"/>
      <c r="R20" s="55"/>
      <c r="S20" s="56" t="e">
        <f>#REF!</f>
        <v>#REF!</v>
      </c>
      <c r="T20" s="16"/>
      <c r="U20" s="14"/>
      <c r="V20" s="16" t="e">
        <f>#REF!</f>
        <v>#REF!</v>
      </c>
      <c r="W20" s="16" t="e">
        <f>#REF!</f>
        <v>#REF!</v>
      </c>
      <c r="X20" s="56" t="e">
        <f>#REF!</f>
        <v>#REF!</v>
      </c>
      <c r="Y20" s="56" t="e">
        <f>#REF!</f>
        <v>#REF!</v>
      </c>
      <c r="Z20" s="56" t="e">
        <f>#REF!</f>
        <v>#REF!</v>
      </c>
      <c r="AA20" s="56" t="e">
        <f>#REF!</f>
        <v>#REF!</v>
      </c>
      <c r="AB20" s="56" t="e">
        <f>#REF!</f>
        <v>#REF!</v>
      </c>
      <c r="AC20" s="56" t="e">
        <f>#REF!</f>
        <v>#REF!</v>
      </c>
      <c r="AD20" s="56" t="e">
        <f>#REF!</f>
        <v>#REF!</v>
      </c>
      <c r="AE20" s="14"/>
      <c r="AF20" s="88"/>
      <c r="AG20" s="56" t="e">
        <f>#REF!</f>
        <v>#REF!</v>
      </c>
      <c r="AH20" s="14"/>
      <c r="AI20" s="14"/>
      <c r="AJ20" s="14"/>
      <c r="AK20" s="14"/>
      <c r="AL20" s="14"/>
    </row>
    <row r="21" spans="2:38" ht="11.45" customHeight="1">
      <c r="B21" s="29"/>
      <c r="C21" s="29"/>
      <c r="D21" s="72"/>
      <c r="E21" s="89"/>
      <c r="F21" s="85"/>
      <c r="G21" s="85"/>
      <c r="H21" s="86"/>
      <c r="I21" s="86"/>
      <c r="J21" s="49"/>
      <c r="K21" s="87"/>
      <c r="L21" s="49"/>
      <c r="M21" s="14"/>
      <c r="N21" s="55"/>
      <c r="O21" s="55"/>
      <c r="P21" s="55"/>
      <c r="Q21" s="55"/>
      <c r="R21" s="55"/>
      <c r="S21" s="55"/>
      <c r="T21" s="14"/>
      <c r="U21" s="14"/>
      <c r="V21" s="14"/>
      <c r="W21" s="14"/>
      <c r="X21" s="55"/>
      <c r="Y21" s="55"/>
      <c r="Z21" s="55"/>
      <c r="AA21" s="55"/>
      <c r="AB21" s="55"/>
      <c r="AC21" s="55"/>
      <c r="AD21" s="55"/>
      <c r="AE21" s="14"/>
      <c r="AF21" s="88"/>
      <c r="AG21" s="55"/>
      <c r="AH21" s="14"/>
      <c r="AI21" s="14"/>
      <c r="AJ21" s="14"/>
      <c r="AK21" s="14"/>
      <c r="AL21" s="14"/>
    </row>
    <row r="22" spans="2:38" ht="11.45" customHeight="1">
      <c r="B22" s="13" t="s">
        <v>94</v>
      </c>
      <c r="C22" s="12" t="s">
        <v>34</v>
      </c>
      <c r="D22" s="72" t="e">
        <f>SUM(F22:AN22)</f>
        <v>#REF!</v>
      </c>
      <c r="E22" s="89" t="e">
        <f>#REF!</f>
        <v>#REF!</v>
      </c>
      <c r="F22" s="91"/>
      <c r="G22" s="91"/>
      <c r="H22" s="92"/>
      <c r="I22" s="92"/>
      <c r="J22" s="52"/>
      <c r="K22" s="93"/>
      <c r="L22" s="52"/>
      <c r="M22" s="22"/>
      <c r="N22" s="59"/>
      <c r="O22" s="56" t="e">
        <f>#REF!</f>
        <v>#REF!</v>
      </c>
      <c r="P22" s="57"/>
      <c r="Q22" s="57" t="e">
        <f>#REF!</f>
        <v>#REF!</v>
      </c>
      <c r="R22" s="59"/>
      <c r="S22" s="59"/>
      <c r="T22" s="22"/>
      <c r="U22" s="22"/>
      <c r="V22" s="22"/>
      <c r="W22" s="22"/>
      <c r="X22" s="59"/>
      <c r="Y22" s="59"/>
      <c r="Z22" s="59"/>
      <c r="AA22" s="59"/>
      <c r="AB22" s="59"/>
      <c r="AC22" s="59"/>
      <c r="AD22" s="57" t="e">
        <f>#REF!</f>
        <v>#REF!</v>
      </c>
      <c r="AE22" s="22"/>
      <c r="AF22" s="94"/>
      <c r="AG22" s="59"/>
      <c r="AH22" s="22"/>
      <c r="AI22" s="22"/>
      <c r="AJ22" s="22"/>
      <c r="AK22" s="22"/>
      <c r="AL22" s="22"/>
    </row>
    <row r="23" spans="2:38" ht="11.45" customHeight="1">
      <c r="B23" s="35"/>
      <c r="C23" s="35"/>
      <c r="D23" s="72"/>
      <c r="E23" s="91"/>
      <c r="F23" s="91"/>
      <c r="G23" s="91"/>
      <c r="H23" s="92"/>
      <c r="I23" s="92"/>
      <c r="J23" s="52"/>
      <c r="K23" s="93"/>
      <c r="L23" s="52"/>
      <c r="M23" s="22"/>
      <c r="N23" s="59"/>
      <c r="O23" s="59"/>
      <c r="P23" s="59"/>
      <c r="Q23" s="59"/>
      <c r="R23" s="59"/>
      <c r="S23" s="59"/>
      <c r="T23" s="22"/>
      <c r="U23" s="22"/>
      <c r="V23" s="22"/>
      <c r="W23" s="22"/>
      <c r="X23" s="59"/>
      <c r="Y23" s="59"/>
      <c r="Z23" s="59"/>
      <c r="AA23" s="59"/>
      <c r="AB23" s="59"/>
      <c r="AC23" s="59"/>
      <c r="AD23" s="59"/>
      <c r="AE23" s="22"/>
      <c r="AF23" s="94"/>
      <c r="AG23" s="59"/>
      <c r="AH23" s="22"/>
      <c r="AI23" s="22"/>
      <c r="AJ23" s="22"/>
      <c r="AK23" s="22"/>
      <c r="AL23" s="22"/>
    </row>
    <row r="24" spans="2:38" ht="11.45" customHeight="1">
      <c r="B24" s="35" t="s">
        <v>93</v>
      </c>
      <c r="C24" s="12" t="s">
        <v>34</v>
      </c>
      <c r="D24" s="72" t="e">
        <f>SUM(F24:AN24)</f>
        <v>#REF!</v>
      </c>
      <c r="E24" s="91"/>
      <c r="F24" s="91"/>
      <c r="G24" s="91"/>
      <c r="H24" s="92"/>
      <c r="I24" s="92"/>
      <c r="J24" s="52"/>
      <c r="K24" s="93"/>
      <c r="L24" s="52"/>
      <c r="M24" s="22"/>
      <c r="N24" s="59"/>
      <c r="O24" s="57" t="e">
        <f>#REF!</f>
        <v>#REF!</v>
      </c>
      <c r="P24" s="57"/>
      <c r="Q24" s="57"/>
      <c r="R24" s="59"/>
      <c r="S24" s="59"/>
      <c r="T24" s="22"/>
      <c r="U24" s="22"/>
      <c r="V24" s="22"/>
      <c r="W24" s="22"/>
      <c r="X24" s="59"/>
      <c r="Y24" s="59"/>
      <c r="Z24" s="59"/>
      <c r="AA24" s="59"/>
      <c r="AB24" s="59"/>
      <c r="AC24" s="59"/>
      <c r="AD24" s="59"/>
      <c r="AE24" s="22"/>
      <c r="AF24" s="94"/>
      <c r="AG24" s="59"/>
      <c r="AH24" s="22"/>
      <c r="AI24" s="22"/>
      <c r="AJ24" s="22"/>
      <c r="AK24" s="22"/>
      <c r="AL24" s="22"/>
    </row>
    <row r="25" spans="2:38" ht="11.45" customHeight="1">
      <c r="B25" s="35"/>
      <c r="C25" s="35"/>
      <c r="D25" s="72"/>
      <c r="E25" s="91"/>
      <c r="F25" s="91"/>
      <c r="G25" s="91"/>
      <c r="H25" s="92"/>
      <c r="I25" s="92"/>
      <c r="J25" s="52"/>
      <c r="K25" s="93"/>
      <c r="L25" s="52"/>
      <c r="M25" s="22"/>
      <c r="N25" s="59"/>
      <c r="O25" s="59"/>
      <c r="P25" s="59"/>
      <c r="Q25" s="59"/>
      <c r="R25" s="59"/>
      <c r="S25" s="59"/>
      <c r="T25" s="22"/>
      <c r="U25" s="22"/>
      <c r="V25" s="22"/>
      <c r="W25" s="22"/>
      <c r="X25" s="59"/>
      <c r="Y25" s="59"/>
      <c r="Z25" s="59"/>
      <c r="AA25" s="59"/>
      <c r="AB25" s="59"/>
      <c r="AC25" s="59"/>
      <c r="AD25" s="59"/>
      <c r="AE25" s="22"/>
      <c r="AF25" s="94"/>
      <c r="AG25" s="59"/>
      <c r="AH25" s="22"/>
      <c r="AI25" s="22"/>
      <c r="AJ25" s="22"/>
      <c r="AK25" s="22"/>
      <c r="AL25" s="22"/>
    </row>
    <row r="26" spans="2:38" ht="11.45" customHeight="1">
      <c r="B26" s="7" t="s">
        <v>69</v>
      </c>
      <c r="C26" s="34" t="s">
        <v>34</v>
      </c>
      <c r="D26" s="72" t="e">
        <f>SUM(F26:AN26)</f>
        <v>#REF!</v>
      </c>
      <c r="E26" s="91"/>
      <c r="F26" s="91"/>
      <c r="G26" s="91"/>
      <c r="H26" s="92"/>
      <c r="I26" s="92"/>
      <c r="J26" s="52"/>
      <c r="K26" s="93"/>
      <c r="L26" s="53" t="e">
        <f>#REF!</f>
        <v>#REF!</v>
      </c>
      <c r="M26" s="22"/>
      <c r="N26" s="59"/>
      <c r="O26" s="59"/>
      <c r="P26" s="59"/>
      <c r="Q26" s="59"/>
      <c r="R26" s="59"/>
      <c r="S26" s="59"/>
      <c r="T26" s="22"/>
      <c r="U26" s="22"/>
      <c r="V26" s="22"/>
      <c r="W26" s="22"/>
      <c r="X26" s="59"/>
      <c r="Y26" s="59"/>
      <c r="Z26" s="59"/>
      <c r="AA26" s="59"/>
      <c r="AB26" s="59"/>
      <c r="AC26" s="59"/>
      <c r="AD26" s="59"/>
      <c r="AE26" s="22"/>
      <c r="AF26" s="94"/>
      <c r="AG26" s="59"/>
      <c r="AH26" s="22"/>
      <c r="AI26" s="22"/>
      <c r="AJ26" s="22"/>
      <c r="AK26" s="22"/>
      <c r="AL26" s="22"/>
    </row>
    <row r="27" spans="2:38" ht="11.45" customHeight="1">
      <c r="B27" s="29"/>
      <c r="C27" s="30"/>
      <c r="D27" s="73"/>
      <c r="E27" s="91"/>
      <c r="F27" s="91"/>
      <c r="G27" s="91"/>
      <c r="H27" s="92"/>
      <c r="I27" s="92"/>
      <c r="J27" s="52"/>
      <c r="K27" s="93"/>
      <c r="L27" s="52"/>
      <c r="M27" s="22"/>
      <c r="N27" s="59"/>
      <c r="O27" s="59"/>
      <c r="P27" s="59"/>
      <c r="Q27" s="59"/>
      <c r="R27" s="59"/>
      <c r="S27" s="59"/>
      <c r="T27" s="22"/>
      <c r="U27" s="22"/>
      <c r="V27" s="22"/>
      <c r="W27" s="22"/>
      <c r="X27" s="59"/>
      <c r="Y27" s="59"/>
      <c r="Z27" s="59"/>
      <c r="AA27" s="59"/>
      <c r="AB27" s="59"/>
      <c r="AC27" s="59"/>
      <c r="AD27" s="59"/>
      <c r="AE27" s="22"/>
      <c r="AF27" s="94"/>
      <c r="AG27" s="59"/>
      <c r="AH27" s="22"/>
      <c r="AI27" s="22"/>
      <c r="AJ27" s="22"/>
      <c r="AK27" s="22"/>
      <c r="AL27" s="22"/>
    </row>
    <row r="28" spans="2:38" ht="11.45" customHeight="1">
      <c r="B28" s="36" t="s">
        <v>89</v>
      </c>
      <c r="C28" s="4"/>
      <c r="D28" s="73"/>
      <c r="E28" s="91"/>
      <c r="F28" s="91"/>
      <c r="G28" s="91"/>
      <c r="H28" s="92"/>
      <c r="I28" s="92"/>
      <c r="J28" s="52"/>
      <c r="K28" s="93"/>
      <c r="L28" s="52"/>
      <c r="M28" s="22"/>
      <c r="N28" s="59"/>
      <c r="O28" s="59"/>
      <c r="P28" s="59"/>
      <c r="Q28" s="59"/>
      <c r="R28" s="59"/>
      <c r="S28" s="59"/>
      <c r="T28" s="22"/>
      <c r="U28" s="22"/>
      <c r="V28" s="22"/>
      <c r="W28" s="22"/>
      <c r="X28" s="59"/>
      <c r="Y28" s="59"/>
      <c r="Z28" s="59"/>
      <c r="AA28" s="59"/>
      <c r="AB28" s="59"/>
      <c r="AC28" s="59"/>
      <c r="AD28" s="59"/>
      <c r="AE28" s="22"/>
      <c r="AF28" s="94"/>
      <c r="AG28" s="59"/>
      <c r="AH28" s="22"/>
      <c r="AI28" s="22"/>
      <c r="AJ28" s="22"/>
      <c r="AK28" s="22"/>
      <c r="AL28" s="22"/>
    </row>
    <row r="29" spans="2:38" ht="11.45" customHeight="1">
      <c r="B29" s="6"/>
      <c r="C29" s="4"/>
      <c r="D29" s="73"/>
      <c r="E29" s="91"/>
      <c r="F29" s="91"/>
      <c r="G29" s="91"/>
      <c r="H29" s="92"/>
      <c r="I29" s="92"/>
      <c r="J29" s="52"/>
      <c r="K29" s="93"/>
      <c r="L29" s="52"/>
      <c r="M29" s="22"/>
      <c r="N29" s="59"/>
      <c r="O29" s="59"/>
      <c r="P29" s="59"/>
      <c r="Q29" s="59"/>
      <c r="R29" s="59"/>
      <c r="S29" s="59"/>
      <c r="T29" s="22"/>
      <c r="U29" s="22"/>
      <c r="V29" s="22"/>
      <c r="W29" s="22"/>
      <c r="X29" s="59"/>
      <c r="Y29" s="59"/>
      <c r="Z29" s="59"/>
      <c r="AA29" s="59"/>
      <c r="AB29" s="59"/>
      <c r="AC29" s="59"/>
      <c r="AD29" s="59"/>
      <c r="AE29" s="22"/>
      <c r="AF29" s="94"/>
      <c r="AG29" s="59"/>
      <c r="AH29" s="22"/>
      <c r="AI29" s="22"/>
      <c r="AJ29" s="22"/>
      <c r="AK29" s="22"/>
      <c r="AL29" s="22"/>
    </row>
    <row r="30" spans="2:38" ht="11.45" customHeight="1">
      <c r="B30" s="6" t="s">
        <v>90</v>
      </c>
      <c r="C30" s="4" t="s">
        <v>34</v>
      </c>
      <c r="D30" s="72" t="e">
        <f>SUM(F30:AN30)</f>
        <v>#REF!</v>
      </c>
      <c r="E30" s="91"/>
      <c r="F30" s="91"/>
      <c r="G30" s="91"/>
      <c r="H30" s="92"/>
      <c r="I30" s="92"/>
      <c r="J30" s="52"/>
      <c r="K30" s="93"/>
      <c r="L30" s="52"/>
      <c r="M30" s="22"/>
      <c r="N30" s="59"/>
      <c r="O30" s="57" t="e">
        <f>#REF!</f>
        <v>#REF!</v>
      </c>
      <c r="P30" s="57"/>
      <c r="Q30" s="57" t="e">
        <f>#REF!</f>
        <v>#REF!</v>
      </c>
      <c r="R30" s="59"/>
      <c r="S30" s="59"/>
      <c r="T30" s="22"/>
      <c r="U30" s="22"/>
      <c r="V30" s="22"/>
      <c r="W30" s="22"/>
      <c r="X30" s="59"/>
      <c r="Y30" s="59"/>
      <c r="Z30" s="59"/>
      <c r="AA30" s="59"/>
      <c r="AB30" s="59"/>
      <c r="AC30" s="59"/>
      <c r="AD30" s="57" t="e">
        <f>#REF!</f>
        <v>#REF!</v>
      </c>
      <c r="AE30" s="22"/>
      <c r="AF30" s="94"/>
      <c r="AG30" s="59"/>
      <c r="AH30" s="22"/>
      <c r="AI30" s="22"/>
      <c r="AJ30" s="22"/>
      <c r="AK30" s="22"/>
      <c r="AL30" s="22"/>
    </row>
    <row r="31" spans="2:38" ht="11.45" customHeight="1">
      <c r="B31" s="6"/>
      <c r="C31" s="4"/>
      <c r="D31" s="73"/>
      <c r="E31" s="91"/>
      <c r="F31" s="91"/>
      <c r="G31" s="91"/>
      <c r="H31" s="92"/>
      <c r="I31" s="92"/>
      <c r="J31" s="52"/>
      <c r="K31" s="93"/>
      <c r="L31" s="52"/>
      <c r="M31" s="22"/>
      <c r="N31" s="59"/>
      <c r="O31" s="57"/>
      <c r="P31" s="57"/>
      <c r="Q31" s="57"/>
      <c r="R31" s="59"/>
      <c r="S31" s="59"/>
      <c r="T31" s="22"/>
      <c r="U31" s="22"/>
      <c r="V31" s="22"/>
      <c r="W31" s="22"/>
      <c r="X31" s="59"/>
      <c r="Y31" s="59"/>
      <c r="Z31" s="59"/>
      <c r="AA31" s="59"/>
      <c r="AB31" s="59"/>
      <c r="AC31" s="59"/>
      <c r="AD31" s="57"/>
      <c r="AE31" s="22"/>
      <c r="AF31" s="94"/>
      <c r="AG31" s="59"/>
      <c r="AH31" s="22"/>
      <c r="AI31" s="22"/>
      <c r="AJ31" s="22"/>
      <c r="AK31" s="22"/>
      <c r="AL31" s="22"/>
    </row>
    <row r="32" spans="2:38" ht="11.45" customHeight="1">
      <c r="B32" s="6" t="s">
        <v>91</v>
      </c>
      <c r="C32" s="4" t="s">
        <v>34</v>
      </c>
      <c r="D32" s="72" t="e">
        <f>SUM(F32:AN32)</f>
        <v>#REF!</v>
      </c>
      <c r="E32" s="92" t="e">
        <f>#REF!</f>
        <v>#REF!</v>
      </c>
      <c r="F32" s="91"/>
      <c r="G32" s="91"/>
      <c r="H32" s="92"/>
      <c r="I32" s="92"/>
      <c r="J32" s="52"/>
      <c r="K32" s="93"/>
      <c r="L32" s="52"/>
      <c r="M32" s="22"/>
      <c r="N32" s="59"/>
      <c r="O32" s="57" t="e">
        <f>#REF!</f>
        <v>#REF!</v>
      </c>
      <c r="P32" s="57"/>
      <c r="Q32" s="57"/>
      <c r="R32" s="59"/>
      <c r="S32" s="59"/>
      <c r="T32" s="22"/>
      <c r="U32" s="22"/>
      <c r="V32" s="22"/>
      <c r="W32" s="22"/>
      <c r="X32" s="59"/>
      <c r="Y32" s="59"/>
      <c r="Z32" s="59"/>
      <c r="AA32" s="59"/>
      <c r="AB32" s="59"/>
      <c r="AC32" s="59"/>
      <c r="AD32" s="57" t="e">
        <f>#REF!</f>
        <v>#REF!</v>
      </c>
      <c r="AE32" s="22"/>
      <c r="AF32" s="94"/>
      <c r="AG32" s="59"/>
      <c r="AH32" s="22"/>
      <c r="AI32" s="22"/>
      <c r="AJ32" s="22"/>
      <c r="AK32" s="22"/>
      <c r="AL32" s="22"/>
    </row>
    <row r="33" spans="1:38" ht="11.45" customHeight="1">
      <c r="B33" s="35"/>
      <c r="C33" s="35"/>
      <c r="D33" s="73"/>
      <c r="E33" s="91"/>
      <c r="F33" s="91"/>
      <c r="G33" s="91"/>
      <c r="H33" s="92"/>
      <c r="I33" s="92"/>
      <c r="J33" s="52"/>
      <c r="K33" s="93"/>
      <c r="L33" s="52"/>
      <c r="M33" s="22"/>
      <c r="N33" s="59"/>
      <c r="O33" s="59"/>
      <c r="P33" s="59"/>
      <c r="Q33" s="59"/>
      <c r="R33" s="59"/>
      <c r="S33" s="59"/>
      <c r="T33" s="22"/>
      <c r="U33" s="22"/>
      <c r="V33" s="22"/>
      <c r="W33" s="22"/>
      <c r="X33" s="59"/>
      <c r="Y33" s="59"/>
      <c r="Z33" s="59"/>
      <c r="AA33" s="59"/>
      <c r="AB33" s="59"/>
      <c r="AC33" s="59"/>
      <c r="AD33" s="59"/>
      <c r="AE33" s="22"/>
      <c r="AF33" s="94"/>
      <c r="AG33" s="59"/>
      <c r="AH33" s="22"/>
      <c r="AI33" s="22"/>
      <c r="AJ33" s="22"/>
      <c r="AK33" s="22"/>
      <c r="AL33" s="22"/>
    </row>
    <row r="34" spans="1:38" ht="11.45" customHeight="1">
      <c r="B34" s="5" t="s">
        <v>64</v>
      </c>
      <c r="C34" s="4"/>
      <c r="D34" s="73"/>
      <c r="E34" s="91"/>
      <c r="F34" s="91"/>
      <c r="G34" s="91"/>
      <c r="H34" s="92"/>
      <c r="I34" s="92"/>
      <c r="J34" s="52"/>
      <c r="K34" s="93"/>
      <c r="L34" s="52"/>
      <c r="M34" s="22"/>
      <c r="N34" s="59"/>
      <c r="O34" s="59"/>
      <c r="P34" s="59"/>
      <c r="Q34" s="59"/>
      <c r="R34" s="59"/>
      <c r="S34" s="59"/>
      <c r="T34" s="22"/>
      <c r="U34" s="22"/>
      <c r="V34" s="22"/>
      <c r="W34" s="22"/>
      <c r="X34" s="59"/>
      <c r="Y34" s="59"/>
      <c r="Z34" s="59"/>
      <c r="AA34" s="59"/>
      <c r="AB34" s="59"/>
      <c r="AC34" s="59"/>
      <c r="AD34" s="59"/>
      <c r="AE34" s="22"/>
      <c r="AF34" s="94"/>
      <c r="AG34" s="59"/>
      <c r="AH34" s="22"/>
      <c r="AI34" s="22"/>
      <c r="AJ34" s="22"/>
      <c r="AK34" s="22"/>
      <c r="AL34" s="22"/>
    </row>
    <row r="35" spans="1:38" ht="11.45" customHeight="1">
      <c r="A35" s="37"/>
      <c r="B35" s="6"/>
      <c r="C35" s="4"/>
      <c r="D35" s="73"/>
      <c r="E35" s="91"/>
      <c r="F35" s="91"/>
      <c r="G35" s="91"/>
      <c r="H35" s="92"/>
      <c r="I35" s="92"/>
      <c r="J35" s="52"/>
      <c r="K35" s="93"/>
      <c r="L35" s="52"/>
      <c r="M35" s="22"/>
      <c r="N35" s="59"/>
      <c r="O35" s="59"/>
      <c r="P35" s="59"/>
      <c r="Q35" s="59"/>
      <c r="R35" s="59"/>
      <c r="S35" s="59"/>
      <c r="T35" s="22"/>
      <c r="U35" s="22"/>
      <c r="V35" s="22"/>
      <c r="W35" s="22"/>
      <c r="X35" s="59"/>
      <c r="Y35" s="59"/>
      <c r="Z35" s="59"/>
      <c r="AA35" s="59"/>
      <c r="AB35" s="59"/>
      <c r="AC35" s="59"/>
      <c r="AD35" s="59"/>
      <c r="AE35" s="22"/>
      <c r="AF35" s="94"/>
      <c r="AG35" s="59"/>
      <c r="AH35" s="22"/>
      <c r="AI35" s="22"/>
      <c r="AJ35" s="22"/>
      <c r="AK35" s="22"/>
      <c r="AL35" s="22"/>
    </row>
    <row r="36" spans="1:38" ht="11.45" customHeight="1">
      <c r="A36" s="37"/>
      <c r="B36" s="7" t="s">
        <v>78</v>
      </c>
      <c r="C36" s="4" t="s">
        <v>1</v>
      </c>
      <c r="D36" s="72" t="e">
        <f>SUM(F36:AN36)</f>
        <v>#REF!</v>
      </c>
      <c r="E36" s="92" t="e">
        <f>#REF!</f>
        <v>#REF!</v>
      </c>
      <c r="F36" s="91"/>
      <c r="G36" s="91"/>
      <c r="H36" s="92"/>
      <c r="I36" s="92" t="e">
        <f>#REF!</f>
        <v>#REF!</v>
      </c>
      <c r="J36" s="53" t="e">
        <f>#REF!</f>
        <v>#REF!</v>
      </c>
      <c r="K36" s="93"/>
      <c r="L36" s="53" t="e">
        <f>#REF!</f>
        <v>#REF!</v>
      </c>
      <c r="M36" s="22"/>
      <c r="N36" s="57" t="e">
        <f>#REF!</f>
        <v>#REF!</v>
      </c>
      <c r="O36" s="57"/>
      <c r="P36" s="57"/>
      <c r="Q36" s="57" t="e">
        <f>#REF!</f>
        <v>#REF!</v>
      </c>
      <c r="R36" s="59"/>
      <c r="S36" s="57" t="e">
        <f>#REF!</f>
        <v>#REF!</v>
      </c>
      <c r="T36" s="23" t="e">
        <f>#REF!</f>
        <v>#REF!</v>
      </c>
      <c r="U36" s="23" t="e">
        <f>#REF!</f>
        <v>#REF!</v>
      </c>
      <c r="V36" s="23"/>
      <c r="W36" s="23" t="e">
        <f>#REF!</f>
        <v>#REF!</v>
      </c>
      <c r="X36" s="57" t="e">
        <f>#REF!</f>
        <v>#REF!</v>
      </c>
      <c r="Y36" s="57" t="e">
        <f>#REF!</f>
        <v>#REF!</v>
      </c>
      <c r="Z36" s="57" t="e">
        <f>#REF!</f>
        <v>#REF!</v>
      </c>
      <c r="AA36" s="57" t="e">
        <f>#REF!</f>
        <v>#REF!</v>
      </c>
      <c r="AB36" s="57" t="e">
        <f>#REF!</f>
        <v>#REF!</v>
      </c>
      <c r="AC36" s="57" t="e">
        <f>#REF!</f>
        <v>#REF!</v>
      </c>
      <c r="AD36" s="57" t="e">
        <f>#REF!</f>
        <v>#REF!</v>
      </c>
      <c r="AE36" s="23" t="e">
        <f>#REF!</f>
        <v>#REF!</v>
      </c>
      <c r="AF36" s="94"/>
      <c r="AG36" s="59"/>
      <c r="AH36" s="22"/>
      <c r="AI36" s="22"/>
      <c r="AJ36" s="22"/>
      <c r="AK36" s="22"/>
      <c r="AL36" s="23" t="e">
        <f>#REF!</f>
        <v>#REF!</v>
      </c>
    </row>
    <row r="37" spans="1:38" ht="11.45" customHeight="1">
      <c r="A37" s="37"/>
      <c r="B37" s="29"/>
      <c r="C37" s="30"/>
      <c r="D37" s="73"/>
      <c r="E37" s="91"/>
      <c r="F37" s="91"/>
      <c r="G37" s="91"/>
      <c r="H37" s="92"/>
      <c r="I37" s="92"/>
      <c r="J37" s="52"/>
      <c r="K37" s="93"/>
      <c r="L37" s="52"/>
      <c r="M37" s="22"/>
      <c r="N37" s="59"/>
      <c r="O37" s="59"/>
      <c r="P37" s="59"/>
      <c r="Q37" s="59"/>
      <c r="R37" s="59"/>
      <c r="S37" s="59"/>
      <c r="T37" s="22"/>
      <c r="U37" s="22"/>
      <c r="V37" s="22"/>
      <c r="W37" s="22"/>
      <c r="X37" s="59"/>
      <c r="Y37" s="59"/>
      <c r="Z37" s="59"/>
      <c r="AA37" s="59"/>
      <c r="AB37" s="59"/>
      <c r="AC37" s="59"/>
      <c r="AD37" s="59"/>
      <c r="AE37" s="22"/>
      <c r="AF37" s="94"/>
      <c r="AG37" s="59"/>
      <c r="AH37" s="22"/>
      <c r="AI37" s="22"/>
      <c r="AJ37" s="22"/>
      <c r="AK37" s="22"/>
      <c r="AL37" s="22"/>
    </row>
    <row r="38" spans="1:38" ht="11.45" customHeight="1">
      <c r="A38" s="37"/>
      <c r="B38" s="7" t="s">
        <v>88</v>
      </c>
      <c r="C38" s="4" t="s">
        <v>1</v>
      </c>
      <c r="D38" s="72" t="e">
        <f>SUM(F38:AN38)</f>
        <v>#REF!</v>
      </c>
      <c r="E38" s="91"/>
      <c r="F38" s="91"/>
      <c r="G38" s="91"/>
      <c r="H38" s="92"/>
      <c r="I38" s="92"/>
      <c r="J38" s="52"/>
      <c r="K38" s="93"/>
      <c r="L38" s="52"/>
      <c r="M38" s="22"/>
      <c r="N38" s="59"/>
      <c r="O38" s="57" t="e">
        <f>#REF!</f>
        <v>#REF!</v>
      </c>
      <c r="P38" s="57"/>
      <c r="Q38" s="57"/>
      <c r="R38" s="57" t="e">
        <f>#REF!</f>
        <v>#REF!</v>
      </c>
      <c r="S38" s="59"/>
      <c r="T38" s="22"/>
      <c r="U38" s="22"/>
      <c r="V38" s="23" t="e">
        <f>#REF!</f>
        <v>#REF!</v>
      </c>
      <c r="W38" s="23"/>
      <c r="X38" s="59"/>
      <c r="Y38" s="59"/>
      <c r="Z38" s="59"/>
      <c r="AA38" s="59"/>
      <c r="AB38" s="59"/>
      <c r="AC38" s="59"/>
      <c r="AD38" s="59"/>
      <c r="AE38" s="22"/>
      <c r="AF38" s="94"/>
      <c r="AG38" s="59"/>
      <c r="AH38" s="22"/>
      <c r="AI38" s="22"/>
      <c r="AJ38" s="22"/>
      <c r="AK38" s="22"/>
      <c r="AL38" s="22"/>
    </row>
    <row r="39" spans="1:38" ht="11.45" customHeight="1">
      <c r="A39" s="37"/>
      <c r="B39" s="29"/>
      <c r="C39" s="30"/>
      <c r="D39" s="73"/>
      <c r="E39" s="91"/>
      <c r="F39" s="91"/>
      <c r="G39" s="91"/>
      <c r="H39" s="92"/>
      <c r="I39" s="92"/>
      <c r="J39" s="52"/>
      <c r="K39" s="93"/>
      <c r="L39" s="52"/>
      <c r="M39" s="22"/>
      <c r="N39" s="59"/>
      <c r="O39" s="59"/>
      <c r="P39" s="59"/>
      <c r="Q39" s="59"/>
      <c r="R39" s="59"/>
      <c r="S39" s="59"/>
      <c r="T39" s="22"/>
      <c r="U39" s="22"/>
      <c r="V39" s="22"/>
      <c r="W39" s="22"/>
      <c r="X39" s="59"/>
      <c r="Y39" s="59"/>
      <c r="Z39" s="59"/>
      <c r="AA39" s="59"/>
      <c r="AB39" s="59"/>
      <c r="AC39" s="59"/>
      <c r="AD39" s="59"/>
      <c r="AE39" s="22"/>
      <c r="AF39" s="94"/>
      <c r="AG39" s="59"/>
      <c r="AH39" s="22"/>
      <c r="AI39" s="22"/>
      <c r="AJ39" s="22"/>
      <c r="AK39" s="22"/>
      <c r="AL39" s="22"/>
    </row>
    <row r="40" spans="1:38" s="8" customFormat="1" ht="14.45" customHeight="1">
      <c r="A40" s="38"/>
      <c r="B40" s="110" t="s">
        <v>17</v>
      </c>
      <c r="C40" s="111"/>
      <c r="D40" s="129"/>
      <c r="E40" s="126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30"/>
      <c r="AI40" s="130"/>
      <c r="AJ40" s="130"/>
      <c r="AK40" s="130"/>
      <c r="AL40" s="130"/>
    </row>
    <row r="41" spans="1:38" s="8" customFormat="1" ht="12" customHeight="1">
      <c r="A41" s="39"/>
      <c r="B41" s="24"/>
      <c r="C41" s="25"/>
      <c r="D41" s="74"/>
      <c r="E41" s="54"/>
      <c r="F41" s="54"/>
      <c r="G41" s="54"/>
      <c r="H41" s="54"/>
      <c r="I41" s="54"/>
      <c r="J41" s="26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26"/>
      <c r="AF41" s="54"/>
      <c r="AG41" s="54"/>
      <c r="AH41" s="26"/>
      <c r="AI41" s="26"/>
      <c r="AJ41" s="26"/>
      <c r="AK41" s="26"/>
      <c r="AL41" s="26"/>
    </row>
    <row r="42" spans="1:38" s="8" customFormat="1" ht="12" customHeight="1">
      <c r="A42" s="39"/>
      <c r="B42" s="15" t="s">
        <v>18</v>
      </c>
      <c r="C42" s="12"/>
      <c r="D42" s="75"/>
      <c r="E42" s="55"/>
      <c r="F42" s="55"/>
      <c r="G42" s="55"/>
      <c r="H42" s="55"/>
      <c r="I42" s="55"/>
      <c r="J42" s="14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14"/>
      <c r="AF42" s="55"/>
      <c r="AG42" s="55"/>
      <c r="AH42" s="14"/>
      <c r="AI42" s="14"/>
      <c r="AJ42" s="14"/>
      <c r="AK42" s="14"/>
      <c r="AL42" s="14"/>
    </row>
    <row r="43" spans="1:38" s="8" customFormat="1" ht="12" customHeight="1">
      <c r="A43" s="39"/>
      <c r="B43" s="13"/>
      <c r="C43" s="12"/>
      <c r="D43" s="75"/>
      <c r="E43" s="55"/>
      <c r="F43" s="55"/>
      <c r="G43" s="55"/>
      <c r="H43" s="55"/>
      <c r="I43" s="55"/>
      <c r="J43" s="14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14"/>
      <c r="AF43" s="55"/>
      <c r="AG43" s="55"/>
      <c r="AH43" s="14"/>
      <c r="AI43" s="14"/>
      <c r="AJ43" s="14"/>
      <c r="AK43" s="14"/>
      <c r="AL43" s="14"/>
    </row>
    <row r="44" spans="1:38" s="8" customFormat="1" ht="12" customHeight="1">
      <c r="A44" s="39"/>
      <c r="B44" s="13" t="s">
        <v>40</v>
      </c>
      <c r="C44" s="12" t="s">
        <v>2</v>
      </c>
      <c r="D44" s="72" t="e">
        <f>SUM(F44:AN44)</f>
        <v>#REF!</v>
      </c>
      <c r="E44" s="56" t="e">
        <f>#REF!</f>
        <v>#REF!</v>
      </c>
      <c r="F44" s="56" t="e">
        <f>#REF!</f>
        <v>#REF!</v>
      </c>
      <c r="G44" s="56" t="e">
        <f>#REF!</f>
        <v>#REF!</v>
      </c>
      <c r="H44" s="56" t="e">
        <f>#REF!</f>
        <v>#REF!</v>
      </c>
      <c r="I44" s="56" t="e">
        <f>#REF!</f>
        <v>#REF!</v>
      </c>
      <c r="J44" s="16" t="e">
        <f>#REF!</f>
        <v>#REF!</v>
      </c>
      <c r="K44" s="56"/>
      <c r="L44" s="56" t="e">
        <f>#REF!</f>
        <v>#REF!</v>
      </c>
      <c r="M44" s="56"/>
      <c r="N44" s="56" t="e">
        <f>#REF!</f>
        <v>#REF!</v>
      </c>
      <c r="O44" s="56" t="e">
        <f>#REF!</f>
        <v>#REF!</v>
      </c>
      <c r="P44" s="56" t="e">
        <f>#REF!</f>
        <v>#REF!</v>
      </c>
      <c r="Q44" s="56" t="e">
        <f>#REF!</f>
        <v>#REF!</v>
      </c>
      <c r="R44" s="56"/>
      <c r="S44" s="56" t="e">
        <f>#REF!</f>
        <v>#REF!</v>
      </c>
      <c r="T44" s="56" t="e">
        <f>#REF!</f>
        <v>#REF!</v>
      </c>
      <c r="U44" s="56" t="e">
        <f>#REF!</f>
        <v>#REF!</v>
      </c>
      <c r="V44" s="56" t="e">
        <f>#REF!</f>
        <v>#REF!</v>
      </c>
      <c r="W44" s="56" t="e">
        <f>#REF!</f>
        <v>#REF!</v>
      </c>
      <c r="X44" s="56" t="e">
        <f>#REF!</f>
        <v>#REF!</v>
      </c>
      <c r="Y44" s="56" t="e">
        <f>#REF!</f>
        <v>#REF!</v>
      </c>
      <c r="Z44" s="56" t="e">
        <f>#REF!</f>
        <v>#REF!</v>
      </c>
      <c r="AA44" s="56" t="e">
        <f>#REF!</f>
        <v>#REF!</v>
      </c>
      <c r="AB44" s="56" t="e">
        <f>#REF!</f>
        <v>#REF!</v>
      </c>
      <c r="AC44" s="56" t="e">
        <f>#REF!</f>
        <v>#REF!</v>
      </c>
      <c r="AD44" s="56" t="e">
        <f>#REF!</f>
        <v>#REF!</v>
      </c>
      <c r="AE44" s="16"/>
      <c r="AF44" s="56"/>
      <c r="AG44" s="56" t="e">
        <f>#REF!</f>
        <v>#REF!</v>
      </c>
      <c r="AH44" s="16"/>
      <c r="AI44" s="16" t="e">
        <f>#REF!</f>
        <v>#REF!</v>
      </c>
      <c r="AJ44" s="16" t="e">
        <f>#REF!</f>
        <v>#REF!</v>
      </c>
      <c r="AK44" s="16" t="e">
        <f>#REF!</f>
        <v>#REF!</v>
      </c>
      <c r="AL44" s="16"/>
    </row>
    <row r="45" spans="1:38" s="8" customFormat="1" ht="12" customHeight="1">
      <c r="A45" s="39"/>
      <c r="B45" s="13"/>
      <c r="C45" s="12"/>
      <c r="D45" s="72"/>
      <c r="E45" s="56"/>
      <c r="F45" s="56"/>
      <c r="G45" s="56"/>
      <c r="H45" s="56"/>
      <c r="I45" s="56"/>
      <c r="J45" s="1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16"/>
      <c r="AF45" s="56"/>
      <c r="AG45" s="56"/>
      <c r="AH45" s="16"/>
      <c r="AI45" s="16"/>
      <c r="AJ45" s="16"/>
      <c r="AK45" s="16"/>
      <c r="AL45" s="16"/>
    </row>
    <row r="46" spans="1:38" s="8" customFormat="1" ht="12" customHeight="1">
      <c r="A46" s="39"/>
      <c r="B46" s="15" t="s">
        <v>3</v>
      </c>
      <c r="C46" s="12"/>
      <c r="D46" s="72"/>
      <c r="E46" s="56"/>
      <c r="F46" s="56"/>
      <c r="G46" s="56"/>
      <c r="H46" s="56"/>
      <c r="I46" s="56"/>
      <c r="J46" s="1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16"/>
      <c r="AF46" s="56"/>
      <c r="AG46" s="56"/>
      <c r="AH46" s="16"/>
      <c r="AI46" s="16"/>
      <c r="AJ46" s="16"/>
      <c r="AK46" s="16"/>
      <c r="AL46" s="16"/>
    </row>
    <row r="47" spans="1:38" s="8" customFormat="1" ht="12" customHeight="1">
      <c r="A47" s="39"/>
      <c r="B47" s="13"/>
      <c r="C47" s="12"/>
      <c r="D47" s="72"/>
      <c r="E47" s="56"/>
      <c r="F47" s="56"/>
      <c r="G47" s="56"/>
      <c r="H47" s="56"/>
      <c r="I47" s="56"/>
      <c r="J47" s="1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16"/>
      <c r="AF47" s="56"/>
      <c r="AG47" s="56"/>
      <c r="AH47" s="16"/>
      <c r="AI47" s="16"/>
      <c r="AJ47" s="16"/>
      <c r="AK47" s="16"/>
      <c r="AL47" s="16"/>
    </row>
    <row r="48" spans="1:38" s="8" customFormat="1" ht="12" customHeight="1">
      <c r="A48" s="39"/>
      <c r="B48" s="13" t="s">
        <v>41</v>
      </c>
      <c r="C48" s="12" t="s">
        <v>34</v>
      </c>
      <c r="D48" s="72" t="e">
        <f>SUM(F48:AN48)</f>
        <v>#REF!</v>
      </c>
      <c r="E48" s="56"/>
      <c r="F48" s="56" t="e">
        <f>#REF!</f>
        <v>#REF!</v>
      </c>
      <c r="G48" s="56" t="e">
        <f>#REF!</f>
        <v>#REF!</v>
      </c>
      <c r="H48" s="56"/>
      <c r="I48" s="56" t="e">
        <f>#REF!</f>
        <v>#REF!</v>
      </c>
      <c r="J48" s="16" t="e">
        <f>#REF!</f>
        <v>#REF!</v>
      </c>
      <c r="K48" s="56"/>
      <c r="L48" s="56" t="e">
        <f>#REF!</f>
        <v>#REF!</v>
      </c>
      <c r="M48" s="56"/>
      <c r="N48" s="56" t="e">
        <f>#REF!</f>
        <v>#REF!</v>
      </c>
      <c r="O48" s="56"/>
      <c r="P48" s="56"/>
      <c r="Q48" s="56" t="e">
        <f>#REF!</f>
        <v>#REF!</v>
      </c>
      <c r="R48" s="56"/>
      <c r="S48" s="56" t="e">
        <f>#REF!</f>
        <v>#REF!</v>
      </c>
      <c r="T48" s="56" t="e">
        <f>#REF!</f>
        <v>#REF!</v>
      </c>
      <c r="U48" s="56" t="e">
        <f>#REF!</f>
        <v>#REF!</v>
      </c>
      <c r="V48" s="56" t="e">
        <f>#REF!</f>
        <v>#REF!</v>
      </c>
      <c r="W48" s="56" t="e">
        <f>#REF!</f>
        <v>#REF!</v>
      </c>
      <c r="X48" s="56" t="e">
        <f>#REF!</f>
        <v>#REF!</v>
      </c>
      <c r="Y48" s="56" t="e">
        <f>#REF!</f>
        <v>#REF!</v>
      </c>
      <c r="Z48" s="56" t="e">
        <f>#REF!</f>
        <v>#REF!</v>
      </c>
      <c r="AA48" s="56" t="e">
        <f>#REF!</f>
        <v>#REF!</v>
      </c>
      <c r="AB48" s="56" t="e">
        <f>#REF!</f>
        <v>#REF!</v>
      </c>
      <c r="AC48" s="56" t="e">
        <f>#REF!</f>
        <v>#REF!</v>
      </c>
      <c r="AD48" s="56" t="e">
        <f>#REF!</f>
        <v>#REF!</v>
      </c>
      <c r="AE48" s="16" t="e">
        <f>#REF!</f>
        <v>#REF!</v>
      </c>
      <c r="AF48" s="56"/>
      <c r="AG48" s="56"/>
      <c r="AH48" s="16"/>
      <c r="AI48" s="16"/>
      <c r="AJ48" s="16"/>
      <c r="AK48" s="16"/>
      <c r="AL48" s="16"/>
    </row>
    <row r="49" spans="1:38" s="8" customFormat="1" ht="12" customHeight="1">
      <c r="A49" s="39"/>
      <c r="B49" s="13"/>
      <c r="C49" s="12"/>
      <c r="D49" s="72"/>
      <c r="E49" s="56"/>
      <c r="F49" s="56"/>
      <c r="G49" s="56"/>
      <c r="H49" s="56"/>
      <c r="I49" s="56"/>
      <c r="J49" s="1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16"/>
      <c r="AF49" s="56"/>
      <c r="AG49" s="56"/>
      <c r="AH49" s="16"/>
      <c r="AI49" s="16"/>
      <c r="AJ49" s="16"/>
      <c r="AK49" s="16"/>
      <c r="AL49" s="16"/>
    </row>
    <row r="50" spans="1:38" s="8" customFormat="1" ht="12" customHeight="1">
      <c r="A50" s="39"/>
      <c r="B50" s="13" t="s">
        <v>70</v>
      </c>
      <c r="C50" s="12" t="s">
        <v>34</v>
      </c>
      <c r="D50" s="72" t="e">
        <f>SUM(F50:AN50)</f>
        <v>#REF!</v>
      </c>
      <c r="E50" s="56"/>
      <c r="F50" s="56"/>
      <c r="G50" s="56"/>
      <c r="H50" s="56"/>
      <c r="I50" s="56"/>
      <c r="J50" s="16"/>
      <c r="K50" s="56"/>
      <c r="L50" s="56"/>
      <c r="M50" s="56"/>
      <c r="N50" s="56"/>
      <c r="O50" s="56" t="e">
        <f>#REF!</f>
        <v>#REF!</v>
      </c>
      <c r="P50" s="56"/>
      <c r="Q50" s="56"/>
      <c r="R50" s="56" t="e">
        <f>#REF!</f>
        <v>#REF!</v>
      </c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16"/>
      <c r="AF50" s="56"/>
      <c r="AG50" s="56"/>
      <c r="AH50" s="16"/>
      <c r="AI50" s="16"/>
      <c r="AJ50" s="16"/>
      <c r="AK50" s="16"/>
      <c r="AL50" s="16" t="e">
        <f>#REF!</f>
        <v>#REF!</v>
      </c>
    </row>
    <row r="51" spans="1:38" s="8" customFormat="1" ht="12" customHeight="1">
      <c r="A51" s="39"/>
      <c r="B51" s="21"/>
      <c r="C51" s="20"/>
      <c r="D51" s="73"/>
      <c r="E51" s="57"/>
      <c r="F51" s="57"/>
      <c r="G51" s="57"/>
      <c r="H51" s="57"/>
      <c r="I51" s="57"/>
      <c r="J51" s="23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23"/>
      <c r="AF51" s="57"/>
      <c r="AG51" s="57"/>
      <c r="AH51" s="23"/>
      <c r="AI51" s="23"/>
      <c r="AJ51" s="23"/>
      <c r="AK51" s="23"/>
      <c r="AL51" s="23"/>
    </row>
    <row r="52" spans="1:38" s="8" customFormat="1" ht="12" customHeight="1">
      <c r="A52" s="38"/>
      <c r="B52" s="110" t="s">
        <v>4</v>
      </c>
      <c r="C52" s="111"/>
      <c r="D52" s="112"/>
      <c r="E52" s="113"/>
      <c r="F52" s="113"/>
      <c r="G52" s="113"/>
      <c r="H52" s="113"/>
      <c r="I52" s="113"/>
      <c r="J52" s="114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5"/>
      <c r="AI52" s="115"/>
      <c r="AJ52" s="115"/>
      <c r="AK52" s="115"/>
      <c r="AL52" s="115"/>
    </row>
    <row r="53" spans="1:38" s="8" customFormat="1" ht="13.15" customHeight="1">
      <c r="A53" s="39"/>
      <c r="B53" s="24"/>
      <c r="C53" s="25"/>
      <c r="D53" s="71"/>
      <c r="E53" s="58"/>
      <c r="F53" s="58"/>
      <c r="G53" s="58"/>
      <c r="H53" s="58"/>
      <c r="I53" s="58"/>
      <c r="J53" s="27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27"/>
      <c r="AF53" s="58"/>
      <c r="AG53" s="58"/>
      <c r="AH53" s="27"/>
      <c r="AI53" s="27"/>
      <c r="AJ53" s="27"/>
      <c r="AK53" s="27"/>
      <c r="AL53" s="27"/>
    </row>
    <row r="54" spans="1:38" s="8" customFormat="1" ht="12" customHeight="1">
      <c r="A54" s="39"/>
      <c r="B54" s="15" t="s">
        <v>42</v>
      </c>
      <c r="C54" s="12"/>
      <c r="D54" s="72"/>
      <c r="E54" s="56"/>
      <c r="F54" s="56"/>
      <c r="G54" s="56"/>
      <c r="H54" s="56"/>
      <c r="I54" s="56"/>
      <c r="J54" s="1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16"/>
      <c r="AF54" s="56"/>
      <c r="AG54" s="56"/>
      <c r="AH54" s="16"/>
      <c r="AI54" s="16"/>
      <c r="AJ54" s="16"/>
      <c r="AK54" s="16"/>
      <c r="AL54" s="16"/>
    </row>
    <row r="55" spans="1:38" s="8" customFormat="1" ht="12" customHeight="1">
      <c r="A55" s="39"/>
      <c r="B55" s="13"/>
      <c r="C55" s="12"/>
      <c r="D55" s="72"/>
      <c r="E55" s="56"/>
      <c r="F55" s="56"/>
      <c r="G55" s="56"/>
      <c r="H55" s="56"/>
      <c r="I55" s="56"/>
      <c r="J55" s="1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16"/>
      <c r="AF55" s="56"/>
      <c r="AG55" s="56"/>
      <c r="AH55" s="16"/>
      <c r="AI55" s="16"/>
      <c r="AJ55" s="16"/>
      <c r="AK55" s="16"/>
      <c r="AL55" s="16"/>
    </row>
    <row r="56" spans="1:38" s="8" customFormat="1" ht="12" customHeight="1">
      <c r="A56" s="39"/>
      <c r="B56" s="13" t="s">
        <v>87</v>
      </c>
      <c r="C56" s="12" t="s">
        <v>34</v>
      </c>
      <c r="D56" s="72" t="e">
        <f>SUM(F56:AN56)</f>
        <v>#REF!</v>
      </c>
      <c r="E56" s="56" t="e">
        <f>#REF!</f>
        <v>#REF!</v>
      </c>
      <c r="F56" s="56" t="e">
        <f>#REF!</f>
        <v>#REF!</v>
      </c>
      <c r="G56" s="56" t="e">
        <f>#REF!</f>
        <v>#REF!</v>
      </c>
      <c r="H56" s="56" t="e">
        <f>#REF!</f>
        <v>#REF!</v>
      </c>
      <c r="I56" s="56" t="e">
        <f>#REF!</f>
        <v>#REF!</v>
      </c>
      <c r="J56" s="16"/>
      <c r="K56" s="56"/>
      <c r="L56" s="56"/>
      <c r="M56" s="56"/>
      <c r="N56" s="56" t="e">
        <f>#REF!</f>
        <v>#REF!</v>
      </c>
      <c r="O56" s="56"/>
      <c r="P56" s="56" t="e">
        <f>#REF!</f>
        <v>#REF!</v>
      </c>
      <c r="Q56" s="56" t="e">
        <f>#REF!</f>
        <v>#REF!</v>
      </c>
      <c r="R56" s="56"/>
      <c r="S56" s="56" t="e">
        <f>#REF!</f>
        <v>#REF!</v>
      </c>
      <c r="T56" s="56" t="e">
        <f>#REF!</f>
        <v>#REF!</v>
      </c>
      <c r="U56" s="56" t="e">
        <f>#REF!</f>
        <v>#REF!</v>
      </c>
      <c r="V56" s="56" t="e">
        <f>#REF!</f>
        <v>#REF!</v>
      </c>
      <c r="W56" s="56" t="e">
        <f>#REF!</f>
        <v>#REF!</v>
      </c>
      <c r="X56" s="56" t="e">
        <f>#REF!</f>
        <v>#REF!</v>
      </c>
      <c r="Y56" s="56" t="e">
        <f>#REF!</f>
        <v>#REF!</v>
      </c>
      <c r="Z56" s="56" t="e">
        <f>#REF!</f>
        <v>#REF!</v>
      </c>
      <c r="AA56" s="56" t="e">
        <f>#REF!</f>
        <v>#REF!</v>
      </c>
      <c r="AB56" s="56" t="e">
        <f>#REF!</f>
        <v>#REF!</v>
      </c>
      <c r="AC56" s="56" t="e">
        <f>#REF!</f>
        <v>#REF!</v>
      </c>
      <c r="AD56" s="56" t="e">
        <f>#REF!</f>
        <v>#REF!</v>
      </c>
      <c r="AE56" s="16"/>
      <c r="AF56" s="56"/>
      <c r="AG56" s="56" t="e">
        <f>#REF!</f>
        <v>#REF!</v>
      </c>
      <c r="AH56" s="16"/>
      <c r="AI56" s="16" t="e">
        <f>#REF!</f>
        <v>#REF!</v>
      </c>
      <c r="AJ56" s="16" t="e">
        <f>#REF!</f>
        <v>#REF!</v>
      </c>
      <c r="AK56" s="16" t="e">
        <f>#REF!</f>
        <v>#REF!</v>
      </c>
      <c r="AL56" s="16"/>
    </row>
    <row r="57" spans="1:38" s="8" customFormat="1" ht="12" customHeight="1">
      <c r="A57" s="39"/>
      <c r="B57" s="13"/>
      <c r="C57" s="12"/>
      <c r="D57" s="72"/>
      <c r="E57" s="56"/>
      <c r="F57" s="56"/>
      <c r="G57" s="56"/>
      <c r="H57" s="56"/>
      <c r="I57" s="56"/>
      <c r="J57" s="1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16"/>
      <c r="AF57" s="56"/>
      <c r="AG57" s="56"/>
      <c r="AH57" s="16"/>
      <c r="AI57" s="16"/>
      <c r="AJ57" s="16"/>
      <c r="AK57" s="16"/>
      <c r="AL57" s="16"/>
    </row>
    <row r="58" spans="1:38" s="8" customFormat="1" ht="12" customHeight="1">
      <c r="A58" s="39"/>
      <c r="B58" s="15" t="s">
        <v>85</v>
      </c>
      <c r="C58" s="12"/>
      <c r="D58" s="72"/>
      <c r="E58" s="56"/>
      <c r="F58" s="56"/>
      <c r="G58" s="56"/>
      <c r="H58" s="56"/>
      <c r="I58" s="56"/>
      <c r="J58" s="1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16"/>
      <c r="AF58" s="56"/>
      <c r="AG58" s="56"/>
      <c r="AH58" s="16"/>
      <c r="AI58" s="16"/>
      <c r="AJ58" s="16"/>
      <c r="AK58" s="16"/>
      <c r="AL58" s="16"/>
    </row>
    <row r="59" spans="1:38" s="8" customFormat="1" ht="12" customHeight="1">
      <c r="A59" s="39"/>
      <c r="B59" s="13"/>
      <c r="C59" s="12"/>
      <c r="D59" s="72"/>
      <c r="E59" s="56"/>
      <c r="F59" s="56"/>
      <c r="G59" s="56"/>
      <c r="H59" s="56"/>
      <c r="I59" s="56"/>
      <c r="J59" s="1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16"/>
      <c r="AF59" s="56"/>
      <c r="AG59" s="56"/>
      <c r="AH59" s="16"/>
      <c r="AI59" s="16"/>
      <c r="AJ59" s="16"/>
      <c r="AK59" s="16"/>
      <c r="AL59" s="16"/>
    </row>
    <row r="60" spans="1:38" s="8" customFormat="1" ht="12" customHeight="1">
      <c r="A60" s="39"/>
      <c r="B60" s="13" t="s">
        <v>84</v>
      </c>
      <c r="C60" s="12" t="s">
        <v>30</v>
      </c>
      <c r="D60" s="72" t="e">
        <f>SUM(F60:AN60)</f>
        <v>#REF!</v>
      </c>
      <c r="E60" s="56"/>
      <c r="F60" s="56"/>
      <c r="G60" s="56"/>
      <c r="H60" s="56"/>
      <c r="I60" s="56"/>
      <c r="J60" s="16"/>
      <c r="K60" s="56"/>
      <c r="L60" s="95"/>
      <c r="M60" s="56" t="e">
        <f>#REF!</f>
        <v>#REF!</v>
      </c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16"/>
      <c r="AF60" s="56"/>
      <c r="AG60" s="56"/>
      <c r="AH60" s="16" t="e">
        <f>#REF!</f>
        <v>#REF!</v>
      </c>
      <c r="AI60" s="16" t="e">
        <f>#REF!</f>
        <v>#REF!</v>
      </c>
      <c r="AJ60" s="16" t="e">
        <f>#REF!</f>
        <v>#REF!</v>
      </c>
      <c r="AK60" s="16" t="e">
        <f>#REF!</f>
        <v>#REF!</v>
      </c>
      <c r="AL60" s="16"/>
    </row>
    <row r="61" spans="1:38" s="8" customFormat="1" ht="12" customHeight="1">
      <c r="A61" s="39"/>
      <c r="B61" s="13"/>
      <c r="C61" s="12"/>
      <c r="D61" s="72"/>
      <c r="E61" s="56"/>
      <c r="F61" s="56"/>
      <c r="G61" s="56"/>
      <c r="H61" s="56"/>
      <c r="I61" s="56"/>
      <c r="J61" s="1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16"/>
      <c r="AF61" s="56"/>
      <c r="AG61" s="56"/>
      <c r="AH61" s="16"/>
      <c r="AI61" s="16"/>
      <c r="AJ61" s="16"/>
      <c r="AK61" s="16"/>
      <c r="AL61" s="16"/>
    </row>
    <row r="62" spans="1:38" s="8" customFormat="1" ht="12" customHeight="1">
      <c r="A62" s="39"/>
      <c r="B62" s="15" t="s">
        <v>65</v>
      </c>
      <c r="C62" s="12"/>
      <c r="D62" s="72"/>
      <c r="E62" s="56"/>
      <c r="F62" s="56"/>
      <c r="G62" s="56"/>
      <c r="H62" s="56"/>
      <c r="I62" s="56"/>
      <c r="J62" s="1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16"/>
      <c r="AF62" s="56"/>
      <c r="AG62" s="56"/>
      <c r="AH62" s="16"/>
      <c r="AI62" s="16"/>
      <c r="AJ62" s="16"/>
      <c r="AK62" s="16"/>
      <c r="AL62" s="16"/>
    </row>
    <row r="63" spans="1:38" s="8" customFormat="1" ht="12" customHeight="1">
      <c r="A63" s="39"/>
      <c r="B63" s="13"/>
      <c r="C63" s="12"/>
      <c r="D63" s="72"/>
      <c r="E63" s="56"/>
      <c r="F63" s="56"/>
      <c r="G63" s="56"/>
      <c r="H63" s="56"/>
      <c r="I63" s="56"/>
      <c r="J63" s="1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16"/>
      <c r="AF63" s="56"/>
      <c r="AG63" s="56"/>
      <c r="AH63" s="16"/>
      <c r="AI63" s="16"/>
      <c r="AJ63" s="16"/>
      <c r="AK63" s="16"/>
      <c r="AL63" s="16"/>
    </row>
    <row r="64" spans="1:38" s="8" customFormat="1" ht="12" customHeight="1">
      <c r="A64" s="39"/>
      <c r="B64" s="13" t="s">
        <v>72</v>
      </c>
      <c r="C64" s="12" t="s">
        <v>30</v>
      </c>
      <c r="D64" s="72" t="e">
        <f>SUM(F64:AN64)</f>
        <v>#REF!</v>
      </c>
      <c r="E64" s="56" t="e">
        <f>#REF!</f>
        <v>#REF!</v>
      </c>
      <c r="F64" s="56" t="e">
        <f>#REF!</f>
        <v>#REF!</v>
      </c>
      <c r="G64" s="56" t="e">
        <f>#REF!</f>
        <v>#REF!</v>
      </c>
      <c r="H64" s="56" t="e">
        <f>#REF!</f>
        <v>#REF!</v>
      </c>
      <c r="I64" s="56" t="e">
        <f>#REF!</f>
        <v>#REF!</v>
      </c>
      <c r="J64" s="16"/>
      <c r="K64" s="56"/>
      <c r="L64" s="56"/>
      <c r="M64" s="56"/>
      <c r="N64" s="56" t="e">
        <f>#REF!</f>
        <v>#REF!</v>
      </c>
      <c r="O64" s="56" t="e">
        <f>#REF!</f>
        <v>#REF!</v>
      </c>
      <c r="P64" s="56"/>
      <c r="Q64" s="56" t="e">
        <f>#REF!</f>
        <v>#REF!</v>
      </c>
      <c r="R64" s="56"/>
      <c r="S64" s="56"/>
      <c r="T64" s="56" t="e">
        <f>#REF!</f>
        <v>#REF!</v>
      </c>
      <c r="U64" s="56" t="e">
        <f>#REF!</f>
        <v>#REF!</v>
      </c>
      <c r="V64" s="56"/>
      <c r="W64" s="96" t="e">
        <f>#REF!</f>
        <v>#REF!</v>
      </c>
      <c r="X64" s="56"/>
      <c r="Y64" s="56"/>
      <c r="Z64" s="56"/>
      <c r="AA64" s="56"/>
      <c r="AB64" s="56"/>
      <c r="AC64" s="56"/>
      <c r="AD64" s="56" t="e">
        <f>#REF!</f>
        <v>#REF!</v>
      </c>
      <c r="AE64" s="16"/>
      <c r="AF64" s="56"/>
      <c r="AG64" s="56"/>
      <c r="AH64" s="16"/>
      <c r="AI64" s="16" t="e">
        <f>#REF!</f>
        <v>#REF!</v>
      </c>
      <c r="AJ64" s="16" t="e">
        <f>#REF!</f>
        <v>#REF!</v>
      </c>
      <c r="AK64" s="16" t="e">
        <f>#REF!</f>
        <v>#REF!</v>
      </c>
      <c r="AL64" s="16"/>
    </row>
    <row r="65" spans="1:38" s="8" customFormat="1" ht="12" customHeight="1">
      <c r="A65" s="39"/>
      <c r="B65" s="13"/>
      <c r="C65" s="12"/>
      <c r="D65" s="72"/>
      <c r="E65" s="56"/>
      <c r="F65" s="56"/>
      <c r="G65" s="56"/>
      <c r="H65" s="56"/>
      <c r="I65" s="56"/>
      <c r="J65" s="1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16"/>
      <c r="AF65" s="56"/>
      <c r="AG65" s="56"/>
      <c r="AH65" s="16"/>
      <c r="AI65" s="16"/>
      <c r="AJ65" s="16"/>
      <c r="AK65" s="16"/>
      <c r="AL65" s="16"/>
    </row>
    <row r="66" spans="1:38" s="8" customFormat="1" ht="12" customHeight="1">
      <c r="A66" s="39"/>
      <c r="B66" s="13" t="s">
        <v>22</v>
      </c>
      <c r="C66" s="12" t="s">
        <v>30</v>
      </c>
      <c r="D66" s="72" t="e">
        <f>SUM(F66:AN66)</f>
        <v>#REF!</v>
      </c>
      <c r="E66" s="56" t="e">
        <f>#REF!</f>
        <v>#REF!</v>
      </c>
      <c r="F66" s="56" t="e">
        <f>#REF!</f>
        <v>#REF!</v>
      </c>
      <c r="G66" s="56" t="e">
        <f>#REF!</f>
        <v>#REF!</v>
      </c>
      <c r="H66" s="56" t="e">
        <f>#REF!</f>
        <v>#REF!</v>
      </c>
      <c r="I66" s="56" t="e">
        <f>#REF!</f>
        <v>#REF!</v>
      </c>
      <c r="J66" s="16" t="e">
        <f>#REF!</f>
        <v>#REF!</v>
      </c>
      <c r="K66" s="56"/>
      <c r="L66" s="56"/>
      <c r="M66" s="56"/>
      <c r="N66" s="56" t="e">
        <f>#REF!</f>
        <v>#REF!</v>
      </c>
      <c r="O66" s="56" t="e">
        <f>#REF!</f>
        <v>#REF!</v>
      </c>
      <c r="P66" s="56" t="e">
        <f>#REF!</f>
        <v>#REF!</v>
      </c>
      <c r="Q66" s="56" t="e">
        <f>#REF!</f>
        <v>#REF!</v>
      </c>
      <c r="R66" s="56"/>
      <c r="S66" s="56" t="e">
        <f>#REF!</f>
        <v>#REF!</v>
      </c>
      <c r="T66" s="56" t="e">
        <f>#REF!</f>
        <v>#REF!</v>
      </c>
      <c r="U66" s="56" t="e">
        <f>#REF!</f>
        <v>#REF!</v>
      </c>
      <c r="V66" s="56" t="e">
        <f>#REF!</f>
        <v>#REF!</v>
      </c>
      <c r="W66" s="56" t="e">
        <f>#REF!</f>
        <v>#REF!</v>
      </c>
      <c r="X66" s="56" t="e">
        <f>#REF!</f>
        <v>#REF!</v>
      </c>
      <c r="Y66" s="56" t="e">
        <f>#REF!</f>
        <v>#REF!</v>
      </c>
      <c r="Z66" s="56" t="e">
        <f>#REF!</f>
        <v>#REF!</v>
      </c>
      <c r="AA66" s="56" t="e">
        <f>#REF!</f>
        <v>#REF!</v>
      </c>
      <c r="AB66" s="56" t="e">
        <f>#REF!</f>
        <v>#REF!</v>
      </c>
      <c r="AC66" s="56" t="e">
        <f>#REF!</f>
        <v>#REF!</v>
      </c>
      <c r="AD66" s="56" t="e">
        <f>#REF!</f>
        <v>#REF!</v>
      </c>
      <c r="AE66" s="16"/>
      <c r="AF66" s="56"/>
      <c r="AG66" s="56" t="e">
        <f>#REF!</f>
        <v>#REF!</v>
      </c>
      <c r="AH66" s="16"/>
      <c r="AI66" s="16" t="e">
        <f>#REF!</f>
        <v>#REF!</v>
      </c>
      <c r="AJ66" s="16" t="e">
        <f>#REF!</f>
        <v>#REF!</v>
      </c>
      <c r="AK66" s="16" t="e">
        <f>#REF!</f>
        <v>#REF!</v>
      </c>
      <c r="AL66" s="16"/>
    </row>
    <row r="67" spans="1:38" s="8" customFormat="1" ht="12" customHeight="1">
      <c r="A67" s="39"/>
      <c r="B67" s="13"/>
      <c r="C67" s="12"/>
      <c r="D67" s="72"/>
      <c r="E67" s="56"/>
      <c r="F67" s="56"/>
      <c r="G67" s="56"/>
      <c r="H67" s="56"/>
      <c r="I67" s="56"/>
      <c r="J67" s="1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16"/>
      <c r="AF67" s="56"/>
      <c r="AG67" s="56"/>
      <c r="AH67" s="16"/>
      <c r="AI67" s="16"/>
      <c r="AJ67" s="16"/>
      <c r="AK67" s="16"/>
      <c r="AL67" s="16"/>
    </row>
    <row r="68" spans="1:38" s="8" customFormat="1" ht="12" customHeight="1">
      <c r="A68" s="39"/>
      <c r="B68" s="13" t="s">
        <v>36</v>
      </c>
      <c r="C68" s="12" t="s">
        <v>30</v>
      </c>
      <c r="D68" s="72" t="e">
        <f>SUM(F68:AN68)</f>
        <v>#REF!</v>
      </c>
      <c r="E68" s="56" t="e">
        <f>#REF!</f>
        <v>#REF!</v>
      </c>
      <c r="F68" s="56" t="e">
        <f>#REF!</f>
        <v>#REF!</v>
      </c>
      <c r="G68" s="56" t="e">
        <f>#REF!</f>
        <v>#REF!</v>
      </c>
      <c r="H68" s="56" t="e">
        <f>#REF!</f>
        <v>#REF!</v>
      </c>
      <c r="I68" s="56" t="e">
        <f>#REF!</f>
        <v>#REF!</v>
      </c>
      <c r="J68" s="16"/>
      <c r="K68" s="56"/>
      <c r="L68" s="56"/>
      <c r="M68" s="56"/>
      <c r="N68" s="95"/>
      <c r="O68" s="56"/>
      <c r="P68" s="56"/>
      <c r="Q68" s="56"/>
      <c r="R68" s="56"/>
      <c r="S68" s="56" t="e">
        <f>#REF!</f>
        <v>#REF!</v>
      </c>
      <c r="T68" s="56" t="e">
        <f>#REF!</f>
        <v>#REF!</v>
      </c>
      <c r="U68" s="95"/>
      <c r="V68" s="56"/>
      <c r="W68" s="56" t="e">
        <f>#REF!</f>
        <v>#REF!</v>
      </c>
      <c r="X68" s="56" t="e">
        <f>#REF!</f>
        <v>#REF!</v>
      </c>
      <c r="Y68" s="56" t="e">
        <f>#REF!</f>
        <v>#REF!</v>
      </c>
      <c r="Z68" s="56" t="e">
        <f>#REF!</f>
        <v>#REF!</v>
      </c>
      <c r="AA68" s="56" t="e">
        <f>#REF!</f>
        <v>#REF!</v>
      </c>
      <c r="AB68" s="56" t="e">
        <f>#REF!</f>
        <v>#REF!</v>
      </c>
      <c r="AC68" s="56" t="e">
        <f>#REF!</f>
        <v>#REF!</v>
      </c>
      <c r="AD68" s="56" t="e">
        <f>#REF!</f>
        <v>#REF!</v>
      </c>
      <c r="AE68" s="16"/>
      <c r="AF68" s="56"/>
      <c r="AG68" s="56" t="e">
        <f>#REF!</f>
        <v>#REF!</v>
      </c>
      <c r="AH68" s="16"/>
      <c r="AI68" s="16"/>
      <c r="AJ68" s="16"/>
      <c r="AK68" s="16"/>
      <c r="AL68" s="16"/>
    </row>
    <row r="69" spans="1:38" s="8" customFormat="1" ht="12" customHeight="1">
      <c r="A69" s="39"/>
      <c r="B69" s="13"/>
      <c r="C69" s="12"/>
      <c r="D69" s="72"/>
      <c r="E69" s="56"/>
      <c r="F69" s="56"/>
      <c r="G69" s="56"/>
      <c r="H69" s="56"/>
      <c r="I69" s="56"/>
      <c r="J69" s="1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16"/>
      <c r="AF69" s="56"/>
      <c r="AG69" s="56"/>
      <c r="AH69" s="16"/>
      <c r="AI69" s="16"/>
      <c r="AJ69" s="16"/>
      <c r="AK69" s="16"/>
      <c r="AL69" s="16"/>
    </row>
    <row r="70" spans="1:38" s="8" customFormat="1" ht="12" customHeight="1">
      <c r="A70" s="39"/>
      <c r="B70" s="13" t="s">
        <v>21</v>
      </c>
      <c r="C70" s="12" t="s">
        <v>30</v>
      </c>
      <c r="D70" s="72" t="e">
        <f>SUM(F70:AN70)</f>
        <v>#REF!</v>
      </c>
      <c r="E70" s="56" t="e">
        <f>#REF!</f>
        <v>#REF!</v>
      </c>
      <c r="F70" s="56" t="e">
        <f>#REF!</f>
        <v>#REF!</v>
      </c>
      <c r="G70" s="56" t="e">
        <f>#REF!</f>
        <v>#REF!</v>
      </c>
      <c r="H70" s="56" t="e">
        <f>#REF!</f>
        <v>#REF!</v>
      </c>
      <c r="I70" s="56" t="e">
        <f>#REF!</f>
        <v>#REF!</v>
      </c>
      <c r="J70" s="16" t="e">
        <f>#REF!</f>
        <v>#REF!</v>
      </c>
      <c r="K70" s="56"/>
      <c r="L70" s="56"/>
      <c r="M70" s="56"/>
      <c r="N70" s="56" t="e">
        <f>#REF!</f>
        <v>#REF!</v>
      </c>
      <c r="O70" s="56" t="e">
        <f>#REF!</f>
        <v>#REF!</v>
      </c>
      <c r="P70" s="56"/>
      <c r="Q70" s="56" t="e">
        <f>#REF!</f>
        <v>#REF!</v>
      </c>
      <c r="R70" s="97"/>
      <c r="S70" s="56" t="e">
        <f>#REF!</f>
        <v>#REF!</v>
      </c>
      <c r="T70" s="56" t="e">
        <f>#REF!</f>
        <v>#REF!</v>
      </c>
      <c r="U70" s="56" t="e">
        <f>#REF!</f>
        <v>#REF!</v>
      </c>
      <c r="V70" s="56" t="e">
        <f>#REF!</f>
        <v>#REF!</v>
      </c>
      <c r="W70" s="56" t="e">
        <f>#REF!</f>
        <v>#REF!</v>
      </c>
      <c r="X70" s="56" t="e">
        <f>#REF!</f>
        <v>#REF!</v>
      </c>
      <c r="Y70" s="56" t="e">
        <f>#REF!</f>
        <v>#REF!</v>
      </c>
      <c r="Z70" s="56" t="e">
        <f>#REF!</f>
        <v>#REF!</v>
      </c>
      <c r="AA70" s="56" t="e">
        <f>#REF!</f>
        <v>#REF!</v>
      </c>
      <c r="AB70" s="56" t="e">
        <f>#REF!</f>
        <v>#REF!</v>
      </c>
      <c r="AC70" s="56" t="e">
        <f>#REF!</f>
        <v>#REF!</v>
      </c>
      <c r="AD70" s="56" t="e">
        <f>#REF!</f>
        <v>#REF!</v>
      </c>
      <c r="AE70" s="16"/>
      <c r="AF70" s="56"/>
      <c r="AG70" s="56"/>
      <c r="AH70" s="16"/>
      <c r="AI70" s="16"/>
      <c r="AJ70" s="16"/>
      <c r="AK70" s="16"/>
      <c r="AL70" s="16" t="e">
        <f>#REF!</f>
        <v>#REF!</v>
      </c>
    </row>
    <row r="71" spans="1:38" s="8" customFormat="1" ht="12" customHeight="1">
      <c r="A71" s="39"/>
      <c r="B71" s="13"/>
      <c r="C71" s="12"/>
      <c r="D71" s="72"/>
      <c r="E71" s="56"/>
      <c r="F71" s="56"/>
      <c r="G71" s="56"/>
      <c r="H71" s="56"/>
      <c r="I71" s="56"/>
      <c r="J71" s="1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16"/>
      <c r="AF71" s="56"/>
      <c r="AG71" s="56"/>
      <c r="AH71" s="16"/>
      <c r="AI71" s="16"/>
      <c r="AJ71" s="16"/>
      <c r="AK71" s="16"/>
      <c r="AL71" s="16"/>
    </row>
    <row r="72" spans="1:38" s="8" customFormat="1" ht="12" customHeight="1">
      <c r="A72" s="39"/>
      <c r="B72" s="13" t="s">
        <v>73</v>
      </c>
      <c r="C72" s="12" t="s">
        <v>30</v>
      </c>
      <c r="D72" s="72" t="e">
        <f>SUM(F72:AN72)</f>
        <v>#REF!</v>
      </c>
      <c r="E72" s="56"/>
      <c r="F72" s="56"/>
      <c r="G72" s="56"/>
      <c r="H72" s="98"/>
      <c r="I72" s="56"/>
      <c r="J72" s="16"/>
      <c r="K72" s="56"/>
      <c r="L72" s="56"/>
      <c r="M72" s="56"/>
      <c r="N72" s="56"/>
      <c r="O72" s="56" t="e">
        <f>#REF!</f>
        <v>#REF!</v>
      </c>
      <c r="P72" s="56"/>
      <c r="Q72" s="56" t="e">
        <f>#REF!</f>
        <v>#REF!</v>
      </c>
      <c r="R72" s="56"/>
      <c r="S72" s="56"/>
      <c r="T72" s="56" t="e">
        <f>#REF!</f>
        <v>#REF!</v>
      </c>
      <c r="U72" s="56"/>
      <c r="V72" s="56"/>
      <c r="W72" s="56"/>
      <c r="X72" s="56"/>
      <c r="Y72" s="56"/>
      <c r="Z72" s="56"/>
      <c r="AA72" s="56"/>
      <c r="AB72" s="56"/>
      <c r="AC72" s="56"/>
      <c r="AD72" s="56" t="e">
        <f>#REF!</f>
        <v>#REF!</v>
      </c>
      <c r="AE72" s="16"/>
      <c r="AF72" s="56"/>
      <c r="AG72" s="56"/>
      <c r="AH72" s="16"/>
      <c r="AI72" s="16"/>
      <c r="AJ72" s="16"/>
      <c r="AK72" s="16"/>
      <c r="AL72" s="16"/>
    </row>
    <row r="73" spans="1:38" s="8" customFormat="1" ht="12" customHeight="1">
      <c r="A73" s="39"/>
      <c r="B73" s="13"/>
      <c r="C73" s="12"/>
      <c r="D73" s="72"/>
      <c r="E73" s="96"/>
      <c r="F73" s="99"/>
      <c r="G73" s="55"/>
      <c r="H73" s="56"/>
      <c r="I73" s="56"/>
      <c r="J73" s="14"/>
      <c r="K73" s="55"/>
      <c r="L73" s="55"/>
      <c r="M73" s="55"/>
      <c r="N73" s="55"/>
      <c r="O73" s="55"/>
      <c r="P73" s="55"/>
      <c r="Q73" s="55"/>
      <c r="R73" s="55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55"/>
      <c r="AE73" s="14"/>
      <c r="AF73" s="55"/>
      <c r="AG73" s="55"/>
      <c r="AH73" s="14"/>
      <c r="AI73" s="14"/>
      <c r="AJ73" s="14"/>
      <c r="AK73" s="14"/>
      <c r="AL73" s="14"/>
    </row>
    <row r="74" spans="1:38" s="8" customFormat="1" ht="12" customHeight="1">
      <c r="A74" s="39"/>
      <c r="B74" s="13" t="s">
        <v>92</v>
      </c>
      <c r="C74" s="12" t="s">
        <v>30</v>
      </c>
      <c r="D74" s="72" t="e">
        <f>SUM(F74:AN74)</f>
        <v>#REF!</v>
      </c>
      <c r="E74" s="56" t="e">
        <f>#REF!</f>
        <v>#REF!</v>
      </c>
      <c r="F74" s="99"/>
      <c r="G74" s="55"/>
      <c r="H74" s="56"/>
      <c r="I74" s="56"/>
      <c r="J74" s="14"/>
      <c r="K74" s="55"/>
      <c r="L74" s="55"/>
      <c r="M74" s="55"/>
      <c r="N74" s="55"/>
      <c r="O74" s="56" t="e">
        <f>#REF!</f>
        <v>#REF!</v>
      </c>
      <c r="P74" s="56"/>
      <c r="Q74" s="56" t="e">
        <f>#REF!</f>
        <v>#REF!</v>
      </c>
      <c r="R74" s="55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56" t="e">
        <f>#REF!</f>
        <v>#REF!</v>
      </c>
      <c r="AE74" s="14"/>
      <c r="AF74" s="55"/>
      <c r="AG74" s="55"/>
      <c r="AH74" s="14"/>
      <c r="AI74" s="14"/>
      <c r="AJ74" s="14"/>
      <c r="AK74" s="14"/>
      <c r="AL74" s="14"/>
    </row>
    <row r="75" spans="1:38" s="8" customFormat="1" ht="12" customHeight="1">
      <c r="A75" s="39"/>
      <c r="B75" s="13"/>
      <c r="C75" s="12"/>
      <c r="D75" s="72"/>
      <c r="E75" s="96"/>
      <c r="F75" s="99"/>
      <c r="G75" s="55"/>
      <c r="H75" s="56"/>
      <c r="I75" s="56"/>
      <c r="J75" s="14"/>
      <c r="K75" s="55"/>
      <c r="L75" s="55"/>
      <c r="M75" s="55"/>
      <c r="N75" s="55"/>
      <c r="O75" s="56"/>
      <c r="P75" s="56"/>
      <c r="Q75" s="56"/>
      <c r="R75" s="55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55"/>
      <c r="AE75" s="14"/>
      <c r="AF75" s="55"/>
      <c r="AG75" s="55"/>
      <c r="AH75" s="14"/>
      <c r="AI75" s="14"/>
      <c r="AJ75" s="14"/>
      <c r="AK75" s="14"/>
      <c r="AL75" s="14"/>
    </row>
    <row r="76" spans="1:38" s="8" customFormat="1" ht="12" customHeight="1">
      <c r="A76" s="39"/>
      <c r="B76" s="13" t="s">
        <v>93</v>
      </c>
      <c r="C76" s="12" t="s">
        <v>30</v>
      </c>
      <c r="D76" s="72" t="e">
        <f>SUM(F76:AN76)</f>
        <v>#REF!</v>
      </c>
      <c r="E76" s="96"/>
      <c r="F76" s="99"/>
      <c r="G76" s="55"/>
      <c r="H76" s="56"/>
      <c r="I76" s="56"/>
      <c r="J76" s="14"/>
      <c r="K76" s="55"/>
      <c r="L76" s="55"/>
      <c r="M76" s="55"/>
      <c r="N76" s="55"/>
      <c r="O76" s="56" t="e">
        <f>#REF!</f>
        <v>#REF!</v>
      </c>
      <c r="P76" s="56"/>
      <c r="Q76" s="56"/>
      <c r="R76" s="55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56" t="e">
        <f>#REF!</f>
        <v>#REF!</v>
      </c>
      <c r="AE76" s="14"/>
      <c r="AF76" s="55"/>
      <c r="AG76" s="55"/>
      <c r="AH76" s="14"/>
      <c r="AI76" s="14"/>
      <c r="AJ76" s="14"/>
      <c r="AK76" s="14"/>
      <c r="AL76" s="14"/>
    </row>
    <row r="77" spans="1:38" s="8" customFormat="1" ht="12" customHeight="1">
      <c r="A77" s="39"/>
      <c r="B77" s="13"/>
      <c r="C77" s="12"/>
      <c r="D77" s="72"/>
      <c r="E77" s="96"/>
      <c r="F77" s="99"/>
      <c r="G77" s="55"/>
      <c r="H77" s="56"/>
      <c r="I77" s="56"/>
      <c r="J77" s="14"/>
      <c r="K77" s="55"/>
      <c r="L77" s="55"/>
      <c r="M77" s="55"/>
      <c r="N77" s="55"/>
      <c r="O77" s="55"/>
      <c r="P77" s="55"/>
      <c r="Q77" s="55"/>
      <c r="R77" s="55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4"/>
      <c r="AF77" s="55"/>
      <c r="AG77" s="55"/>
      <c r="AH77" s="14"/>
      <c r="AI77" s="14"/>
      <c r="AJ77" s="14"/>
      <c r="AK77" s="14"/>
      <c r="AL77" s="14"/>
    </row>
    <row r="78" spans="1:38" s="8" customFormat="1" ht="12" customHeight="1">
      <c r="A78" s="39"/>
      <c r="B78" s="13" t="s">
        <v>81</v>
      </c>
      <c r="C78" s="12" t="s">
        <v>30</v>
      </c>
      <c r="D78" s="72" t="e">
        <f>SUM(F78:AN78)</f>
        <v>#REF!</v>
      </c>
      <c r="E78" s="96"/>
      <c r="F78" s="99"/>
      <c r="G78" s="55"/>
      <c r="H78" s="56" t="e">
        <f>#REF!</f>
        <v>#REF!</v>
      </c>
      <c r="I78" s="56"/>
      <c r="J78" s="14"/>
      <c r="K78" s="55"/>
      <c r="L78" s="55"/>
      <c r="M78" s="55"/>
      <c r="N78" s="55"/>
      <c r="O78" s="55"/>
      <c r="P78" s="55"/>
      <c r="Q78" s="55"/>
      <c r="R78" s="55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4"/>
      <c r="AF78" s="55"/>
      <c r="AG78" s="55"/>
      <c r="AH78" s="14"/>
      <c r="AI78" s="14"/>
      <c r="AJ78" s="14"/>
      <c r="AK78" s="14"/>
      <c r="AL78" s="14"/>
    </row>
    <row r="79" spans="1:38" s="8" customFormat="1" ht="12" customHeight="1">
      <c r="A79" s="39"/>
      <c r="B79" s="13"/>
      <c r="C79" s="12"/>
      <c r="D79" s="72"/>
      <c r="E79" s="96"/>
      <c r="F79" s="99"/>
      <c r="G79" s="55"/>
      <c r="H79" s="56"/>
      <c r="I79" s="56"/>
      <c r="J79" s="14"/>
      <c r="K79" s="55"/>
      <c r="L79" s="55"/>
      <c r="M79" s="55"/>
      <c r="N79" s="55"/>
      <c r="O79" s="55"/>
      <c r="P79" s="55"/>
      <c r="Q79" s="55"/>
      <c r="R79" s="55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4"/>
      <c r="AF79" s="55"/>
      <c r="AG79" s="55"/>
      <c r="AH79" s="14"/>
      <c r="AI79" s="14"/>
      <c r="AJ79" s="14"/>
      <c r="AK79" s="14"/>
      <c r="AL79" s="14"/>
    </row>
    <row r="80" spans="1:38" s="8" customFormat="1" ht="12" customHeight="1">
      <c r="A80" s="39"/>
      <c r="B80" s="13" t="s">
        <v>83</v>
      </c>
      <c r="C80" s="12" t="s">
        <v>30</v>
      </c>
      <c r="D80" s="72" t="e">
        <f>SUM(F80:AN80)</f>
        <v>#REF!</v>
      </c>
      <c r="E80" s="96"/>
      <c r="F80" s="99"/>
      <c r="G80" s="55"/>
      <c r="H80" s="56"/>
      <c r="I80" s="56"/>
      <c r="J80" s="14"/>
      <c r="K80" s="55"/>
      <c r="L80" s="56" t="e">
        <f>#REF!</f>
        <v>#REF!</v>
      </c>
      <c r="M80" s="55"/>
      <c r="N80" s="55"/>
      <c r="O80" s="55"/>
      <c r="P80" s="55"/>
      <c r="Q80" s="55"/>
      <c r="R80" s="55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4"/>
      <c r="AF80" s="55"/>
      <c r="AG80" s="55"/>
      <c r="AH80" s="14"/>
      <c r="AI80" s="14"/>
      <c r="AJ80" s="14"/>
      <c r="AK80" s="14"/>
      <c r="AL80" s="14"/>
    </row>
    <row r="81" spans="1:38" s="8" customFormat="1" ht="12" customHeight="1">
      <c r="A81" s="39"/>
      <c r="B81" s="13"/>
      <c r="C81" s="12"/>
      <c r="D81" s="72"/>
      <c r="E81" s="96"/>
      <c r="F81" s="99"/>
      <c r="G81" s="55"/>
      <c r="H81" s="56"/>
      <c r="I81" s="56"/>
      <c r="J81" s="14"/>
      <c r="K81" s="55"/>
      <c r="L81" s="55"/>
      <c r="M81" s="55"/>
      <c r="N81" s="55"/>
      <c r="O81" s="55"/>
      <c r="P81" s="55"/>
      <c r="Q81" s="55"/>
      <c r="R81" s="55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4"/>
      <c r="AF81" s="55"/>
      <c r="AG81" s="55"/>
      <c r="AH81" s="14"/>
      <c r="AI81" s="14"/>
      <c r="AJ81" s="14"/>
      <c r="AK81" s="14"/>
      <c r="AL81" s="14"/>
    </row>
    <row r="82" spans="1:38" s="8" customFormat="1" ht="12" customHeight="1">
      <c r="A82" s="39"/>
      <c r="B82" s="21" t="s">
        <v>86</v>
      </c>
      <c r="C82" s="12" t="s">
        <v>30</v>
      </c>
      <c r="D82" s="72" t="e">
        <f>SUM(F82:AN82)</f>
        <v>#REF!</v>
      </c>
      <c r="E82" s="101"/>
      <c r="F82" s="102"/>
      <c r="G82" s="59"/>
      <c r="H82" s="57"/>
      <c r="I82" s="57"/>
      <c r="J82" s="22"/>
      <c r="K82" s="59"/>
      <c r="L82" s="59"/>
      <c r="M82" s="59"/>
      <c r="N82" s="59"/>
      <c r="O82" s="59"/>
      <c r="P82" s="59"/>
      <c r="Q82" s="59"/>
      <c r="R82" s="56" t="e">
        <f>#REF!</f>
        <v>#REF!</v>
      </c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23" t="e">
        <f>#REF!</f>
        <v>#REF!</v>
      </c>
      <c r="AF82" s="59"/>
      <c r="AG82" s="59"/>
      <c r="AH82" s="22"/>
      <c r="AI82" s="22"/>
      <c r="AJ82" s="22"/>
      <c r="AK82" s="22"/>
      <c r="AL82" s="22"/>
    </row>
    <row r="83" spans="1:38" s="8" customFormat="1" ht="12" customHeight="1">
      <c r="A83" s="39"/>
      <c r="B83" s="18"/>
      <c r="C83" s="17"/>
      <c r="D83" s="80"/>
      <c r="E83" s="60"/>
      <c r="F83" s="104"/>
      <c r="G83" s="60"/>
      <c r="H83" s="60"/>
      <c r="I83" s="60"/>
      <c r="J83" s="19"/>
      <c r="K83" s="60"/>
      <c r="L83" s="60"/>
      <c r="M83" s="60"/>
      <c r="N83" s="60"/>
      <c r="O83" s="60"/>
      <c r="P83" s="60"/>
      <c r="Q83" s="60"/>
      <c r="R83" s="60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9"/>
      <c r="AF83" s="60"/>
      <c r="AG83" s="60"/>
      <c r="AH83" s="19"/>
      <c r="AI83" s="19"/>
      <c r="AJ83" s="19"/>
      <c r="AK83" s="19"/>
      <c r="AL83" s="19"/>
    </row>
    <row r="84" spans="1:38" ht="33.75">
      <c r="B84" s="131" t="s">
        <v>39</v>
      </c>
      <c r="C84" s="111"/>
      <c r="D84" s="117"/>
      <c r="E84" s="118"/>
      <c r="F84" s="117"/>
      <c r="G84" s="118"/>
      <c r="H84" s="118"/>
      <c r="I84" s="118"/>
      <c r="J84" s="132"/>
      <c r="K84" s="118"/>
      <c r="L84" s="118"/>
      <c r="M84" s="118"/>
      <c r="N84" s="118"/>
      <c r="O84" s="118"/>
      <c r="P84" s="118"/>
      <c r="Q84" s="118"/>
      <c r="R84" s="118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8"/>
      <c r="AF84" s="118"/>
      <c r="AG84" s="118"/>
      <c r="AH84" s="133"/>
      <c r="AI84" s="133"/>
      <c r="AJ84" s="133"/>
      <c r="AK84" s="133"/>
      <c r="AL84" s="133"/>
    </row>
    <row r="85" spans="1:38" hidden="1">
      <c r="B85" s="3"/>
      <c r="C85" s="4"/>
      <c r="D85" s="9" t="e">
        <f>D44/(D64+D66+D68+D72+D78+D80)</f>
        <v>#REF!</v>
      </c>
      <c r="F85" s="105" t="s">
        <v>79</v>
      </c>
      <c r="G85" s="61"/>
      <c r="H85" s="61"/>
      <c r="I85" s="61"/>
      <c r="J85" s="11"/>
      <c r="K85" s="61"/>
      <c r="L85" s="61"/>
      <c r="M85" s="61"/>
      <c r="N85" s="61"/>
      <c r="O85" s="61"/>
      <c r="P85" s="61"/>
      <c r="Q85" s="61"/>
      <c r="R85" s="61"/>
      <c r="S85" s="105"/>
      <c r="T85" s="105"/>
      <c r="U85" s="105"/>
      <c r="AI85" s="11"/>
      <c r="AJ85" s="11"/>
      <c r="AK85" s="11"/>
      <c r="AL85" s="11"/>
    </row>
    <row r="86" spans="1:38" ht="22.5" hidden="1">
      <c r="B86" s="3" t="s">
        <v>32</v>
      </c>
      <c r="C86" s="4"/>
      <c r="F86" s="105"/>
      <c r="G86" s="61"/>
      <c r="H86" s="61"/>
      <c r="I86" s="61"/>
      <c r="J86" s="11"/>
      <c r="K86" s="61"/>
      <c r="L86" s="61"/>
      <c r="M86" s="61"/>
      <c r="N86" s="61"/>
      <c r="O86" s="61"/>
      <c r="P86" s="61"/>
      <c r="Q86" s="61"/>
      <c r="R86" s="61"/>
      <c r="S86" s="105"/>
      <c r="T86" s="105"/>
      <c r="U86" s="105"/>
      <c r="AI86" s="11"/>
      <c r="AJ86" s="11"/>
      <c r="AK86" s="11"/>
      <c r="AL86" s="11"/>
    </row>
    <row r="87" spans="1:38" hidden="1">
      <c r="B87" s="42"/>
      <c r="C87" s="4"/>
      <c r="F87" s="105"/>
      <c r="G87" s="61"/>
      <c r="H87" s="61"/>
      <c r="I87" s="61"/>
      <c r="J87" s="11"/>
      <c r="K87" s="61"/>
      <c r="L87" s="61"/>
      <c r="M87" s="61"/>
      <c r="N87" s="61"/>
      <c r="O87" s="61"/>
      <c r="P87" s="61"/>
      <c r="Q87" s="61"/>
      <c r="R87" s="61"/>
      <c r="S87" s="105"/>
      <c r="T87" s="105"/>
      <c r="U87" s="105"/>
      <c r="AI87" s="11"/>
      <c r="AJ87" s="11"/>
      <c r="AK87" s="11"/>
      <c r="AL87" s="11"/>
    </row>
    <row r="88" spans="1:38" s="8" customFormat="1" ht="67.5">
      <c r="B88" s="13" t="s">
        <v>77</v>
      </c>
      <c r="C88" s="12" t="s">
        <v>6</v>
      </c>
      <c r="D88" s="72" t="e">
        <f>SUM(F88:AN88)</f>
        <v>#REF!</v>
      </c>
      <c r="E88" s="106" t="e">
        <f>#REF!</f>
        <v>#REF!</v>
      </c>
      <c r="F88" s="106" t="e">
        <f>#REF!</f>
        <v>#REF!</v>
      </c>
      <c r="G88" s="106" t="e">
        <f>#REF!</f>
        <v>#REF!</v>
      </c>
      <c r="H88" s="62"/>
      <c r="I88" s="62"/>
      <c r="J88" s="46"/>
      <c r="K88" s="62"/>
      <c r="L88" s="62"/>
      <c r="M88" s="62"/>
      <c r="N88" s="62"/>
      <c r="O88" s="62" t="e">
        <f>#REF!</f>
        <v>#REF!</v>
      </c>
      <c r="P88" s="62"/>
      <c r="Q88" s="62"/>
      <c r="R88" s="62"/>
      <c r="S88" s="62"/>
      <c r="T88" s="62"/>
      <c r="U88" s="62"/>
      <c r="V88" s="62"/>
      <c r="W88" s="62"/>
      <c r="X88" s="106" t="e">
        <f>#REF!</f>
        <v>#REF!</v>
      </c>
      <c r="Y88" s="62"/>
      <c r="Z88" s="62"/>
      <c r="AA88" s="62"/>
      <c r="AB88" s="62"/>
      <c r="AC88" s="106" t="e">
        <f>#REF!</f>
        <v>#REF!</v>
      </c>
      <c r="AD88" s="62"/>
      <c r="AE88" s="62"/>
      <c r="AF88" s="62"/>
      <c r="AG88" s="62"/>
      <c r="AH88" s="46"/>
      <c r="AI88" s="46"/>
      <c r="AJ88" s="46"/>
      <c r="AK88" s="46"/>
      <c r="AL88" s="46"/>
    </row>
    <row r="89" spans="1:38" s="8" customFormat="1">
      <c r="B89" s="13"/>
      <c r="C89" s="12"/>
      <c r="D89" s="72"/>
      <c r="E89" s="58"/>
      <c r="F89" s="58"/>
      <c r="G89" s="107"/>
      <c r="H89" s="54"/>
      <c r="I89" s="54"/>
      <c r="J89" s="26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26"/>
      <c r="AI89" s="26"/>
      <c r="AJ89" s="26"/>
      <c r="AK89" s="26"/>
      <c r="AL89" s="26"/>
    </row>
    <row r="90" spans="1:38" s="8" customFormat="1" ht="67.5">
      <c r="B90" s="47" t="s">
        <v>37</v>
      </c>
      <c r="C90" s="48" t="s">
        <v>6</v>
      </c>
      <c r="D90" s="72" t="e">
        <f>SUM(F90:AN90)</f>
        <v>#REF!</v>
      </c>
      <c r="E90" s="55"/>
      <c r="F90" s="55"/>
      <c r="G90" s="59"/>
      <c r="H90" s="100"/>
      <c r="I90" s="55"/>
      <c r="J90" s="14"/>
      <c r="K90" s="55"/>
      <c r="L90" s="55"/>
      <c r="M90" s="55"/>
      <c r="N90" s="55"/>
      <c r="O90" s="55"/>
      <c r="P90" s="55"/>
      <c r="Q90" s="55"/>
      <c r="R90" s="55"/>
      <c r="S90" s="56" t="e">
        <f>#REF!</f>
        <v>#REF!</v>
      </c>
      <c r="T90" s="56" t="e">
        <f>#REF!</f>
        <v>#REF!</v>
      </c>
      <c r="U90" s="55"/>
      <c r="V90" s="55"/>
      <c r="W90" s="55"/>
      <c r="X90" s="55"/>
      <c r="Y90" s="56" t="e">
        <f>#REF!</f>
        <v>#REF!</v>
      </c>
      <c r="Z90" s="56"/>
      <c r="AA90" s="55"/>
      <c r="AB90" s="55"/>
      <c r="AC90" s="55"/>
      <c r="AD90" s="55"/>
      <c r="AE90" s="55"/>
      <c r="AF90" s="55"/>
      <c r="AG90" s="55"/>
      <c r="AH90" s="14"/>
      <c r="AI90" s="16" t="e">
        <f>#REF!</f>
        <v>#REF!</v>
      </c>
      <c r="AJ90" s="16" t="e">
        <f>#REF!</f>
        <v>#REF!</v>
      </c>
      <c r="AK90" s="16" t="e">
        <f>#REF!</f>
        <v>#REF!</v>
      </c>
      <c r="AL90" s="16"/>
    </row>
    <row r="91" spans="1:38" s="8" customFormat="1" ht="12">
      <c r="B91" s="47"/>
      <c r="C91" s="48"/>
      <c r="D91" s="76"/>
      <c r="E91" s="55"/>
      <c r="F91" s="55"/>
      <c r="G91" s="59"/>
      <c r="H91" s="100"/>
      <c r="I91" s="55"/>
      <c r="J91" s="14"/>
      <c r="K91" s="55"/>
      <c r="L91" s="55"/>
      <c r="M91" s="55"/>
      <c r="N91" s="55"/>
      <c r="O91" s="55"/>
      <c r="P91" s="55"/>
      <c r="Q91" s="55"/>
      <c r="R91" s="55"/>
      <c r="S91" s="55"/>
      <c r="T91" s="56"/>
      <c r="U91" s="55"/>
      <c r="V91" s="55"/>
      <c r="W91" s="55"/>
      <c r="X91" s="55"/>
      <c r="Y91" s="56"/>
      <c r="Z91" s="56"/>
      <c r="AA91" s="55"/>
      <c r="AB91" s="55"/>
      <c r="AC91" s="55"/>
      <c r="AD91" s="55"/>
      <c r="AE91" s="55"/>
      <c r="AF91" s="55"/>
      <c r="AG91" s="55"/>
      <c r="AH91" s="14"/>
      <c r="AI91" s="14"/>
      <c r="AJ91" s="14"/>
      <c r="AK91" s="14"/>
      <c r="AL91" s="14"/>
    </row>
    <row r="92" spans="1:38" s="8" customFormat="1" ht="53.45" customHeight="1">
      <c r="B92" s="13" t="s">
        <v>80</v>
      </c>
      <c r="C92" s="12" t="s">
        <v>6</v>
      </c>
      <c r="D92" s="72" t="e">
        <f>SUM(F92:AN92)</f>
        <v>#REF!</v>
      </c>
      <c r="E92" s="55"/>
      <c r="F92" s="55"/>
      <c r="G92" s="59"/>
      <c r="H92" s="56" t="e">
        <f>#REF!</f>
        <v>#REF!</v>
      </c>
      <c r="I92" s="55"/>
      <c r="J92" s="14"/>
      <c r="K92" s="55"/>
      <c r="L92" s="55"/>
      <c r="M92" s="55"/>
      <c r="N92" s="56" t="e">
        <f>#REF!</f>
        <v>#REF!</v>
      </c>
      <c r="O92" s="56"/>
      <c r="P92" s="56"/>
      <c r="Q92" s="56"/>
      <c r="R92" s="55"/>
      <c r="S92" s="56" t="e">
        <f>#REF!</f>
        <v>#REF!</v>
      </c>
      <c r="T92" s="56" t="e">
        <f>#REF!</f>
        <v>#REF!</v>
      </c>
      <c r="U92" s="56" t="e">
        <f>#REF!</f>
        <v>#REF!</v>
      </c>
      <c r="V92" s="55"/>
      <c r="W92" s="55"/>
      <c r="X92" s="55"/>
      <c r="Y92" s="56" t="e">
        <f>#REF!</f>
        <v>#REF!</v>
      </c>
      <c r="Z92" s="56" t="e">
        <f>#REF!</f>
        <v>#REF!</v>
      </c>
      <c r="AA92" s="55"/>
      <c r="AB92" s="56" t="e">
        <f>#REF!</f>
        <v>#REF!</v>
      </c>
      <c r="AC92" s="55"/>
      <c r="AD92" s="55"/>
      <c r="AE92" s="55"/>
      <c r="AF92" s="55"/>
      <c r="AG92" s="55"/>
      <c r="AH92" s="14"/>
      <c r="AI92" s="14"/>
      <c r="AJ92" s="14"/>
      <c r="AK92" s="14"/>
      <c r="AL92" s="14"/>
    </row>
    <row r="93" spans="1:38" s="8" customFormat="1" ht="13.15" customHeight="1">
      <c r="B93" s="13"/>
      <c r="C93" s="12"/>
      <c r="D93" s="72"/>
      <c r="E93" s="55"/>
      <c r="F93" s="55"/>
      <c r="G93" s="59"/>
      <c r="H93" s="56"/>
      <c r="I93" s="55"/>
      <c r="J93" s="14"/>
      <c r="K93" s="55"/>
      <c r="L93" s="55"/>
      <c r="M93" s="55"/>
      <c r="N93" s="56"/>
      <c r="O93" s="56"/>
      <c r="P93" s="56"/>
      <c r="Q93" s="56"/>
      <c r="R93" s="55"/>
      <c r="S93" s="56"/>
      <c r="T93" s="56"/>
      <c r="U93" s="56"/>
      <c r="V93" s="55"/>
      <c r="W93" s="55"/>
      <c r="X93" s="55"/>
      <c r="Y93" s="56"/>
      <c r="Z93" s="56"/>
      <c r="AA93" s="55"/>
      <c r="AB93" s="56"/>
      <c r="AC93" s="55"/>
      <c r="AD93" s="55"/>
      <c r="AE93" s="55"/>
      <c r="AF93" s="55"/>
      <c r="AG93" s="55"/>
      <c r="AH93" s="14"/>
      <c r="AI93" s="14"/>
      <c r="AJ93" s="14"/>
      <c r="AK93" s="14"/>
      <c r="AL93" s="14"/>
    </row>
    <row r="94" spans="1:38" s="8" customFormat="1" ht="58.15" customHeight="1">
      <c r="B94" s="47" t="s">
        <v>95</v>
      </c>
      <c r="C94" s="49" t="s">
        <v>6</v>
      </c>
      <c r="D94" s="72" t="e">
        <f>SUM(F94:AN94)</f>
        <v>#REF!</v>
      </c>
      <c r="E94" s="55"/>
      <c r="F94" s="55"/>
      <c r="G94" s="59"/>
      <c r="H94" s="56"/>
      <c r="I94" s="55"/>
      <c r="J94" s="14"/>
      <c r="K94" s="55"/>
      <c r="L94" s="55"/>
      <c r="M94" s="55"/>
      <c r="N94" s="56"/>
      <c r="O94" s="56"/>
      <c r="P94" s="56"/>
      <c r="Q94" s="56"/>
      <c r="R94" s="55"/>
      <c r="S94" s="56"/>
      <c r="T94" s="56"/>
      <c r="U94" s="56"/>
      <c r="V94" s="55"/>
      <c r="W94" s="55"/>
      <c r="X94" s="55"/>
      <c r="Y94" s="56"/>
      <c r="Z94" s="56"/>
      <c r="AA94" s="55"/>
      <c r="AB94" s="56"/>
      <c r="AC94" s="55"/>
      <c r="AD94" s="56" t="e">
        <f>#REF!</f>
        <v>#REF!</v>
      </c>
      <c r="AE94" s="55"/>
      <c r="AF94" s="55"/>
      <c r="AG94" s="55"/>
      <c r="AH94" s="14"/>
      <c r="AI94" s="14"/>
      <c r="AJ94" s="14"/>
      <c r="AK94" s="14"/>
      <c r="AL94" s="14"/>
    </row>
    <row r="95" spans="1:38" s="8" customFormat="1" ht="15" customHeight="1">
      <c r="B95" s="47"/>
      <c r="C95" s="49"/>
      <c r="D95" s="72"/>
      <c r="E95" s="55"/>
      <c r="F95" s="55"/>
      <c r="G95" s="59"/>
      <c r="H95" s="56"/>
      <c r="I95" s="55"/>
      <c r="J95" s="14"/>
      <c r="K95" s="55"/>
      <c r="L95" s="55"/>
      <c r="M95" s="55"/>
      <c r="N95" s="56"/>
      <c r="O95" s="56"/>
      <c r="P95" s="56"/>
      <c r="Q95" s="56"/>
      <c r="R95" s="55"/>
      <c r="S95" s="56"/>
      <c r="T95" s="56"/>
      <c r="U95" s="56"/>
      <c r="V95" s="55"/>
      <c r="W95" s="55"/>
      <c r="X95" s="55"/>
      <c r="Y95" s="56"/>
      <c r="Z95" s="56"/>
      <c r="AA95" s="55"/>
      <c r="AB95" s="56"/>
      <c r="AC95" s="55"/>
      <c r="AD95" s="56"/>
      <c r="AE95" s="55"/>
      <c r="AF95" s="55"/>
      <c r="AG95" s="55"/>
      <c r="AH95" s="14"/>
      <c r="AI95" s="14"/>
      <c r="AJ95" s="14"/>
      <c r="AK95" s="14"/>
      <c r="AL95" s="14"/>
    </row>
    <row r="96" spans="1:38" s="8" customFormat="1" ht="63.6" customHeight="1">
      <c r="B96" s="47" t="s">
        <v>96</v>
      </c>
      <c r="C96" s="49" t="s">
        <v>6</v>
      </c>
      <c r="D96" s="72" t="e">
        <f>SUM(F96:AN96)</f>
        <v>#REF!</v>
      </c>
      <c r="E96" s="55"/>
      <c r="F96" s="55"/>
      <c r="G96" s="59"/>
      <c r="H96" s="56"/>
      <c r="I96" s="55"/>
      <c r="J96" s="14"/>
      <c r="K96" s="55"/>
      <c r="L96" s="55"/>
      <c r="M96" s="55"/>
      <c r="N96" s="56"/>
      <c r="O96" s="56"/>
      <c r="P96" s="56"/>
      <c r="Q96" s="56"/>
      <c r="R96" s="55"/>
      <c r="S96" s="56"/>
      <c r="T96" s="56"/>
      <c r="U96" s="56"/>
      <c r="V96" s="55"/>
      <c r="W96" s="55"/>
      <c r="X96" s="55"/>
      <c r="Y96" s="56"/>
      <c r="Z96" s="56"/>
      <c r="AA96" s="55"/>
      <c r="AB96" s="56"/>
      <c r="AC96" s="55"/>
      <c r="AD96" s="56" t="e">
        <f>#REF!</f>
        <v>#REF!</v>
      </c>
      <c r="AE96" s="55"/>
      <c r="AF96" s="55"/>
      <c r="AG96" s="55"/>
      <c r="AH96" s="14"/>
      <c r="AI96" s="14"/>
      <c r="AJ96" s="14"/>
      <c r="AK96" s="14"/>
      <c r="AL96" s="14"/>
    </row>
    <row r="97" spans="2:38" s="8" customFormat="1">
      <c r="B97" s="13"/>
      <c r="C97" s="12"/>
      <c r="D97" s="76"/>
      <c r="E97" s="55"/>
      <c r="F97" s="55"/>
      <c r="G97" s="59"/>
      <c r="H97" s="100"/>
      <c r="I97" s="55"/>
      <c r="J97" s="14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14"/>
      <c r="AI97" s="14"/>
      <c r="AJ97" s="14"/>
      <c r="AK97" s="14"/>
      <c r="AL97" s="14"/>
    </row>
    <row r="98" spans="2:38" s="8" customFormat="1" ht="67.5">
      <c r="B98" s="13" t="s">
        <v>76</v>
      </c>
      <c r="C98" s="12" t="s">
        <v>6</v>
      </c>
      <c r="D98" s="72" t="e">
        <f>SUM(F98:AN98)</f>
        <v>#REF!</v>
      </c>
      <c r="E98" s="56" t="e">
        <f>#REF!</f>
        <v>#REF!</v>
      </c>
      <c r="F98" s="56"/>
      <c r="G98" s="56" t="e">
        <f>#REF!</f>
        <v>#REF!</v>
      </c>
      <c r="H98" s="55"/>
      <c r="I98" s="56" t="e">
        <f>#REF!</f>
        <v>#REF!</v>
      </c>
      <c r="J98" s="14"/>
      <c r="K98" s="55"/>
      <c r="L98" s="55"/>
      <c r="M98" s="55"/>
      <c r="N98" s="55"/>
      <c r="O98" s="56" t="e">
        <f>#REF!</f>
        <v>#REF!</v>
      </c>
      <c r="P98" s="56"/>
      <c r="Q98" s="56"/>
      <c r="R98" s="55"/>
      <c r="S98" s="55"/>
      <c r="T98" s="55"/>
      <c r="U98" s="55"/>
      <c r="V98" s="55"/>
      <c r="W98" s="55"/>
      <c r="X98" s="56" t="e">
        <f>#REF!</f>
        <v>#REF!</v>
      </c>
      <c r="Y98" s="55"/>
      <c r="Z98" s="55"/>
      <c r="AA98" s="55"/>
      <c r="AB98" s="55"/>
      <c r="AC98" s="56" t="e">
        <f>#REF!</f>
        <v>#REF!</v>
      </c>
      <c r="AD98" s="55"/>
      <c r="AE98" s="55"/>
      <c r="AF98" s="55"/>
      <c r="AG98" s="55"/>
      <c r="AH98" s="14"/>
      <c r="AI98" s="14"/>
      <c r="AJ98" s="14"/>
      <c r="AK98" s="14"/>
      <c r="AL98" s="14"/>
    </row>
    <row r="99" spans="2:38">
      <c r="B99" s="43"/>
      <c r="C99" s="43"/>
      <c r="D99" s="44"/>
      <c r="E99" s="63"/>
      <c r="F99" s="108"/>
      <c r="G99" s="63"/>
      <c r="H99" s="63"/>
      <c r="I99" s="63"/>
      <c r="J99" s="45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45"/>
      <c r="AI99" s="45"/>
      <c r="AJ99" s="45"/>
      <c r="AK99" s="45"/>
      <c r="AL99" s="45"/>
    </row>
    <row r="100" spans="2:38">
      <c r="F100" s="105"/>
      <c r="G100" s="61"/>
      <c r="H100" s="61"/>
      <c r="I100" s="61"/>
      <c r="J100" s="11"/>
      <c r="K100" s="61"/>
      <c r="L100" s="61"/>
      <c r="M100" s="61"/>
      <c r="N100" s="61"/>
      <c r="O100" s="61"/>
      <c r="P100" s="61"/>
      <c r="Q100" s="61"/>
      <c r="R100" s="61"/>
      <c r="S100" s="105"/>
      <c r="T100" s="105"/>
      <c r="U100" s="105"/>
    </row>
    <row r="101" spans="2:38">
      <c r="F101" s="105"/>
      <c r="G101" s="61"/>
      <c r="H101" s="61"/>
      <c r="I101" s="61"/>
      <c r="J101" s="11"/>
      <c r="K101" s="61"/>
      <c r="L101" s="61"/>
      <c r="M101" s="61"/>
      <c r="N101" s="61"/>
      <c r="O101" s="61"/>
      <c r="P101" s="61"/>
      <c r="Q101" s="61"/>
      <c r="R101" s="61"/>
      <c r="S101" s="105"/>
      <c r="T101" s="105"/>
      <c r="U101" s="105"/>
    </row>
    <row r="102" spans="2:38">
      <c r="F102" s="105"/>
      <c r="G102" s="61"/>
      <c r="H102" s="61"/>
      <c r="I102" s="61"/>
      <c r="J102" s="11"/>
      <c r="K102" s="61"/>
      <c r="L102" s="61"/>
      <c r="M102" s="61"/>
      <c r="N102" s="61"/>
      <c r="O102" s="61"/>
      <c r="P102" s="61"/>
      <c r="Q102" s="61"/>
      <c r="R102" s="61"/>
      <c r="S102" s="105"/>
      <c r="T102" s="105"/>
      <c r="U102" s="105"/>
    </row>
    <row r="103" spans="2:38">
      <c r="F103" s="105"/>
      <c r="G103" s="61"/>
      <c r="H103" s="61"/>
      <c r="I103" s="61"/>
      <c r="J103" s="11"/>
      <c r="K103" s="61"/>
      <c r="L103" s="61"/>
      <c r="M103" s="61"/>
      <c r="N103" s="61"/>
      <c r="O103" s="61"/>
      <c r="P103" s="61"/>
      <c r="Q103" s="61"/>
      <c r="R103" s="61"/>
      <c r="S103" s="105"/>
      <c r="T103" s="105"/>
      <c r="U103" s="105"/>
    </row>
  </sheetData>
  <phoneticPr fontId="25" type="noConversion"/>
  <pageMargins left="0" right="0" top="0" bottom="0" header="0.31496062992125984" footer="0.31496062992125984"/>
  <pageSetup paperSize="8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Piperacks</vt:lpstr>
      <vt:lpstr>Total Qty - Rebar &amp; Concrete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larry</cp:lastModifiedBy>
  <cp:lastPrinted>2023-08-07T07:15:24Z</cp:lastPrinted>
  <dcterms:created xsi:type="dcterms:W3CDTF">2014-07-20T16:20:16Z</dcterms:created>
  <dcterms:modified xsi:type="dcterms:W3CDTF">2023-09-14T09:29:07Z</dcterms:modified>
</cp:coreProperties>
</file>