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9A468BCC-1525-4137-8C82-8074725CBFF1}" xr6:coauthVersionLast="47" xr6:coauthVersionMax="47" xr10:uidLastSave="{00000000-0000-0000-0000-000000000000}"/>
  <bookViews>
    <workbookView xWindow="20370" yWindow="-120" windowWidth="29040" windowHeight="15840" activeTab="2" xr2:uid="{02E6CA28-4D7E-41BA-B5AF-451451D26AAE}"/>
  </bookViews>
  <sheets>
    <sheet name="Chemical Building" sheetId="3" r:id="rId1"/>
    <sheet name="Surface Bed" sheetId="1" r:id="rId2"/>
    <sheet name="Building Work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44" i="3" l="1"/>
  <c r="Z43" i="3"/>
  <c r="Z42" i="3"/>
  <c r="Z40" i="3"/>
  <c r="Z39" i="3"/>
  <c r="Z38" i="3"/>
  <c r="Z37" i="3"/>
  <c r="Z35" i="3"/>
  <c r="Z33" i="3"/>
  <c r="Z32" i="3"/>
  <c r="Z31" i="3"/>
  <c r="Z30" i="3"/>
  <c r="Z29" i="3"/>
  <c r="Z28" i="3"/>
  <c r="Z24" i="3"/>
  <c r="Z23" i="3"/>
  <c r="J36" i="1"/>
  <c r="J34" i="1"/>
  <c r="I14" i="1"/>
  <c r="J10" i="1"/>
  <c r="Z20" i="3"/>
  <c r="E6" i="1"/>
  <c r="G14" i="1" s="1"/>
  <c r="C8" i="5"/>
  <c r="C13" i="5"/>
  <c r="S44" i="3"/>
  <c r="U44" i="3" s="1"/>
  <c r="S43" i="3"/>
  <c r="U43" i="3" s="1"/>
  <c r="S42" i="3"/>
  <c r="U42" i="3" s="1"/>
  <c r="S40" i="3"/>
  <c r="U40" i="3" s="1"/>
  <c r="U39" i="3"/>
  <c r="S38" i="3"/>
  <c r="U38" i="3" s="1"/>
  <c r="S37" i="3"/>
  <c r="U37" i="3" s="1"/>
  <c r="S35" i="3"/>
  <c r="U35" i="3" s="1"/>
  <c r="S32" i="3"/>
  <c r="U32" i="3" s="1"/>
  <c r="S30" i="3"/>
  <c r="S31" i="3" s="1"/>
  <c r="U31" i="3" s="1"/>
  <c r="S29" i="3"/>
  <c r="U29" i="3" s="1"/>
  <c r="S28" i="3"/>
  <c r="U28" i="3" s="1"/>
  <c r="S23" i="3"/>
  <c r="S24" i="3" s="1"/>
  <c r="U24" i="3" s="1"/>
  <c r="K29" i="3"/>
  <c r="K23" i="3"/>
  <c r="K24" i="3" s="1"/>
  <c r="K28" i="3"/>
  <c r="K30" i="3"/>
  <c r="K31" i="3" s="1"/>
  <c r="K32" i="3"/>
  <c r="K35" i="3"/>
  <c r="K37" i="3"/>
  <c r="K40" i="3"/>
  <c r="K42" i="3"/>
  <c r="K43" i="3"/>
  <c r="K44" i="3"/>
  <c r="U30" i="3" l="1"/>
  <c r="S33" i="3"/>
  <c r="U33" i="3" s="1"/>
  <c r="U23" i="3"/>
  <c r="K38" i="3"/>
  <c r="K33" i="3" s="1"/>
  <c r="C10" i="5" l="1"/>
  <c r="C11" i="5" s="1"/>
  <c r="C12" i="5" s="1"/>
  <c r="M33" i="3" l="1"/>
  <c r="C23" i="3"/>
  <c r="C29" i="3"/>
  <c r="C44" i="3"/>
  <c r="C43" i="3"/>
  <c r="C42" i="3"/>
  <c r="C40" i="3"/>
  <c r="C37" i="3"/>
  <c r="C35" i="3"/>
  <c r="C32" i="3"/>
  <c r="C30" i="3"/>
  <c r="C28" i="3"/>
  <c r="E39" i="3"/>
  <c r="J18" i="1" l="1"/>
  <c r="J32" i="1"/>
  <c r="N32" i="1" s="1"/>
  <c r="J14" i="1"/>
  <c r="N36" i="1"/>
  <c r="C31" i="3"/>
  <c r="E42" i="3"/>
  <c r="C24" i="3"/>
  <c r="E44" i="3"/>
  <c r="N18" i="1"/>
  <c r="N34" i="1"/>
  <c r="M40" i="3"/>
  <c r="M29" i="3"/>
  <c r="M37" i="3"/>
  <c r="M31" i="3"/>
  <c r="M24" i="3"/>
  <c r="E40" i="3"/>
  <c r="M42" i="3"/>
  <c r="M43" i="3"/>
  <c r="E43" i="3"/>
  <c r="M44" i="3"/>
  <c r="M30" i="3"/>
  <c r="C38" i="3"/>
  <c r="M28" i="3"/>
  <c r="M39" i="3"/>
  <c r="M38" i="3"/>
  <c r="M23" i="3"/>
  <c r="M35" i="3"/>
  <c r="M32" i="3"/>
  <c r="E29" i="3"/>
  <c r="E28" i="3"/>
  <c r="E23" i="3"/>
  <c r="E35" i="3"/>
  <c r="E37" i="3"/>
  <c r="E30" i="3"/>
  <c r="E32" i="3"/>
  <c r="J22" i="1" l="1"/>
  <c r="N22" i="1" s="1"/>
  <c r="J16" i="1"/>
  <c r="N16" i="1" s="1"/>
  <c r="J20" i="1"/>
  <c r="N20" i="1" s="1"/>
  <c r="C33" i="3"/>
  <c r="E24" i="3"/>
  <c r="E31" i="3"/>
  <c r="J24" i="1"/>
  <c r="N24" i="1" s="1"/>
  <c r="E38" i="3"/>
  <c r="E33" i="3" l="1"/>
  <c r="J26" i="1"/>
  <c r="N26" i="1" s="1"/>
  <c r="J28" i="1" l="1"/>
  <c r="N28" i="1" s="1"/>
</calcChain>
</file>

<file path=xl/sharedStrings.xml><?xml version="1.0" encoding="utf-8"?>
<sst xmlns="http://schemas.openxmlformats.org/spreadsheetml/2006/main" count="353" uniqueCount="72">
  <si>
    <t xml:space="preserve">Area = </t>
  </si>
  <si>
    <t>m2</t>
  </si>
  <si>
    <t>Rip and Recompact (150mm)</t>
  </si>
  <si>
    <t>Formwork &lt; 200mm</t>
  </si>
  <si>
    <t>Concrete</t>
  </si>
  <si>
    <t>Concrete - Surface Beds)</t>
  </si>
  <si>
    <t>m3</t>
  </si>
  <si>
    <t>DPC</t>
  </si>
  <si>
    <t>Finishing (Power Float)</t>
  </si>
  <si>
    <t>No</t>
  </si>
  <si>
    <t>Joints</t>
  </si>
  <si>
    <t>m</t>
  </si>
  <si>
    <t>Surface Application (Floor Hardener &amp; Sealant) - Peneseal</t>
  </si>
  <si>
    <t>- Saw Tied Joint (STJ)</t>
  </si>
  <si>
    <t>- Keyed Construction Joints (KCJ)</t>
  </si>
  <si>
    <t>- Isolation Joints (IJ)</t>
  </si>
  <si>
    <t>Mesh 617 (Top and Bottom layers)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</si>
  <si>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</si>
  <si>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</si>
  <si>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</si>
  <si>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</si>
  <si>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</si>
  <si>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</si>
  <si>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</si>
  <si>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</si>
  <si>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</si>
  <si>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</si>
  <si>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</si>
  <si>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</si>
  <si>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</si>
  <si>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</si>
  <si>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</si>
  <si>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</si>
  <si>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</si>
  <si>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</si>
  <si>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</si>
  <si>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</si>
  <si>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</si>
  <si>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</si>
  <si>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</si>
  <si>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</si>
  <si>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</si>
  <si>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</si>
  <si>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</si>
  <si>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</si>
  <si>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</si>
  <si>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</si>
  <si>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</si>
  <si>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</si>
  <si>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</si>
  <si>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</si>
  <si>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</si>
  <si>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AREA 1</t>
  </si>
  <si>
    <t>Piles</t>
  </si>
  <si>
    <t xml:space="preserve">Plastered and Painted Brick Walls </t>
  </si>
  <si>
    <t xml:space="preserve">Length = </t>
  </si>
  <si>
    <t>Height =</t>
  </si>
  <si>
    <t xml:space="preserve">Double brick walls = </t>
  </si>
  <si>
    <t xml:space="preserve">Plaster =  </t>
  </si>
  <si>
    <t>Paint Work =</t>
  </si>
  <si>
    <t xml:space="preserve">DPC - Walls = </t>
  </si>
  <si>
    <t>Doors - manual Roller Shutter Doors</t>
  </si>
  <si>
    <t>Fire Escape Doors</t>
  </si>
  <si>
    <t>CFA 750mm diameter</t>
  </si>
  <si>
    <t>Main Frame - Pad Foundations</t>
  </si>
  <si>
    <t>Gable Columns - Pad Foundations</t>
  </si>
  <si>
    <t>Strip Foundations - Building Perimeter</t>
  </si>
  <si>
    <t>Slab Thickness</t>
  </si>
  <si>
    <t>mm</t>
  </si>
  <si>
    <t>Chemical - Building Works</t>
  </si>
  <si>
    <t>Chemical Building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</si>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</sst>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rgb="FFFFC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7" tint="0.39994506668294322"/>
      </right>
      <top style="thin">
        <color rgb="FFFF0000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C000"/>
      </left>
      <right style="medium">
        <color indexed="64"/>
      </right>
      <top style="thin">
        <color rgb="FFFF0000"/>
      </top>
      <bottom style="thin">
        <color rgb="FFFFC000"/>
      </bottom>
      <diagonal/>
    </border>
    <border>
      <left style="thin">
        <color rgb="FFFFC000"/>
      </left>
      <right style="medium">
        <color indexed="64"/>
      </right>
      <top style="thin">
        <color rgb="FF0070C0"/>
      </top>
      <bottom style="thin">
        <color theme="7" tint="0.3999450666829432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0" fontId="1" fillId="0" borderId="0" xfId="0" quotePrefix="1" applyFont="1"/>
    <xf numFmtId="0" fontId="3" fillId="0" borderId="0" xfId="0" quotePrefix="1" applyFont="1"/>
    <xf numFmtId="4" fontId="1" fillId="0" borderId="0" xfId="0" applyNumberFormat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1" fontId="2" fillId="4" borderId="0" xfId="0" applyNumberFormat="1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0" fontId="8" fillId="0" borderId="0" xfId="0" quotePrefix="1" applyFont="1"/>
    <xf numFmtId="0" fontId="9" fillId="0" borderId="0" xfId="0" quotePrefix="1" applyFont="1"/>
    <xf numFmtId="1" fontId="4" fillId="0" borderId="0" xfId="0" applyNumberFormat="1" applyFo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2" fontId="2" fillId="0" borderId="0" xfId="0" applyNumberFormat="1" applyFont="1" applyAlignment="1">
      <alignment horizontal="center"/>
    </xf>
    <xf numFmtId="3" fontId="4" fillId="5" borderId="0" xfId="0" applyNumberFormat="1" applyFont="1" applyFill="1"/>
    <xf numFmtId="2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0" fillId="0" borderId="0" xfId="0" applyFont="1"/>
    <xf numFmtId="0" fontId="3" fillId="0" borderId="0" xfId="0" applyFont="1"/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2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2</xdr:row>
      <xdr:rowOff>100634</xdr:rowOff>
    </xdr:from>
    <xdr:to>
      <xdr:col>8</xdr:col>
      <xdr:colOff>91814</xdr:colOff>
      <xdr:row>4</xdr:row>
      <xdr:rowOff>53848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76D7BC-DFE7-8DDA-973B-8DB7EB0E4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6028" y="365677"/>
          <a:ext cx="105895" cy="127149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6</xdr:row>
      <xdr:rowOff>0</xdr:rowOff>
    </xdr:from>
    <xdr:to>
      <xdr:col>9</xdr:col>
      <xdr:colOff>53351</xdr:colOff>
      <xdr:row>7</xdr:row>
      <xdr:rowOff>96139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1D8766D-D683-B6D4-AB2F-2DC50858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3340" y="20726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10</xdr:col>
      <xdr:colOff>467968</xdr:colOff>
      <xdr:row>2</xdr:row>
      <xdr:rowOff>105686</xdr:rowOff>
    </xdr:from>
    <xdr:to>
      <xdr:col>11</xdr:col>
      <xdr:colOff>86979</xdr:colOff>
      <xdr:row>4</xdr:row>
      <xdr:rowOff>53566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964D8A9-D072-86C6-225E-C7C9F3EA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8555" y="370729"/>
          <a:ext cx="128723" cy="1161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6</xdr:row>
      <xdr:rowOff>0</xdr:rowOff>
    </xdr:from>
    <xdr:to>
      <xdr:col>10</xdr:col>
      <xdr:colOff>95261</xdr:colOff>
      <xdr:row>7</xdr:row>
      <xdr:rowOff>92329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D89A1F-A238-B48E-E437-5BC357F3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8</xdr:col>
      <xdr:colOff>472440</xdr:colOff>
      <xdr:row>3</xdr:row>
      <xdr:rowOff>0</xdr:rowOff>
    </xdr:from>
    <xdr:to>
      <xdr:col>9</xdr:col>
      <xdr:colOff>76211</xdr:colOff>
      <xdr:row>4</xdr:row>
      <xdr:rowOff>97547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4AEC64E-55A8-F497-1297-392D67EF7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78580" y="3962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3</xdr:row>
      <xdr:rowOff>7620</xdr:rowOff>
    </xdr:from>
    <xdr:to>
      <xdr:col>10</xdr:col>
      <xdr:colOff>97166</xdr:colOff>
      <xdr:row>4</xdr:row>
      <xdr:rowOff>97547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722887-63FF-AE13-782B-BF16F6F5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982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10</xdr:col>
      <xdr:colOff>463827</xdr:colOff>
      <xdr:row>4</xdr:row>
      <xdr:rowOff>297098</xdr:rowOff>
    </xdr:from>
    <xdr:to>
      <xdr:col>11</xdr:col>
      <xdr:colOff>46642</xdr:colOff>
      <xdr:row>5</xdr:row>
      <xdr:rowOff>74605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D745489-433B-A461-D631-F3C1FF2E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94414" y="736076"/>
          <a:ext cx="92527" cy="117094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6</xdr:row>
      <xdr:rowOff>0</xdr:rowOff>
    </xdr:from>
    <xdr:to>
      <xdr:col>11</xdr:col>
      <xdr:colOff>53351</xdr:colOff>
      <xdr:row>7</xdr:row>
      <xdr:rowOff>96139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68C575-E709-F3A7-C6EA-C303250F2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9660" y="20650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6</xdr:row>
      <xdr:rowOff>0</xdr:rowOff>
    </xdr:from>
    <xdr:to>
      <xdr:col>8</xdr:col>
      <xdr:colOff>94101</xdr:colOff>
      <xdr:row>7</xdr:row>
      <xdr:rowOff>92329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D7D5CFB-AEF0-491B-5565-CD544AB2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566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358637</xdr:colOff>
      <xdr:row>4</xdr:row>
      <xdr:rowOff>314325</xdr:rowOff>
    </xdr:from>
    <xdr:to>
      <xdr:col>8</xdr:col>
      <xdr:colOff>56116</xdr:colOff>
      <xdr:row>5</xdr:row>
      <xdr:rowOff>95261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7143FE-27BD-4C3F-A00A-6C5D4238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4615" y="753303"/>
          <a:ext cx="111610" cy="120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AA44"/>
  <sheetViews>
    <sheetView workbookViewId="0">
      <selection activeCell="W39" sqref="W39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24" style="1" customWidth="1"/>
    <col min="11" max="11" width="8" style="1" customWidth="1"/>
    <col min="12" max="14" width="9.140625" style="1"/>
    <col min="15" max="15" width="3.5703125" style="1" customWidth="1"/>
    <col min="16" max="16" width="9.140625" style="1"/>
    <col min="17" max="17" width="3.42578125" style="1" customWidth="1"/>
    <col min="18" max="18" width="26.42578125" style="1" customWidth="1"/>
    <col min="19" max="22" width="9.140625" style="1"/>
    <col min="23" max="23" width="3.7109375" style="1" customWidth="1"/>
    <col min="24" max="25" width="3.28515625" style="1" customWidth="1"/>
    <col min="26" max="26" width="7.28515625" style="1" customWidth="1"/>
    <col min="27" max="16384" width="9.140625" style="1"/>
  </cols>
  <sheetData>
    <row r="2" spans="2:25" x14ac:dyDescent="0.2">
      <c r="B2" s="2" t="s">
        <v>64</v>
      </c>
      <c r="J2" s="2" t="s">
        <v>65</v>
      </c>
      <c r="R2" s="2" t="s">
        <v>66</v>
      </c>
    </row>
    <row r="4" spans="2:25" x14ac:dyDescent="0.2">
      <c r="B4" s="13" t="s">
        <v>21</v>
      </c>
      <c r="C4" s="14">
        <v>1.8</v>
      </c>
      <c r="D4" s="13" t="s">
        <v>11</v>
      </c>
      <c r="J4" s="13" t="s">
        <v>21</v>
      </c>
      <c r="K4" s="14">
        <v>1.5</v>
      </c>
      <c r="L4" s="13" t="s">
        <v>11</v>
      </c>
      <c r="R4" s="13" t="s">
        <v>21</v>
      </c>
      <c r="S4" s="14">
        <v>0.75</v>
      </c>
      <c r="T4" s="13" t="s">
        <v>11</v>
      </c>
    </row>
    <row r="5" spans="2:25" x14ac:dyDescent="0.2">
      <c r="B5" s="13" t="s">
        <v>22</v>
      </c>
      <c r="C5" s="15">
        <v>1.8</v>
      </c>
      <c r="D5" s="13" t="s">
        <v>11</v>
      </c>
      <c r="J5" s="13" t="s">
        <v>22</v>
      </c>
      <c r="K5" s="15">
        <v>1.5</v>
      </c>
      <c r="L5" s="13" t="s">
        <v>11</v>
      </c>
      <c r="R5" s="13" t="s">
        <v>22</v>
      </c>
      <c r="S5" s="15">
        <v>50</v>
      </c>
      <c r="T5" s="13" t="s">
        <v>11</v>
      </c>
    </row>
    <row r="6" spans="2:25" x14ac:dyDescent="0.2">
      <c r="B6" s="13" t="s">
        <v>23</v>
      </c>
      <c r="C6" s="14">
        <v>0.5</v>
      </c>
      <c r="D6" s="13" t="s">
        <v>11</v>
      </c>
      <c r="J6" s="13" t="s">
        <v>23</v>
      </c>
      <c r="K6" s="14">
        <v>0.45</v>
      </c>
      <c r="L6" s="13" t="s">
        <v>11</v>
      </c>
      <c r="R6" s="13" t="s">
        <v>23</v>
      </c>
      <c r="S6" s="14">
        <v>0.25</v>
      </c>
      <c r="T6" s="13" t="s">
        <v>11</v>
      </c>
    </row>
    <row r="7" spans="2:25" x14ac:dyDescent="0.2">
      <c r="B7" s="13" t="s">
        <v>24</v>
      </c>
      <c r="C7" s="14">
        <v>0.6</v>
      </c>
      <c r="D7" s="13" t="s">
        <v>11</v>
      </c>
      <c r="J7" s="13" t="s">
        <v>24</v>
      </c>
      <c r="K7" s="14">
        <v>0.6</v>
      </c>
      <c r="L7" s="13" t="s">
        <v>11</v>
      </c>
      <c r="R7" s="13" t="s">
        <v>24</v>
      </c>
      <c r="S7" s="14">
        <v>0.6</v>
      </c>
      <c r="T7" s="13" t="s">
        <v>11</v>
      </c>
    </row>
    <row r="8" spans="2:25" x14ac:dyDescent="0.2">
      <c r="B8" s="13" t="s">
        <v>25</v>
      </c>
      <c r="C8" s="14">
        <v>0.05</v>
      </c>
      <c r="D8" s="13" t="s">
        <v>11</v>
      </c>
      <c r="J8" s="13" t="s">
        <v>25</v>
      </c>
      <c r="K8" s="14">
        <v>0.05</v>
      </c>
      <c r="L8" s="13" t="s">
        <v>11</v>
      </c>
      <c r="R8" s="13" t="s">
        <v>25</v>
      </c>
      <c r="S8" s="14">
        <v>0.05</v>
      </c>
      <c r="T8" s="13" t="s">
        <v>11</v>
      </c>
    </row>
    <row r="9" spans="2:25" x14ac:dyDescent="0.2">
      <c r="B9" s="13"/>
      <c r="C9" s="14"/>
      <c r="D9" s="13"/>
      <c r="J9" s="13"/>
      <c r="K9" s="14"/>
      <c r="L9" s="13"/>
      <c r="R9" s="13"/>
      <c r="S9" s="14"/>
      <c r="T9" s="13"/>
    </row>
    <row r="10" spans="2:25" x14ac:dyDescent="0.2">
      <c r="B10" s="13" t="s">
        <v>26</v>
      </c>
      <c r="C10" s="14">
        <v>1</v>
      </c>
      <c r="D10" s="13" t="s">
        <v>9</v>
      </c>
      <c r="J10" s="13" t="s">
        <v>26</v>
      </c>
      <c r="K10" s="14">
        <v>1</v>
      </c>
      <c r="L10" s="13" t="s">
        <v>9</v>
      </c>
      <c r="R10" s="13" t="s">
        <v>26</v>
      </c>
      <c r="S10" s="14">
        <v>0</v>
      </c>
      <c r="T10" s="13" t="s">
        <v>9</v>
      </c>
    </row>
    <row r="11" spans="2:25" x14ac:dyDescent="0.2">
      <c r="B11" s="13" t="s">
        <v>27</v>
      </c>
      <c r="C11" s="14">
        <v>0.6</v>
      </c>
      <c r="D11" s="13" t="s">
        <v>11</v>
      </c>
      <c r="J11" s="13" t="s">
        <v>27</v>
      </c>
      <c r="K11" s="14">
        <v>0.6</v>
      </c>
      <c r="L11" s="13" t="s">
        <v>11</v>
      </c>
      <c r="R11" s="13" t="s">
        <v>27</v>
      </c>
      <c r="S11" s="14">
        <v>0</v>
      </c>
      <c r="T11" s="13" t="s">
        <v>11</v>
      </c>
    </row>
    <row r="12" spans="2:25" x14ac:dyDescent="0.2">
      <c r="B12" s="13" t="s">
        <v>28</v>
      </c>
      <c r="C12" s="14">
        <v>0.6</v>
      </c>
      <c r="D12" s="13" t="s">
        <v>11</v>
      </c>
      <c r="J12" s="13" t="s">
        <v>28</v>
      </c>
      <c r="K12" s="14">
        <v>0.6</v>
      </c>
      <c r="L12" s="13" t="s">
        <v>11</v>
      </c>
      <c r="R12" s="13" t="s">
        <v>28</v>
      </c>
      <c r="S12" s="14">
        <v>0</v>
      </c>
      <c r="T12" s="13" t="s">
        <v>11</v>
      </c>
    </row>
    <row r="13" spans="2:25" x14ac:dyDescent="0.2">
      <c r="B13" s="13" t="s">
        <v>29</v>
      </c>
      <c r="C13" s="15">
        <v>0.6</v>
      </c>
      <c r="D13" s="13" t="s">
        <v>11</v>
      </c>
      <c r="J13" s="13" t="s">
        <v>29</v>
      </c>
      <c r="K13" s="15">
        <v>1.1000000000000001</v>
      </c>
      <c r="L13" s="13" t="s">
        <v>11</v>
      </c>
      <c r="R13" s="13" t="s">
        <v>29</v>
      </c>
      <c r="S13" s="15">
        <v>0</v>
      </c>
      <c r="T13" s="13" t="s">
        <v>11</v>
      </c>
    </row>
    <row r="14" spans="2:25" x14ac:dyDescent="0.2">
      <c r="B14" s="13" t="s">
        <v>30</v>
      </c>
      <c r="C14" s="14">
        <v>4</v>
      </c>
      <c r="D14" s="13" t="s">
        <v>9</v>
      </c>
      <c r="J14" s="13" t="s">
        <v>30</v>
      </c>
      <c r="K14" s="14">
        <v>4</v>
      </c>
      <c r="L14" s="13" t="s">
        <v>9</v>
      </c>
      <c r="R14" s="13" t="s">
        <v>30</v>
      </c>
      <c r="S14" s="14">
        <v>0</v>
      </c>
      <c r="T14" s="13" t="s">
        <v>9</v>
      </c>
    </row>
    <row r="15" spans="2:25" x14ac:dyDescent="0.2">
      <c r="B15" s="13" t="s">
        <v>31</v>
      </c>
      <c r="C15" s="14">
        <v>115</v>
      </c>
      <c r="D15" s="13"/>
      <c r="E15" s="16" t="s">
        <v>32</v>
      </c>
      <c r="F15" s="16"/>
      <c r="G15" s="17">
        <v>8</v>
      </c>
      <c r="H15" s="12" t="s">
        <v>9</v>
      </c>
      <c r="J15" s="13" t="s">
        <v>31</v>
      </c>
      <c r="K15" s="14">
        <v>115</v>
      </c>
      <c r="L15" s="13"/>
      <c r="M15" s="16" t="s">
        <v>32</v>
      </c>
      <c r="N15" s="16"/>
      <c r="O15" s="17">
        <v>2</v>
      </c>
      <c r="P15" s="12" t="s">
        <v>9</v>
      </c>
      <c r="Q15" s="12"/>
      <c r="R15" s="13" t="s">
        <v>31</v>
      </c>
      <c r="S15" s="14">
        <v>115</v>
      </c>
      <c r="T15" s="13"/>
      <c r="U15" s="16" t="s">
        <v>32</v>
      </c>
      <c r="V15" s="16"/>
      <c r="W15" s="17">
        <v>1</v>
      </c>
      <c r="X15" s="12" t="s">
        <v>9</v>
      </c>
      <c r="Y15" s="12"/>
    </row>
    <row r="16" spans="2:25" x14ac:dyDescent="0.2">
      <c r="B16" s="13"/>
      <c r="C16" s="14"/>
      <c r="D16" s="13"/>
      <c r="E16" s="16"/>
      <c r="F16" s="16"/>
      <c r="G16" s="17"/>
      <c r="H16" s="12"/>
      <c r="J16" s="13"/>
      <c r="K16" s="14"/>
      <c r="L16" s="13"/>
      <c r="M16" s="16"/>
      <c r="N16" s="16"/>
      <c r="O16" s="17"/>
      <c r="P16" s="12"/>
      <c r="Q16" s="12"/>
      <c r="R16" s="13"/>
      <c r="S16" s="14"/>
      <c r="T16" s="13"/>
      <c r="U16" s="16"/>
      <c r="V16" s="16"/>
      <c r="W16" s="17"/>
      <c r="X16" s="12"/>
      <c r="Y16" s="12"/>
    </row>
    <row r="17" spans="1:27" x14ac:dyDescent="0.2">
      <c r="A17" s="12"/>
      <c r="B17" s="12"/>
      <c r="C17" s="12"/>
      <c r="D17" s="12"/>
      <c r="E17" s="2" t="s">
        <v>33</v>
      </c>
      <c r="I17" s="12"/>
      <c r="J17" s="12"/>
      <c r="K17" s="12"/>
      <c r="L17" s="12"/>
      <c r="M17" s="2" t="s">
        <v>33</v>
      </c>
      <c r="R17" s="12"/>
      <c r="S17" s="12"/>
      <c r="T17" s="12"/>
      <c r="U17" s="2" t="s">
        <v>33</v>
      </c>
      <c r="Z17" s="18" t="s">
        <v>33</v>
      </c>
      <c r="AA17" s="19"/>
    </row>
    <row r="18" spans="1:27" x14ac:dyDescent="0.2">
      <c r="A18" s="12"/>
      <c r="B18" s="12"/>
      <c r="C18" s="12"/>
      <c r="D18" s="12"/>
      <c r="E18" s="2"/>
      <c r="I18" s="12"/>
      <c r="J18" s="12"/>
      <c r="K18" s="12"/>
      <c r="L18" s="12"/>
      <c r="M18" s="2"/>
      <c r="R18" s="12"/>
      <c r="S18" s="12"/>
      <c r="T18" s="12"/>
      <c r="U18" s="2"/>
      <c r="Z18" s="19"/>
      <c r="AA18" s="19"/>
    </row>
    <row r="19" spans="1:27" x14ac:dyDescent="0.2">
      <c r="A19" s="12"/>
      <c r="B19" s="20" t="s">
        <v>53</v>
      </c>
      <c r="C19" s="12"/>
      <c r="D19" s="12"/>
      <c r="I19" s="12"/>
      <c r="J19" s="20" t="s">
        <v>53</v>
      </c>
      <c r="K19" s="12"/>
      <c r="L19" s="12"/>
      <c r="R19" s="20" t="s">
        <v>53</v>
      </c>
      <c r="S19" s="12"/>
      <c r="T19" s="12"/>
      <c r="Z19" s="19"/>
      <c r="AA19" s="19"/>
    </row>
    <row r="20" spans="1:27" x14ac:dyDescent="0.2">
      <c r="A20" s="12">
        <v>1</v>
      </c>
      <c r="B20" s="12" t="s">
        <v>63</v>
      </c>
      <c r="C20" s="12">
        <v>0</v>
      </c>
      <c r="D20" s="12" t="s">
        <v>9</v>
      </c>
      <c r="E20" s="22"/>
      <c r="F20" s="23"/>
      <c r="I20" s="12"/>
      <c r="J20" s="12" t="s">
        <v>63</v>
      </c>
      <c r="K20" s="12">
        <v>0</v>
      </c>
      <c r="L20" s="12" t="s">
        <v>9</v>
      </c>
      <c r="M20" s="22"/>
      <c r="N20" s="23"/>
      <c r="R20" s="12" t="s">
        <v>63</v>
      </c>
      <c r="S20" s="12">
        <v>0</v>
      </c>
      <c r="T20" s="12" t="s">
        <v>9</v>
      </c>
      <c r="U20" s="22"/>
      <c r="V20" s="23"/>
      <c r="Z20" s="54">
        <f>C20+K20+S20</f>
        <v>0</v>
      </c>
      <c r="AA20" s="25" t="s">
        <v>9</v>
      </c>
    </row>
    <row r="21" spans="1:27" x14ac:dyDescent="0.2">
      <c r="A21" s="12"/>
      <c r="B21" s="12"/>
      <c r="C21" s="26"/>
      <c r="D21" s="12"/>
      <c r="E21" s="22"/>
      <c r="F21" s="23"/>
      <c r="I21" s="12"/>
      <c r="J21" s="12"/>
      <c r="K21" s="26"/>
      <c r="L21" s="12"/>
      <c r="M21" s="22"/>
      <c r="N21" s="23"/>
      <c r="R21" s="12"/>
      <c r="S21" s="26"/>
      <c r="T21" s="12"/>
      <c r="U21" s="22"/>
      <c r="V21" s="23"/>
      <c r="Z21" s="54"/>
      <c r="AA21" s="25"/>
    </row>
    <row r="22" spans="1:27" x14ac:dyDescent="0.2">
      <c r="A22" s="12"/>
      <c r="B22" s="20" t="s">
        <v>34</v>
      </c>
      <c r="C22" s="26"/>
      <c r="D22" s="12"/>
      <c r="E22" s="22"/>
      <c r="F22" s="23"/>
      <c r="I22" s="12"/>
      <c r="J22" s="20" t="s">
        <v>34</v>
      </c>
      <c r="K22" s="26"/>
      <c r="L22" s="12"/>
      <c r="M22" s="22"/>
      <c r="N22" s="23"/>
      <c r="R22" s="20" t="s">
        <v>34</v>
      </c>
      <c r="S22" s="26"/>
      <c r="T22" s="12"/>
      <c r="U22" s="22"/>
      <c r="V22" s="23"/>
      <c r="Z22" s="54"/>
      <c r="AA22" s="25"/>
    </row>
    <row r="23" spans="1:27" x14ac:dyDescent="0.2">
      <c r="A23" s="12">
        <v>2</v>
      </c>
      <c r="B23" s="12" t="s">
        <v>35</v>
      </c>
      <c r="C23" s="26">
        <f>(C4+C7)*(C5+C7)*(C6+C8)</f>
        <v>3.1680000000000001</v>
      </c>
      <c r="D23" s="12" t="s">
        <v>6</v>
      </c>
      <c r="E23" s="27">
        <f t="shared" ref="E23:E44" si="0">C23*G$15</f>
        <v>25.344000000000001</v>
      </c>
      <c r="F23" s="23" t="s">
        <v>6</v>
      </c>
      <c r="I23" s="12"/>
      <c r="J23" s="12" t="s">
        <v>35</v>
      </c>
      <c r="K23" s="26">
        <f>(K4+K7)*(K5+K7)*(K6+K8)</f>
        <v>2.2050000000000001</v>
      </c>
      <c r="L23" s="12" t="s">
        <v>6</v>
      </c>
      <c r="M23" s="27">
        <f t="shared" ref="M23:M24" si="1">K23*O$15</f>
        <v>4.41</v>
      </c>
      <c r="N23" s="23" t="s">
        <v>6</v>
      </c>
      <c r="R23" s="12" t="s">
        <v>35</v>
      </c>
      <c r="S23" s="26">
        <f>(S4+S7)*(S5+S7)*(S6+S8)</f>
        <v>20.492999999999999</v>
      </c>
      <c r="T23" s="12" t="s">
        <v>6</v>
      </c>
      <c r="U23" s="27">
        <f t="shared" ref="U23:U24" si="2">S23*W$15</f>
        <v>20.492999999999999</v>
      </c>
      <c r="V23" s="23" t="s">
        <v>6</v>
      </c>
      <c r="Y23" s="1" t="s">
        <v>71</v>
      </c>
      <c r="Z23" s="54">
        <f>E23+M23+U23</f>
        <v>50.247</v>
      </c>
      <c r="AA23" s="25" t="s">
        <v>6</v>
      </c>
    </row>
    <row r="24" spans="1:27" x14ac:dyDescent="0.2">
      <c r="A24" s="12">
        <v>3</v>
      </c>
      <c r="B24" s="12" t="s">
        <v>36</v>
      </c>
      <c r="C24" s="26">
        <f>C23-(C4*C5*C6)</f>
        <v>1.548</v>
      </c>
      <c r="D24" s="12" t="s">
        <v>6</v>
      </c>
      <c r="E24" s="27">
        <f t="shared" si="0"/>
        <v>12.384</v>
      </c>
      <c r="F24" s="23" t="s">
        <v>6</v>
      </c>
      <c r="I24" s="12"/>
      <c r="J24" s="12" t="s">
        <v>36</v>
      </c>
      <c r="K24" s="26">
        <f>K23-(K4*K5*K6)</f>
        <v>1.1925000000000001</v>
      </c>
      <c r="L24" s="12" t="s">
        <v>6</v>
      </c>
      <c r="M24" s="27">
        <f t="shared" si="1"/>
        <v>2.3850000000000002</v>
      </c>
      <c r="N24" s="23" t="s">
        <v>6</v>
      </c>
      <c r="R24" s="12" t="s">
        <v>36</v>
      </c>
      <c r="S24" s="26">
        <f>S23-(S4*S5*S6)</f>
        <v>11.117999999999999</v>
      </c>
      <c r="T24" s="12" t="s">
        <v>6</v>
      </c>
      <c r="U24" s="27">
        <f t="shared" si="2"/>
        <v>11.117999999999999</v>
      </c>
      <c r="V24" s="23" t="s">
        <v>6</v>
      </c>
      <c r="Y24" s="1" t="s">
        <v>71</v>
      </c>
      <c r="Z24" s="54">
        <f>E24+M24+U24</f>
        <v>25.887</v>
      </c>
      <c r="AA24" s="25" t="s">
        <v>6</v>
      </c>
    </row>
    <row r="25" spans="1:27" x14ac:dyDescent="0.2">
      <c r="A25" s="12"/>
      <c r="B25" s="12"/>
      <c r="C25" s="26"/>
      <c r="D25" s="12"/>
      <c r="E25" s="27"/>
      <c r="F25" s="23"/>
      <c r="I25" s="12"/>
      <c r="J25" s="12"/>
      <c r="K25" s="26"/>
      <c r="L25" s="12"/>
      <c r="M25" s="27"/>
      <c r="N25" s="23"/>
      <c r="R25" s="12"/>
      <c r="S25" s="26"/>
      <c r="T25" s="12"/>
      <c r="U25" s="27"/>
      <c r="V25" s="23"/>
      <c r="Z25" s="54"/>
      <c r="AA25" s="25"/>
    </row>
    <row r="26" spans="1:27" x14ac:dyDescent="0.2">
      <c r="A26" s="12"/>
      <c r="B26" s="20" t="s">
        <v>37</v>
      </c>
      <c r="C26" s="26"/>
      <c r="D26" s="12"/>
      <c r="E26" s="27"/>
      <c r="F26" s="23"/>
      <c r="I26" s="12"/>
      <c r="J26" s="20" t="s">
        <v>37</v>
      </c>
      <c r="K26" s="26"/>
      <c r="L26" s="12"/>
      <c r="M26" s="27"/>
      <c r="N26" s="23"/>
      <c r="R26" s="20" t="s">
        <v>37</v>
      </c>
      <c r="S26" s="26"/>
      <c r="T26" s="12"/>
      <c r="U26" s="27"/>
      <c r="V26" s="23"/>
      <c r="Z26" s="54"/>
      <c r="AA26" s="25"/>
    </row>
    <row r="27" spans="1:27" x14ac:dyDescent="0.2">
      <c r="A27" s="12"/>
      <c r="B27" s="12" t="s">
        <v>17</v>
      </c>
      <c r="C27" s="26"/>
      <c r="D27" s="12"/>
      <c r="E27" s="27"/>
      <c r="F27" s="23"/>
      <c r="I27" s="12"/>
      <c r="J27" s="12" t="s">
        <v>17</v>
      </c>
      <c r="K27" s="26"/>
      <c r="L27" s="12"/>
      <c r="M27" s="27"/>
      <c r="N27" s="23"/>
      <c r="R27" s="12" t="s">
        <v>17</v>
      </c>
      <c r="S27" s="26"/>
      <c r="T27" s="12"/>
      <c r="U27" s="27"/>
      <c r="V27" s="23"/>
      <c r="Z27" s="54"/>
      <c r="AA27" s="25"/>
    </row>
    <row r="28" spans="1:27" x14ac:dyDescent="0.2">
      <c r="A28" s="12">
        <v>4</v>
      </c>
      <c r="B28" s="11" t="s">
        <v>38</v>
      </c>
      <c r="C28" s="26">
        <f>(2*(C4*C6))+(2*(C5*C6))</f>
        <v>3.6</v>
      </c>
      <c r="D28" s="12" t="s">
        <v>1</v>
      </c>
      <c r="E28" s="27">
        <f t="shared" si="0"/>
        <v>28.8</v>
      </c>
      <c r="F28" s="23" t="s">
        <v>1</v>
      </c>
      <c r="I28" s="12"/>
      <c r="J28" s="11" t="s">
        <v>38</v>
      </c>
      <c r="K28" s="26">
        <f>(2*(K4*K6))+(2*(K5*K6))</f>
        <v>2.7</v>
      </c>
      <c r="L28" s="12" t="s">
        <v>1</v>
      </c>
      <c r="M28" s="27">
        <f t="shared" ref="M28:M33" si="3">K28*O$15</f>
        <v>5.4</v>
      </c>
      <c r="N28" s="23" t="s">
        <v>1</v>
      </c>
      <c r="R28" s="11" t="s">
        <v>38</v>
      </c>
      <c r="S28" s="26">
        <f>(2*(S4*S6))+(2*(S5*S6))</f>
        <v>25.375</v>
      </c>
      <c r="T28" s="12" t="s">
        <v>1</v>
      </c>
      <c r="U28" s="27">
        <f t="shared" ref="U28:U33" si="4">S28*W$15</f>
        <v>25.375</v>
      </c>
      <c r="V28" s="23" t="s">
        <v>1</v>
      </c>
      <c r="Y28" s="1" t="s">
        <v>71</v>
      </c>
      <c r="Z28" s="54">
        <f t="shared" ref="Z28:Z33" si="5">E28+M28+U28</f>
        <v>59.575000000000003</v>
      </c>
      <c r="AA28" s="25" t="s">
        <v>1</v>
      </c>
    </row>
    <row r="29" spans="1:27" x14ac:dyDescent="0.2">
      <c r="A29" s="12">
        <v>5</v>
      </c>
      <c r="B29" s="11" t="s">
        <v>39</v>
      </c>
      <c r="C29" s="26">
        <f>((2*(C11*C13))+((C12*C13)*2))*C10</f>
        <v>1.44</v>
      </c>
      <c r="D29" s="12" t="s">
        <v>1</v>
      </c>
      <c r="E29" s="27">
        <f t="shared" si="0"/>
        <v>11.52</v>
      </c>
      <c r="F29" s="23" t="s">
        <v>1</v>
      </c>
      <c r="I29" s="12"/>
      <c r="J29" s="11" t="s">
        <v>39</v>
      </c>
      <c r="K29" s="26">
        <f>((2*(K11*K13))+((K12*K13)*2))*K10</f>
        <v>2.64</v>
      </c>
      <c r="L29" s="12" t="s">
        <v>1</v>
      </c>
      <c r="M29" s="27">
        <f t="shared" si="3"/>
        <v>5.28</v>
      </c>
      <c r="N29" s="23" t="s">
        <v>1</v>
      </c>
      <c r="R29" s="11" t="s">
        <v>39</v>
      </c>
      <c r="S29" s="26">
        <f>((2*(S11*S13))+((S12*S13)*2))*S10</f>
        <v>0</v>
      </c>
      <c r="T29" s="12" t="s">
        <v>1</v>
      </c>
      <c r="U29" s="27">
        <f t="shared" si="4"/>
        <v>0</v>
      </c>
      <c r="V29" s="23" t="s">
        <v>1</v>
      </c>
      <c r="Y29" s="1" t="s">
        <v>71</v>
      </c>
      <c r="Z29" s="54">
        <f t="shared" si="5"/>
        <v>16.8</v>
      </c>
      <c r="AA29" s="25" t="s">
        <v>1</v>
      </c>
    </row>
    <row r="30" spans="1:27" x14ac:dyDescent="0.2">
      <c r="A30" s="12"/>
      <c r="B30" s="20" t="s">
        <v>40</v>
      </c>
      <c r="C30" s="26">
        <f>C14*C10</f>
        <v>4</v>
      </c>
      <c r="D30" s="12" t="s">
        <v>9</v>
      </c>
      <c r="E30" s="27">
        <f t="shared" si="0"/>
        <v>32</v>
      </c>
      <c r="F30" s="23" t="s">
        <v>9</v>
      </c>
      <c r="I30" s="12"/>
      <c r="J30" s="20" t="s">
        <v>40</v>
      </c>
      <c r="K30" s="26">
        <f>K14*K10</f>
        <v>4</v>
      </c>
      <c r="L30" s="12" t="s">
        <v>9</v>
      </c>
      <c r="M30" s="27">
        <f t="shared" si="3"/>
        <v>8</v>
      </c>
      <c r="N30" s="23" t="s">
        <v>9</v>
      </c>
      <c r="R30" s="20" t="s">
        <v>40</v>
      </c>
      <c r="S30" s="26">
        <f>S14*S10</f>
        <v>0</v>
      </c>
      <c r="T30" s="12" t="s">
        <v>9</v>
      </c>
      <c r="U30" s="27">
        <f t="shared" si="4"/>
        <v>0</v>
      </c>
      <c r="V30" s="23" t="s">
        <v>9</v>
      </c>
      <c r="Y30" s="1" t="s">
        <v>71</v>
      </c>
      <c r="Z30" s="54">
        <f t="shared" si="5"/>
        <v>40</v>
      </c>
      <c r="AA30" s="25" t="s">
        <v>9</v>
      </c>
    </row>
    <row r="31" spans="1:27" x14ac:dyDescent="0.2">
      <c r="A31" s="12">
        <v>6</v>
      </c>
      <c r="B31" s="12" t="s">
        <v>41</v>
      </c>
      <c r="C31" s="26">
        <f>C30</f>
        <v>4</v>
      </c>
      <c r="D31" s="12" t="s">
        <v>9</v>
      </c>
      <c r="E31" s="27">
        <f t="shared" si="0"/>
        <v>32</v>
      </c>
      <c r="F31" s="23" t="s">
        <v>9</v>
      </c>
      <c r="I31" s="12"/>
      <c r="J31" s="12" t="s">
        <v>41</v>
      </c>
      <c r="K31" s="26">
        <f>K30</f>
        <v>4</v>
      </c>
      <c r="L31" s="12" t="s">
        <v>9</v>
      </c>
      <c r="M31" s="27">
        <f t="shared" si="3"/>
        <v>8</v>
      </c>
      <c r="N31" s="23" t="s">
        <v>9</v>
      </c>
      <c r="R31" s="12" t="s">
        <v>41</v>
      </c>
      <c r="S31" s="26">
        <f>S30</f>
        <v>0</v>
      </c>
      <c r="T31" s="12" t="s">
        <v>9</v>
      </c>
      <c r="U31" s="27">
        <f t="shared" si="4"/>
        <v>0</v>
      </c>
      <c r="V31" s="23" t="s">
        <v>9</v>
      </c>
      <c r="Y31" s="1" t="s">
        <v>71</v>
      </c>
      <c r="Z31" s="54">
        <f t="shared" si="5"/>
        <v>40</v>
      </c>
      <c r="AA31" s="25" t="s">
        <v>9</v>
      </c>
    </row>
    <row r="32" spans="1:27" x14ac:dyDescent="0.2">
      <c r="A32" s="12">
        <v>7</v>
      </c>
      <c r="B32" s="20" t="s">
        <v>18</v>
      </c>
      <c r="C32" s="26">
        <f>(2*C11)+(2*C12)+(2*C4)+(C5*2)</f>
        <v>9.6</v>
      </c>
      <c r="D32" s="12" t="s">
        <v>11</v>
      </c>
      <c r="E32" s="27">
        <f t="shared" si="0"/>
        <v>76.8</v>
      </c>
      <c r="F32" s="23" t="s">
        <v>11</v>
      </c>
      <c r="I32" s="12"/>
      <c r="J32" s="20" t="s">
        <v>18</v>
      </c>
      <c r="K32" s="26">
        <f>(2*K11)+(2*K12)+(2*K4)+(K5*2)</f>
        <v>8.4</v>
      </c>
      <c r="L32" s="12" t="s">
        <v>11</v>
      </c>
      <c r="M32" s="27">
        <f t="shared" si="3"/>
        <v>16.8</v>
      </c>
      <c r="N32" s="23" t="s">
        <v>11</v>
      </c>
      <c r="R32" s="20" t="s">
        <v>18</v>
      </c>
      <c r="S32" s="26">
        <f>(2*S11)+(2*S12)+(2*S4)+(S5*2)</f>
        <v>101.5</v>
      </c>
      <c r="T32" s="12" t="s">
        <v>11</v>
      </c>
      <c r="U32" s="27">
        <f t="shared" si="4"/>
        <v>101.5</v>
      </c>
      <c r="V32" s="23" t="s">
        <v>11</v>
      </c>
      <c r="Y32" s="1" t="s">
        <v>71</v>
      </c>
      <c r="Z32" s="54">
        <f t="shared" si="5"/>
        <v>195.1</v>
      </c>
      <c r="AA32" s="25" t="s">
        <v>11</v>
      </c>
    </row>
    <row r="33" spans="1:27" x14ac:dyDescent="0.2">
      <c r="A33" s="12">
        <v>8</v>
      </c>
      <c r="B33" s="20" t="s">
        <v>19</v>
      </c>
      <c r="C33" s="26">
        <f>(C37+C38+C39)*C15/1000</f>
        <v>0.21114000000000002</v>
      </c>
      <c r="D33" s="12" t="s">
        <v>20</v>
      </c>
      <c r="E33" s="22">
        <f t="shared" si="0"/>
        <v>1.6891200000000002</v>
      </c>
      <c r="F33" s="23" t="s">
        <v>20</v>
      </c>
      <c r="I33" s="12"/>
      <c r="J33" s="20" t="s">
        <v>19</v>
      </c>
      <c r="K33" s="26">
        <f>(K37+K38+K39)*K15/1000</f>
        <v>0.16197750000000002</v>
      </c>
      <c r="L33" s="12" t="s">
        <v>20</v>
      </c>
      <c r="M33" s="22">
        <f t="shared" si="3"/>
        <v>0.32395500000000005</v>
      </c>
      <c r="N33" s="23" t="s">
        <v>20</v>
      </c>
      <c r="R33" s="20" t="s">
        <v>19</v>
      </c>
      <c r="S33" s="26">
        <f>(S37+S38+S39)*S15/1000</f>
        <v>1.078125</v>
      </c>
      <c r="T33" s="12" t="s">
        <v>20</v>
      </c>
      <c r="U33" s="22">
        <f t="shared" si="4"/>
        <v>1.078125</v>
      </c>
      <c r="V33" s="23" t="s">
        <v>20</v>
      </c>
      <c r="Y33" s="1" t="s">
        <v>71</v>
      </c>
      <c r="Z33" s="54">
        <f t="shared" si="5"/>
        <v>3.0912000000000002</v>
      </c>
      <c r="AA33" s="25" t="s">
        <v>20</v>
      </c>
    </row>
    <row r="34" spans="1:27" x14ac:dyDescent="0.2">
      <c r="A34" s="12"/>
      <c r="B34" s="20" t="s">
        <v>4</v>
      </c>
      <c r="C34" s="26"/>
      <c r="D34" s="12"/>
      <c r="E34" s="22"/>
      <c r="F34" s="23"/>
      <c r="I34" s="12"/>
      <c r="J34" s="20" t="s">
        <v>4</v>
      </c>
      <c r="K34" s="26"/>
      <c r="L34" s="12"/>
      <c r="M34" s="22"/>
      <c r="N34" s="23"/>
      <c r="R34" s="20" t="s">
        <v>4</v>
      </c>
      <c r="S34" s="26"/>
      <c r="T34" s="12"/>
      <c r="U34" s="22"/>
      <c r="V34" s="23"/>
      <c r="Z34" s="54"/>
      <c r="AA34" s="25"/>
    </row>
    <row r="35" spans="1:27" x14ac:dyDescent="0.2">
      <c r="A35" s="12">
        <v>9</v>
      </c>
      <c r="B35" s="12" t="s">
        <v>42</v>
      </c>
      <c r="C35" s="26">
        <f>(C4+C7)*(C5+C7)</f>
        <v>5.76</v>
      </c>
      <c r="D35" s="12" t="s">
        <v>1</v>
      </c>
      <c r="E35" s="27">
        <f t="shared" si="0"/>
        <v>46.08</v>
      </c>
      <c r="F35" s="23" t="s">
        <v>1</v>
      </c>
      <c r="I35" s="12"/>
      <c r="J35" s="12" t="s">
        <v>42</v>
      </c>
      <c r="K35" s="26">
        <f>(K4+K7)*(K5+K7)</f>
        <v>4.41</v>
      </c>
      <c r="L35" s="12" t="s">
        <v>1</v>
      </c>
      <c r="M35" s="22">
        <f t="shared" ref="M35" si="6">K35*O$15</f>
        <v>8.82</v>
      </c>
      <c r="N35" s="23" t="s">
        <v>1</v>
      </c>
      <c r="R35" s="12" t="s">
        <v>42</v>
      </c>
      <c r="S35" s="26">
        <f>(S4+S7)*(S5+S7)</f>
        <v>68.31</v>
      </c>
      <c r="T35" s="12" t="s">
        <v>1</v>
      </c>
      <c r="U35" s="22">
        <f t="shared" ref="U35" si="7">S35*W$15</f>
        <v>68.31</v>
      </c>
      <c r="V35" s="23" t="s">
        <v>1</v>
      </c>
      <c r="Y35" s="1" t="s">
        <v>71</v>
      </c>
      <c r="Z35" s="54">
        <f>E35+M35+U35</f>
        <v>123.21000000000001</v>
      </c>
      <c r="AA35" s="25" t="s">
        <v>1</v>
      </c>
    </row>
    <row r="36" spans="1:27" x14ac:dyDescent="0.2">
      <c r="A36" s="12"/>
      <c r="B36" s="12" t="s">
        <v>43</v>
      </c>
      <c r="C36" s="26"/>
      <c r="D36" s="12"/>
      <c r="E36" s="27"/>
      <c r="F36" s="23"/>
      <c r="I36" s="12"/>
      <c r="J36" s="12" t="s">
        <v>43</v>
      </c>
      <c r="K36" s="26"/>
      <c r="L36" s="12"/>
      <c r="M36" s="22"/>
      <c r="N36" s="23"/>
      <c r="R36" s="12" t="s">
        <v>43</v>
      </c>
      <c r="S36" s="26"/>
      <c r="T36" s="12"/>
      <c r="U36" s="22"/>
      <c r="V36" s="23"/>
      <c r="Z36" s="54"/>
      <c r="AA36" s="25"/>
    </row>
    <row r="37" spans="1:27" x14ac:dyDescent="0.2">
      <c r="A37" s="12">
        <v>10</v>
      </c>
      <c r="B37" s="11" t="s">
        <v>44</v>
      </c>
      <c r="C37" s="26">
        <f>C4*C5*C6</f>
        <v>1.62</v>
      </c>
      <c r="D37" s="12" t="s">
        <v>6</v>
      </c>
      <c r="E37" s="27">
        <f t="shared" si="0"/>
        <v>12.96</v>
      </c>
      <c r="F37" s="23" t="s">
        <v>6</v>
      </c>
      <c r="I37" s="12"/>
      <c r="J37" s="11" t="s">
        <v>44</v>
      </c>
      <c r="K37" s="26">
        <f>K4*K5*K6</f>
        <v>1.0125</v>
      </c>
      <c r="L37" s="12" t="s">
        <v>6</v>
      </c>
      <c r="M37" s="27">
        <f t="shared" ref="M37:M40" si="8">K37*O$15</f>
        <v>2.0249999999999999</v>
      </c>
      <c r="N37" s="23" t="s">
        <v>6</v>
      </c>
      <c r="R37" s="11" t="s">
        <v>44</v>
      </c>
      <c r="S37" s="26">
        <f>S4*S5*S6</f>
        <v>9.375</v>
      </c>
      <c r="T37" s="12" t="s">
        <v>6</v>
      </c>
      <c r="U37" s="27">
        <f t="shared" ref="U37:U40" si="9">S37*W$15</f>
        <v>9.375</v>
      </c>
      <c r="V37" s="23" t="s">
        <v>6</v>
      </c>
      <c r="Y37" s="1" t="s">
        <v>71</v>
      </c>
      <c r="Z37" s="54">
        <f>E37+M37+U37</f>
        <v>24.36</v>
      </c>
      <c r="AA37" s="25" t="s">
        <v>6</v>
      </c>
    </row>
    <row r="38" spans="1:27" x14ac:dyDescent="0.2">
      <c r="A38" s="12">
        <v>11</v>
      </c>
      <c r="B38" s="11" t="s">
        <v>51</v>
      </c>
      <c r="C38" s="26">
        <f>C10*C11*C12*C13</f>
        <v>0.216</v>
      </c>
      <c r="D38" s="12" t="s">
        <v>6</v>
      </c>
      <c r="E38" s="27">
        <f t="shared" si="0"/>
        <v>1.728</v>
      </c>
      <c r="F38" s="23" t="s">
        <v>6</v>
      </c>
      <c r="I38" s="12"/>
      <c r="J38" s="11" t="s">
        <v>51</v>
      </c>
      <c r="K38" s="26">
        <f>K10*K11*K12*K13</f>
        <v>0.39600000000000002</v>
      </c>
      <c r="L38" s="12" t="s">
        <v>6</v>
      </c>
      <c r="M38" s="27">
        <f t="shared" si="8"/>
        <v>0.79200000000000004</v>
      </c>
      <c r="N38" s="23" t="s">
        <v>6</v>
      </c>
      <c r="R38" s="11" t="s">
        <v>51</v>
      </c>
      <c r="S38" s="26">
        <f>S10*S11*S12*S13</f>
        <v>0</v>
      </c>
      <c r="T38" s="12" t="s">
        <v>6</v>
      </c>
      <c r="U38" s="27">
        <f t="shared" si="9"/>
        <v>0</v>
      </c>
      <c r="V38" s="23" t="s">
        <v>6</v>
      </c>
      <c r="Y38" s="1" t="s">
        <v>71</v>
      </c>
      <c r="Z38" s="54">
        <f>E38+M38+U38</f>
        <v>2.52</v>
      </c>
      <c r="AA38" s="25" t="s">
        <v>6</v>
      </c>
    </row>
    <row r="39" spans="1:27" x14ac:dyDescent="0.2">
      <c r="A39" s="12">
        <v>12</v>
      </c>
      <c r="B39" s="11" t="s">
        <v>45</v>
      </c>
      <c r="C39" s="21"/>
      <c r="D39" s="12" t="s">
        <v>6</v>
      </c>
      <c r="E39" s="27">
        <f t="shared" si="0"/>
        <v>0</v>
      </c>
      <c r="F39" s="23" t="s">
        <v>6</v>
      </c>
      <c r="I39" s="12"/>
      <c r="J39" s="11" t="s">
        <v>45</v>
      </c>
      <c r="K39" s="21"/>
      <c r="L39" s="12" t="s">
        <v>6</v>
      </c>
      <c r="M39" s="27">
        <f t="shared" si="8"/>
        <v>0</v>
      </c>
      <c r="N39" s="23" t="s">
        <v>6</v>
      </c>
      <c r="R39" s="11" t="s">
        <v>45</v>
      </c>
      <c r="S39" s="21"/>
      <c r="T39" s="12" t="s">
        <v>6</v>
      </c>
      <c r="U39" s="27">
        <f t="shared" si="9"/>
        <v>0</v>
      </c>
      <c r="V39" s="23" t="s">
        <v>6</v>
      </c>
      <c r="Z39" s="54">
        <f>E39+M39+U39</f>
        <v>0</v>
      </c>
      <c r="AA39" s="25" t="s">
        <v>6</v>
      </c>
    </row>
    <row r="40" spans="1:27" x14ac:dyDescent="0.2">
      <c r="A40" s="1">
        <v>13</v>
      </c>
      <c r="B40" s="28" t="s">
        <v>46</v>
      </c>
      <c r="C40" s="29">
        <f>C4*C5</f>
        <v>3.24</v>
      </c>
      <c r="D40" s="1" t="s">
        <v>1</v>
      </c>
      <c r="E40" s="27">
        <f t="shared" si="0"/>
        <v>25.92</v>
      </c>
      <c r="F40" s="30" t="s">
        <v>1</v>
      </c>
      <c r="J40" s="28" t="s">
        <v>46</v>
      </c>
      <c r="K40" s="29">
        <f>K4*K5</f>
        <v>2.25</v>
      </c>
      <c r="L40" s="1" t="s">
        <v>1</v>
      </c>
      <c r="M40" s="27">
        <f t="shared" si="8"/>
        <v>4.5</v>
      </c>
      <c r="N40" s="30" t="s">
        <v>1</v>
      </c>
      <c r="R40" s="28" t="s">
        <v>46</v>
      </c>
      <c r="S40" s="29">
        <f>S4*S5</f>
        <v>37.5</v>
      </c>
      <c r="T40" s="1" t="s">
        <v>1</v>
      </c>
      <c r="U40" s="27">
        <f t="shared" si="9"/>
        <v>37.5</v>
      </c>
      <c r="V40" s="30" t="s">
        <v>1</v>
      </c>
      <c r="Y40" s="1" t="s">
        <v>71</v>
      </c>
      <c r="Z40" s="54">
        <f>E40+M40+U40</f>
        <v>67.92</v>
      </c>
      <c r="AA40" s="18" t="s">
        <v>1</v>
      </c>
    </row>
    <row r="41" spans="1:27" x14ac:dyDescent="0.2">
      <c r="A41" s="1">
        <v>14</v>
      </c>
      <c r="B41" s="1" t="s">
        <v>47</v>
      </c>
      <c r="C41" s="29"/>
      <c r="E41" s="22"/>
      <c r="F41" s="30"/>
      <c r="J41" s="1" t="s">
        <v>47</v>
      </c>
      <c r="K41" s="29"/>
      <c r="M41" s="27"/>
      <c r="N41" s="30"/>
      <c r="R41" s="1" t="s">
        <v>47</v>
      </c>
      <c r="S41" s="29"/>
      <c r="U41" s="27"/>
      <c r="V41" s="30"/>
      <c r="Z41" s="54"/>
      <c r="AA41" s="18"/>
    </row>
    <row r="42" spans="1:27" x14ac:dyDescent="0.2">
      <c r="B42" s="8" t="s">
        <v>48</v>
      </c>
      <c r="C42" s="29">
        <f>C14*C10*(0.15*0.15*0.2)</f>
        <v>1.7999999999999999E-2</v>
      </c>
      <c r="D42" s="1" t="s">
        <v>6</v>
      </c>
      <c r="E42" s="22">
        <f t="shared" si="0"/>
        <v>0.14399999999999999</v>
      </c>
      <c r="F42" s="30" t="s">
        <v>6</v>
      </c>
      <c r="J42" s="8" t="s">
        <v>48</v>
      </c>
      <c r="K42" s="29">
        <f>K14*K10*(0.15*0.15*0.2)</f>
        <v>1.7999999999999999E-2</v>
      </c>
      <c r="L42" s="1" t="s">
        <v>6</v>
      </c>
      <c r="M42" s="27">
        <f t="shared" ref="M42:M44" si="10">K42*O$15</f>
        <v>3.5999999999999997E-2</v>
      </c>
      <c r="N42" s="30" t="s">
        <v>6</v>
      </c>
      <c r="R42" s="8" t="s">
        <v>48</v>
      </c>
      <c r="S42" s="29">
        <f>S14*S10*(0.15*0.15*0.2)</f>
        <v>0</v>
      </c>
      <c r="T42" s="1" t="s">
        <v>6</v>
      </c>
      <c r="U42" s="27">
        <f t="shared" ref="U42:U44" si="11">S42*W$15</f>
        <v>0</v>
      </c>
      <c r="V42" s="30" t="s">
        <v>6</v>
      </c>
      <c r="Y42" s="1" t="s">
        <v>71</v>
      </c>
      <c r="Z42" s="54">
        <f>E42+M42+U42</f>
        <v>0.18</v>
      </c>
      <c r="AA42" s="18" t="s">
        <v>6</v>
      </c>
    </row>
    <row r="43" spans="1:27" x14ac:dyDescent="0.2">
      <c r="B43" s="8" t="s">
        <v>49</v>
      </c>
      <c r="C43" s="29">
        <f>C10*C11*C12*0.075</f>
        <v>2.7E-2</v>
      </c>
      <c r="D43" s="1" t="s">
        <v>6</v>
      </c>
      <c r="E43" s="22">
        <f t="shared" si="0"/>
        <v>0.216</v>
      </c>
      <c r="F43" s="30" t="s">
        <v>6</v>
      </c>
      <c r="J43" s="8" t="s">
        <v>49</v>
      </c>
      <c r="K43" s="29">
        <f>K10*K11*K12*0.075</f>
        <v>2.7E-2</v>
      </c>
      <c r="L43" s="1" t="s">
        <v>6</v>
      </c>
      <c r="M43" s="27">
        <f t="shared" si="10"/>
        <v>5.3999999999999999E-2</v>
      </c>
      <c r="N43" s="30" t="s">
        <v>6</v>
      </c>
      <c r="R43" s="8" t="s">
        <v>49</v>
      </c>
      <c r="S43" s="29">
        <f>S10*S11*S12*0.075</f>
        <v>0</v>
      </c>
      <c r="T43" s="1" t="s">
        <v>6</v>
      </c>
      <c r="U43" s="27">
        <f t="shared" si="11"/>
        <v>0</v>
      </c>
      <c r="V43" s="30" t="s">
        <v>6</v>
      </c>
      <c r="Y43" s="1" t="s">
        <v>71</v>
      </c>
      <c r="Z43" s="54">
        <f>E43+M43+U43</f>
        <v>0.27</v>
      </c>
      <c r="AA43" s="18" t="s">
        <v>6</v>
      </c>
    </row>
    <row r="44" spans="1:27" x14ac:dyDescent="0.2">
      <c r="A44" s="1">
        <v>15</v>
      </c>
      <c r="B44" s="1" t="s">
        <v>50</v>
      </c>
      <c r="C44" s="1">
        <f>(C11*2)+(C12*2)</f>
        <v>2.4</v>
      </c>
      <c r="D44" s="1" t="s">
        <v>11</v>
      </c>
      <c r="E44" s="27">
        <f t="shared" si="0"/>
        <v>19.2</v>
      </c>
      <c r="F44" s="30" t="s">
        <v>11</v>
      </c>
      <c r="J44" s="1" t="s">
        <v>50</v>
      </c>
      <c r="K44" s="1">
        <f>(K11*2)+(K12*2)</f>
        <v>2.4</v>
      </c>
      <c r="L44" s="1" t="s">
        <v>11</v>
      </c>
      <c r="M44" s="27">
        <f t="shared" si="10"/>
        <v>4.8</v>
      </c>
      <c r="N44" s="30" t="s">
        <v>11</v>
      </c>
      <c r="R44" s="1" t="s">
        <v>50</v>
      </c>
      <c r="S44" s="1">
        <f>(S11*2)+(S12*2)</f>
        <v>0</v>
      </c>
      <c r="T44" s="1" t="s">
        <v>11</v>
      </c>
      <c r="U44" s="27">
        <f t="shared" si="11"/>
        <v>0</v>
      </c>
      <c r="V44" s="30" t="s">
        <v>11</v>
      </c>
      <c r="Y44" s="1" t="s">
        <v>71</v>
      </c>
      <c r="Z44" s="54">
        <f>E44+M44+U44</f>
        <v>24</v>
      </c>
      <c r="AA44" s="18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1311-B85E-4AAB-B6AD-CB039D113BA0}">
  <sheetPr>
    <pageSetUpPr fitToPage="1"/>
  </sheetPr>
  <dimension ref="A1:O41"/>
  <sheetViews>
    <sheetView topLeftCell="B1" zoomScale="115" zoomScaleNormal="115" workbookViewId="0">
      <selection activeCell="G21" sqref="G21"/>
    </sheetView>
  </sheetViews>
  <sheetFormatPr defaultColWidth="8.85546875" defaultRowHeight="11.25" x14ac:dyDescent="0.2"/>
  <cols>
    <col min="1" max="1" width="4.28515625" style="1" customWidth="1"/>
    <col min="2" max="2" width="23.85546875" style="1" customWidth="1"/>
    <col min="3" max="3" width="4" style="1" customWidth="1"/>
    <col min="4" max="4" width="2.7109375" style="1" customWidth="1"/>
    <col min="5" max="5" width="4.42578125" style="1" customWidth="1"/>
    <col min="6" max="7" width="6" style="1" customWidth="1"/>
    <col min="8" max="8" width="0.140625" style="1" customWidth="1"/>
    <col min="9" max="9" width="7.5703125" style="1" customWidth="1"/>
    <col min="10" max="10" width="7.28515625" style="1" customWidth="1"/>
    <col min="11" max="11" width="7.5703125" style="1" customWidth="1"/>
    <col min="12" max="12" width="4.28515625" style="1" customWidth="1"/>
    <col min="13" max="13" width="8.85546875" style="1"/>
    <col min="14" max="14" width="11.28515625" style="1" customWidth="1"/>
    <col min="15" max="16384" width="8.85546875" style="1"/>
  </cols>
  <sheetData>
    <row r="1" spans="1:15" x14ac:dyDescent="0.2">
      <c r="B1" s="2" t="s">
        <v>70</v>
      </c>
    </row>
    <row r="3" spans="1:15" ht="12" thickBot="1" x14ac:dyDescent="0.25">
      <c r="F3" s="2"/>
      <c r="G3" s="2"/>
      <c r="H3" s="2"/>
      <c r="I3" s="3"/>
      <c r="J3" s="3"/>
      <c r="K3" s="3"/>
    </row>
    <row r="4" spans="1:15" ht="3" customHeight="1" x14ac:dyDescent="0.2">
      <c r="I4" s="42"/>
      <c r="J4" s="43"/>
      <c r="K4" s="44"/>
    </row>
    <row r="5" spans="1:15" s="4" customFormat="1" ht="27" customHeight="1" x14ac:dyDescent="0.2">
      <c r="E5" s="1"/>
      <c r="F5" s="4">
        <v>5</v>
      </c>
      <c r="I5" s="45"/>
      <c r="J5" s="35"/>
      <c r="K5" s="52"/>
    </row>
    <row r="6" spans="1:15" s="4" customFormat="1" ht="27" customHeight="1" x14ac:dyDescent="0.25">
      <c r="E6" s="40">
        <f>SUM(F5:F6)</f>
        <v>10</v>
      </c>
      <c r="F6" s="4">
        <v>5</v>
      </c>
      <c r="I6" s="46"/>
      <c r="J6" s="34"/>
      <c r="K6" s="53" t="s">
        <v>52</v>
      </c>
    </row>
    <row r="7" spans="1:15" s="4" customFormat="1" ht="3.6" customHeight="1" thickBot="1" x14ac:dyDescent="0.3">
      <c r="I7" s="47"/>
      <c r="J7" s="48"/>
      <c r="K7" s="49"/>
    </row>
    <row r="9" spans="1:15" x14ac:dyDescent="0.2">
      <c r="I9" s="3">
        <v>5</v>
      </c>
      <c r="J9" s="3">
        <v>5</v>
      </c>
      <c r="K9" s="3">
        <v>5</v>
      </c>
    </row>
    <row r="10" spans="1:15" s="2" customFormat="1" x14ac:dyDescent="0.2">
      <c r="J10" s="39">
        <f>SUM(I9:K9)</f>
        <v>15</v>
      </c>
    </row>
    <row r="11" spans="1:15" x14ac:dyDescent="0.2">
      <c r="K11" s="36"/>
    </row>
    <row r="12" spans="1:15" x14ac:dyDescent="0.2">
      <c r="B12" s="2" t="s">
        <v>67</v>
      </c>
      <c r="C12" s="50">
        <v>175</v>
      </c>
      <c r="D12" s="51" t="s">
        <v>68</v>
      </c>
    </row>
    <row r="13" spans="1:15" x14ac:dyDescent="0.2">
      <c r="G13" s="38"/>
      <c r="H13" s="3"/>
      <c r="I13" s="38"/>
      <c r="J13" s="5"/>
      <c r="N13" s="18" t="s">
        <v>33</v>
      </c>
    </row>
    <row r="14" spans="1:15" x14ac:dyDescent="0.2">
      <c r="F14" s="1" t="s">
        <v>0</v>
      </c>
      <c r="G14" s="38">
        <f>E6</f>
        <v>10</v>
      </c>
      <c r="H14" s="3"/>
      <c r="I14" s="38">
        <f>J10</f>
        <v>15</v>
      </c>
      <c r="J14" s="5">
        <f>I14*G14</f>
        <v>150</v>
      </c>
      <c r="K14" s="1" t="s">
        <v>1</v>
      </c>
      <c r="N14" s="19"/>
    </row>
    <row r="15" spans="1:15" x14ac:dyDescent="0.2">
      <c r="J15" s="7"/>
      <c r="N15" s="19"/>
    </row>
    <row r="16" spans="1:15" x14ac:dyDescent="0.2">
      <c r="A16" s="1">
        <v>1</v>
      </c>
      <c r="B16" s="1" t="s">
        <v>2</v>
      </c>
      <c r="J16" s="7">
        <f>J14*1.1</f>
        <v>165</v>
      </c>
      <c r="K16" s="1" t="s">
        <v>1</v>
      </c>
      <c r="M16" s="1" t="s">
        <v>71</v>
      </c>
      <c r="N16" s="24">
        <f>J16</f>
        <v>165</v>
      </c>
      <c r="O16" s="1" t="s">
        <v>1</v>
      </c>
    </row>
    <row r="17" spans="1:15" x14ac:dyDescent="0.2">
      <c r="J17" s="7"/>
      <c r="N17" s="24"/>
    </row>
    <row r="18" spans="1:15" x14ac:dyDescent="0.2">
      <c r="A18" s="1">
        <v>2</v>
      </c>
      <c r="B18" s="1" t="s">
        <v>3</v>
      </c>
      <c r="J18" s="7">
        <f>(2*I14)+(2*G14)</f>
        <v>50</v>
      </c>
      <c r="K18" s="1" t="s">
        <v>11</v>
      </c>
      <c r="M18" s="1" t="s">
        <v>71</v>
      </c>
      <c r="N18" s="24">
        <f>J18</f>
        <v>50</v>
      </c>
      <c r="O18" s="1" t="s">
        <v>11</v>
      </c>
    </row>
    <row r="19" spans="1:15" x14ac:dyDescent="0.2">
      <c r="J19" s="7"/>
      <c r="N19" s="24"/>
    </row>
    <row r="20" spans="1:15" x14ac:dyDescent="0.2">
      <c r="A20" s="1">
        <v>3</v>
      </c>
      <c r="B20" s="1" t="s">
        <v>5</v>
      </c>
      <c r="J20" s="7">
        <f>J14*(C12/1000)</f>
        <v>26.25</v>
      </c>
      <c r="K20" s="1" t="s">
        <v>6</v>
      </c>
      <c r="M20" s="1" t="s">
        <v>71</v>
      </c>
      <c r="N20" s="24">
        <f>J20</f>
        <v>26.25</v>
      </c>
      <c r="O20" s="1" t="s">
        <v>6</v>
      </c>
    </row>
    <row r="21" spans="1:15" x14ac:dyDescent="0.2">
      <c r="J21" s="7"/>
      <c r="N21" s="24"/>
    </row>
    <row r="22" spans="1:15" x14ac:dyDescent="0.2">
      <c r="A22" s="1">
        <v>4</v>
      </c>
      <c r="B22" s="12" t="s">
        <v>16</v>
      </c>
      <c r="C22" s="12"/>
      <c r="D22" s="12"/>
      <c r="E22" s="12"/>
      <c r="J22" s="7">
        <f>J14</f>
        <v>150</v>
      </c>
      <c r="K22" s="8" t="s">
        <v>1</v>
      </c>
      <c r="M22" s="1" t="s">
        <v>71</v>
      </c>
      <c r="N22" s="24">
        <f>J22</f>
        <v>150</v>
      </c>
      <c r="O22" s="8" t="s">
        <v>1</v>
      </c>
    </row>
    <row r="23" spans="1:15" x14ac:dyDescent="0.2">
      <c r="J23" s="7"/>
      <c r="N23" s="24"/>
    </row>
    <row r="24" spans="1:15" x14ac:dyDescent="0.2">
      <c r="A24" s="1">
        <v>5</v>
      </c>
      <c r="B24" s="1" t="s">
        <v>7</v>
      </c>
      <c r="J24" s="7">
        <f>J14</f>
        <v>150</v>
      </c>
      <c r="K24" s="1" t="s">
        <v>1</v>
      </c>
      <c r="M24" s="1" t="s">
        <v>71</v>
      </c>
      <c r="N24" s="24">
        <f>J24</f>
        <v>150</v>
      </c>
      <c r="O24" s="1" t="s">
        <v>1</v>
      </c>
    </row>
    <row r="25" spans="1:15" x14ac:dyDescent="0.2">
      <c r="J25" s="7"/>
      <c r="N25" s="24"/>
    </row>
    <row r="26" spans="1:15" x14ac:dyDescent="0.2">
      <c r="A26" s="1">
        <v>6</v>
      </c>
      <c r="B26" s="1" t="s">
        <v>8</v>
      </c>
      <c r="J26" s="7">
        <f>J24</f>
        <v>150</v>
      </c>
      <c r="K26" s="1" t="s">
        <v>1</v>
      </c>
      <c r="M26" s="1" t="s">
        <v>71</v>
      </c>
      <c r="N26" s="24">
        <f>J26</f>
        <v>150</v>
      </c>
      <c r="O26" s="1" t="s">
        <v>1</v>
      </c>
    </row>
    <row r="27" spans="1:15" x14ac:dyDescent="0.2">
      <c r="J27" s="7"/>
      <c r="N27" s="24"/>
    </row>
    <row r="28" spans="1:15" x14ac:dyDescent="0.2">
      <c r="A28" s="1">
        <v>7</v>
      </c>
      <c r="B28" s="16" t="s">
        <v>12</v>
      </c>
      <c r="C28" s="16"/>
      <c r="D28" s="16"/>
      <c r="E28" s="16"/>
      <c r="F28" s="16"/>
      <c r="G28" s="16"/>
      <c r="H28" s="16"/>
      <c r="I28" s="16"/>
      <c r="J28" s="37">
        <f>J26+(6*E6*3.5)+(I14*3.5)</f>
        <v>412.5</v>
      </c>
      <c r="K28" s="16" t="s">
        <v>1</v>
      </c>
      <c r="M28" s="1" t="s">
        <v>71</v>
      </c>
      <c r="N28" s="24">
        <f>J28</f>
        <v>412.5</v>
      </c>
      <c r="O28" s="16" t="s">
        <v>1</v>
      </c>
    </row>
    <row r="29" spans="1:15" x14ac:dyDescent="0.2">
      <c r="J29" s="10"/>
      <c r="N29" s="24"/>
    </row>
    <row r="30" spans="1:15" x14ac:dyDescent="0.2">
      <c r="B30" s="1" t="s">
        <v>10</v>
      </c>
      <c r="N30" s="24"/>
    </row>
    <row r="31" spans="1:15" x14ac:dyDescent="0.2">
      <c r="N31" s="24"/>
    </row>
    <row r="32" spans="1:15" x14ac:dyDescent="0.2">
      <c r="A32" s="1">
        <v>8</v>
      </c>
      <c r="B32" s="9" t="s">
        <v>15</v>
      </c>
      <c r="C32" s="9"/>
      <c r="D32" s="9"/>
      <c r="E32" s="9"/>
      <c r="J32" s="6">
        <f>(I14*2)+(2*E6)</f>
        <v>50</v>
      </c>
      <c r="K32" s="1" t="s">
        <v>11</v>
      </c>
      <c r="M32" s="1" t="s">
        <v>71</v>
      </c>
      <c r="N32" s="24">
        <f>J32</f>
        <v>50</v>
      </c>
      <c r="O32" s="1" t="s">
        <v>11</v>
      </c>
    </row>
    <row r="33" spans="1:15" x14ac:dyDescent="0.2">
      <c r="B33" s="8"/>
      <c r="C33" s="8"/>
      <c r="D33" s="8"/>
      <c r="E33" s="8"/>
      <c r="N33" s="24"/>
    </row>
    <row r="34" spans="1:15" x14ac:dyDescent="0.2">
      <c r="A34" s="1">
        <v>9</v>
      </c>
      <c r="B34" s="32" t="s">
        <v>13</v>
      </c>
      <c r="C34" s="32"/>
      <c r="D34" s="32"/>
      <c r="E34" s="32"/>
      <c r="F34" s="12"/>
      <c r="G34" s="12"/>
      <c r="H34" s="12"/>
      <c r="I34" s="12"/>
      <c r="J34" s="33">
        <f>(2*E6)</f>
        <v>20</v>
      </c>
      <c r="K34" s="12" t="s">
        <v>11</v>
      </c>
      <c r="M34" s="1" t="s">
        <v>71</v>
      </c>
      <c r="N34" s="24">
        <f>J34</f>
        <v>20</v>
      </c>
      <c r="O34" s="12" t="s">
        <v>11</v>
      </c>
    </row>
    <row r="35" spans="1:15" x14ac:dyDescent="0.2">
      <c r="B35" s="9"/>
      <c r="C35" s="9"/>
      <c r="D35" s="9"/>
      <c r="E35" s="9"/>
      <c r="J35" s="6"/>
      <c r="N35" s="24"/>
    </row>
    <row r="36" spans="1:15" x14ac:dyDescent="0.2">
      <c r="A36" s="1">
        <v>10</v>
      </c>
      <c r="B36" s="31" t="s">
        <v>14</v>
      </c>
      <c r="C36" s="31"/>
      <c r="D36" s="31"/>
      <c r="E36" s="31"/>
      <c r="J36" s="6">
        <f>(1*I14)</f>
        <v>15</v>
      </c>
      <c r="K36" s="1" t="s">
        <v>11</v>
      </c>
      <c r="M36" s="1" t="s">
        <v>71</v>
      </c>
      <c r="N36" s="24">
        <f>J36</f>
        <v>15</v>
      </c>
      <c r="O36" s="1" t="s">
        <v>11</v>
      </c>
    </row>
    <row r="37" spans="1:15" x14ac:dyDescent="0.2">
      <c r="N37" s="41"/>
    </row>
    <row r="38" spans="1:15" x14ac:dyDescent="0.2">
      <c r="N38" s="41"/>
    </row>
    <row r="39" spans="1:15" x14ac:dyDescent="0.2">
      <c r="N39" s="41"/>
    </row>
    <row r="40" spans="1:15" x14ac:dyDescent="0.2">
      <c r="N40" s="41"/>
    </row>
    <row r="41" spans="1:15" x14ac:dyDescent="0.2">
      <c r="N41" s="41"/>
    </row>
  </sheetData>
  <pageMargins left="0.70866141732283472" right="0.70866141732283472" top="0.74803149606299213" bottom="0.74803149606299213" header="0.31496062992125984" footer="0.31496062992125984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21D5-08AE-4195-916F-01868CD79A2A}">
  <dimension ref="B2:E16"/>
  <sheetViews>
    <sheetView tabSelected="1" topLeftCell="A4" workbookViewId="0">
      <selection activeCell="E20" sqref="E20"/>
    </sheetView>
  </sheetViews>
  <sheetFormatPr defaultRowHeight="15" x14ac:dyDescent="0.25"/>
  <cols>
    <col min="2" max="2" width="24.28515625" customWidth="1"/>
  </cols>
  <sheetData>
    <row r="2" spans="2:5" x14ac:dyDescent="0.25">
      <c r="B2" s="2" t="s">
        <v>69</v>
      </c>
      <c r="C2" s="1"/>
      <c r="D2" s="1"/>
    </row>
    <row r="3" spans="2:5" x14ac:dyDescent="0.25">
      <c r="B3" s="1"/>
      <c r="C3" s="1"/>
      <c r="D3" s="1"/>
    </row>
    <row r="4" spans="2:5" x14ac:dyDescent="0.25">
      <c r="B4" s="1" t="s">
        <v>54</v>
      </c>
      <c r="C4" s="1"/>
      <c r="D4" s="1"/>
    </row>
    <row r="5" spans="2:5" x14ac:dyDescent="0.25">
      <c r="B5" s="1"/>
      <c r="C5" s="1"/>
      <c r="D5" s="1"/>
    </row>
    <row r="6" spans="2:5" x14ac:dyDescent="0.25">
      <c r="B6" s="4" t="s">
        <v>55</v>
      </c>
      <c r="C6" s="4">
        <v>50</v>
      </c>
      <c r="D6" s="4" t="s">
        <v>11</v>
      </c>
    </row>
    <row r="7" spans="2:5" x14ac:dyDescent="0.25">
      <c r="B7" s="4" t="s">
        <v>56</v>
      </c>
      <c r="C7" s="4">
        <v>1.5</v>
      </c>
      <c r="D7" s="4" t="s">
        <v>11</v>
      </c>
    </row>
    <row r="8" spans="2:5" x14ac:dyDescent="0.25">
      <c r="B8" s="4" t="s">
        <v>0</v>
      </c>
      <c r="C8" s="4">
        <f>C7*C6</f>
        <v>75</v>
      </c>
      <c r="D8" s="4" t="s">
        <v>1</v>
      </c>
    </row>
    <row r="9" spans="2:5" x14ac:dyDescent="0.25">
      <c r="B9" s="4"/>
      <c r="C9" s="4"/>
      <c r="D9" s="4"/>
    </row>
    <row r="10" spans="2:5" x14ac:dyDescent="0.25">
      <c r="B10" s="4" t="s">
        <v>57</v>
      </c>
      <c r="C10" s="4">
        <f>C8</f>
        <v>75</v>
      </c>
      <c r="D10" s="4" t="s">
        <v>1</v>
      </c>
      <c r="E10" t="s">
        <v>71</v>
      </c>
    </row>
    <row r="11" spans="2:5" x14ac:dyDescent="0.25">
      <c r="B11" s="4" t="s">
        <v>58</v>
      </c>
      <c r="C11" s="4">
        <f>C10*2</f>
        <v>150</v>
      </c>
      <c r="D11" s="4" t="s">
        <v>1</v>
      </c>
      <c r="E11" t="s">
        <v>71</v>
      </c>
    </row>
    <row r="12" spans="2:5" x14ac:dyDescent="0.25">
      <c r="B12" s="4" t="s">
        <v>59</v>
      </c>
      <c r="C12" s="4">
        <f>C11</f>
        <v>150</v>
      </c>
      <c r="D12" s="4" t="s">
        <v>6</v>
      </c>
      <c r="E12" t="s">
        <v>71</v>
      </c>
    </row>
    <row r="13" spans="2:5" x14ac:dyDescent="0.25">
      <c r="B13" s="4" t="s">
        <v>60</v>
      </c>
      <c r="C13" s="4">
        <f>(C6)</f>
        <v>50</v>
      </c>
      <c r="D13" s="4" t="s">
        <v>11</v>
      </c>
      <c r="E13" t="s">
        <v>71</v>
      </c>
    </row>
    <row r="14" spans="2:5" x14ac:dyDescent="0.25">
      <c r="B14" s="4"/>
      <c r="C14" s="4"/>
      <c r="D14" s="4"/>
    </row>
    <row r="15" spans="2:5" x14ac:dyDescent="0.25">
      <c r="B15" s="4" t="s">
        <v>61</v>
      </c>
      <c r="C15" s="4">
        <v>4</v>
      </c>
      <c r="D15" s="4" t="s">
        <v>9</v>
      </c>
      <c r="E15" t="s">
        <v>71</v>
      </c>
    </row>
    <row r="16" spans="2:5" x14ac:dyDescent="0.25">
      <c r="B16" s="4" t="s">
        <v>62</v>
      </c>
      <c r="C16" s="4">
        <v>6</v>
      </c>
      <c r="D16" s="4" t="s">
        <v>9</v>
      </c>
      <c r="E1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Chemical Building</vt:lpstr>
      <vt:lpstr>Surface Bed</vt:lpstr>
      <vt:lpstr>Building 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2023-09-14T07:10:16Z</dcterms:modified>
</cp:coreProperties>
</file>