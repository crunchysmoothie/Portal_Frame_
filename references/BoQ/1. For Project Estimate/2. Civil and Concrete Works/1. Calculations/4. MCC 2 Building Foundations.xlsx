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611C2E89-4ED2-4CAA-A807-46CA43751F48}" xr6:coauthVersionLast="47" xr6:coauthVersionMax="47" xr10:uidLastSave="{00000000-0000-0000-0000-000000000000}"/>
  <bookViews>
    <workbookView xWindow="20370" yWindow="-120" windowWidth="29040" windowHeight="15840" xr2:uid="{02E6CA28-4D7E-41BA-B5AF-451451D26AAE}"/>
  </bookViews>
  <sheets>
    <sheet name="MCC 2 Buildin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4" i="3" l="1"/>
  <c r="K42" i="3"/>
  <c r="K40" i="3"/>
  <c r="K39" i="3"/>
  <c r="K38" i="3"/>
  <c r="K37" i="3"/>
  <c r="K35" i="3"/>
  <c r="K33" i="3"/>
  <c r="K32" i="3"/>
  <c r="K31" i="3"/>
  <c r="K30" i="3"/>
  <c r="K29" i="3"/>
  <c r="K28" i="3"/>
  <c r="K24" i="3"/>
  <c r="K23" i="3"/>
  <c r="K43" i="3"/>
  <c r="K20" i="3"/>
  <c r="C23" i="3" l="1"/>
  <c r="C29" i="3"/>
  <c r="C44" i="3"/>
  <c r="C43" i="3"/>
  <c r="C42" i="3"/>
  <c r="C40" i="3"/>
  <c r="C37" i="3"/>
  <c r="C35" i="3"/>
  <c r="C32" i="3"/>
  <c r="C30" i="3"/>
  <c r="C28" i="3"/>
  <c r="E39" i="3"/>
  <c r="C31" i="3" l="1"/>
  <c r="E42" i="3"/>
  <c r="C24" i="3"/>
  <c r="E44" i="3"/>
  <c r="E40" i="3"/>
  <c r="E43" i="3"/>
  <c r="C38" i="3"/>
  <c r="E29" i="3"/>
  <c r="E28" i="3"/>
  <c r="E23" i="3"/>
  <c r="E35" i="3"/>
  <c r="E37" i="3"/>
  <c r="E30" i="3"/>
  <c r="E32" i="3"/>
  <c r="C33" i="3" l="1"/>
  <c r="E24" i="3"/>
  <c r="E31" i="3"/>
  <c r="E38" i="3"/>
  <c r="E33" i="3" l="1"/>
</calcChain>
</file>

<file path=xl/sharedStrings.xml><?xml version="1.0" encoding="utf-8"?>
<sst xmlns="http://schemas.openxmlformats.org/spreadsheetml/2006/main" count="112" uniqueCount="44">
  <si>
    <t>m2</t>
  </si>
  <si>
    <t>Concrete</t>
  </si>
  <si>
    <t>m3</t>
  </si>
  <si>
    <t>No</t>
  </si>
  <si>
    <t>m</t>
  </si>
  <si>
    <t>Formwork</t>
  </si>
  <si>
    <t>Chamfers</t>
  </si>
  <si>
    <t>Reinforcement</t>
  </si>
  <si>
    <t>t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</si>
  <si>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</si>
  <si>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</si>
  <si>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</si>
  <si>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</si>
  <si>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</si>
  <si>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</si>
  <si>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</si>
  <si>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</si>
  <si>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</si>
  <si>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</si>
  <si>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</si>
  <si>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</si>
  <si>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</si>
  <si>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</si>
  <si>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</si>
  <si>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</si>
  <si>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</si>
  <si>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</si>
  <si>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</si>
  <si>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</si>
  <si>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</si>
  <si>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</si>
  <si>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</si>
  <si>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</si>
  <si>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</si>
  <si>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</si>
  <si>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</si>
  <si>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</si>
  <si>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</si>
  <si>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</si>
  <si>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</si>
  <si>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Piles</t>
  </si>
  <si>
    <t>CFA 750mm diameter</t>
  </si>
  <si>
    <t>Main Frame - Pad Foundations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</si>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</sst>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2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18D7-9087-4DBF-A51A-111A849D43F9}">
  <dimension ref="A2:L44"/>
  <sheetViews>
    <sheetView tabSelected="1" workbookViewId="0">
      <selection activeCell="H43" sqref="H43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9" width="2.85546875" style="1" customWidth="1"/>
    <col min="10" max="10" width="3.28515625" style="1" customWidth="1"/>
    <col min="11" max="11" width="7.28515625" style="1" customWidth="1"/>
    <col min="12" max="16384" width="9.140625" style="1"/>
  </cols>
  <sheetData>
    <row r="2" spans="2:10" x14ac:dyDescent="0.2">
      <c r="B2" s="2" t="s">
        <v>42</v>
      </c>
    </row>
    <row r="4" spans="2:10" x14ac:dyDescent="0.2">
      <c r="B4" s="6" t="s">
        <v>9</v>
      </c>
      <c r="C4" s="7">
        <v>1.5</v>
      </c>
      <c r="D4" s="6" t="s">
        <v>4</v>
      </c>
    </row>
    <row r="5" spans="2:10" x14ac:dyDescent="0.2">
      <c r="B5" s="6" t="s">
        <v>10</v>
      </c>
      <c r="C5" s="8">
        <v>3</v>
      </c>
      <c r="D5" s="6" t="s">
        <v>4</v>
      </c>
    </row>
    <row r="6" spans="2:10" x14ac:dyDescent="0.2">
      <c r="B6" s="6" t="s">
        <v>11</v>
      </c>
      <c r="C6" s="7">
        <v>0.5</v>
      </c>
      <c r="D6" s="6" t="s">
        <v>4</v>
      </c>
    </row>
    <row r="7" spans="2:10" x14ac:dyDescent="0.2">
      <c r="B7" s="6" t="s">
        <v>12</v>
      </c>
      <c r="C7" s="7">
        <v>0.6</v>
      </c>
      <c r="D7" s="6" t="s">
        <v>4</v>
      </c>
    </row>
    <row r="8" spans="2:10" x14ac:dyDescent="0.2">
      <c r="B8" s="6" t="s">
        <v>13</v>
      </c>
      <c r="C8" s="7">
        <v>0.05</v>
      </c>
      <c r="D8" s="6" t="s">
        <v>4</v>
      </c>
    </row>
    <row r="9" spans="2:10" x14ac:dyDescent="0.2">
      <c r="B9" s="6"/>
      <c r="C9" s="7"/>
      <c r="D9" s="6"/>
    </row>
    <row r="10" spans="2:10" x14ac:dyDescent="0.2">
      <c r="B10" s="6" t="s">
        <v>14</v>
      </c>
      <c r="C10" s="7">
        <v>1</v>
      </c>
      <c r="D10" s="6" t="s">
        <v>3</v>
      </c>
    </row>
    <row r="11" spans="2:10" x14ac:dyDescent="0.2">
      <c r="B11" s="6" t="s">
        <v>15</v>
      </c>
      <c r="C11" s="7">
        <v>0.5</v>
      </c>
      <c r="D11" s="6" t="s">
        <v>4</v>
      </c>
    </row>
    <row r="12" spans="2:10" x14ac:dyDescent="0.2">
      <c r="B12" s="6" t="s">
        <v>16</v>
      </c>
      <c r="C12" s="7">
        <v>2.5</v>
      </c>
      <c r="D12" s="6" t="s">
        <v>4</v>
      </c>
    </row>
    <row r="13" spans="2:10" x14ac:dyDescent="0.2">
      <c r="B13" s="6" t="s">
        <v>17</v>
      </c>
      <c r="C13" s="8">
        <v>0.6</v>
      </c>
      <c r="D13" s="6" t="s">
        <v>4</v>
      </c>
    </row>
    <row r="14" spans="2:10" x14ac:dyDescent="0.2">
      <c r="B14" s="6" t="s">
        <v>18</v>
      </c>
      <c r="C14" s="7">
        <v>0</v>
      </c>
      <c r="D14" s="6" t="s">
        <v>3</v>
      </c>
    </row>
    <row r="15" spans="2:10" x14ac:dyDescent="0.2">
      <c r="B15" s="6" t="s">
        <v>19</v>
      </c>
      <c r="C15" s="7">
        <v>115</v>
      </c>
      <c r="D15" s="6"/>
      <c r="E15" s="9" t="s">
        <v>20</v>
      </c>
      <c r="F15" s="9"/>
      <c r="G15" s="10">
        <v>4</v>
      </c>
      <c r="H15" s="5" t="s">
        <v>3</v>
      </c>
      <c r="J15" s="5"/>
    </row>
    <row r="16" spans="2:10" x14ac:dyDescent="0.2">
      <c r="B16" s="6"/>
      <c r="C16" s="7"/>
      <c r="D16" s="6"/>
      <c r="E16" s="9"/>
      <c r="F16" s="9"/>
      <c r="G16" s="10"/>
      <c r="H16" s="5"/>
      <c r="J16" s="5"/>
    </row>
    <row r="17" spans="1:12" x14ac:dyDescent="0.2">
      <c r="A17" s="5"/>
      <c r="B17" s="5"/>
      <c r="C17" s="5"/>
      <c r="D17" s="5"/>
      <c r="E17" s="2" t="s">
        <v>21</v>
      </c>
      <c r="I17" s="5"/>
      <c r="K17" s="11" t="s">
        <v>21</v>
      </c>
      <c r="L17" s="12"/>
    </row>
    <row r="18" spans="1:12" x14ac:dyDescent="0.2">
      <c r="A18" s="5"/>
      <c r="B18" s="5"/>
      <c r="C18" s="5"/>
      <c r="D18" s="5"/>
      <c r="E18" s="2"/>
      <c r="I18" s="5"/>
      <c r="K18" s="12"/>
      <c r="L18" s="12"/>
    </row>
    <row r="19" spans="1:12" x14ac:dyDescent="0.2">
      <c r="A19" s="5"/>
      <c r="B19" s="13" t="s">
        <v>40</v>
      </c>
      <c r="C19" s="5"/>
      <c r="D19" s="5"/>
      <c r="I19" s="5"/>
      <c r="K19" s="12"/>
      <c r="L19" s="12"/>
    </row>
    <row r="20" spans="1:12" x14ac:dyDescent="0.2">
      <c r="A20" s="5">
        <v>1</v>
      </c>
      <c r="B20" s="5" t="s">
        <v>41</v>
      </c>
      <c r="C20" s="5">
        <v>0</v>
      </c>
      <c r="D20" s="5" t="s">
        <v>3</v>
      </c>
      <c r="E20" s="15"/>
      <c r="F20" s="16"/>
      <c r="I20" s="5"/>
      <c r="K20" s="23">
        <f>C20</f>
        <v>0</v>
      </c>
      <c r="L20" s="17" t="s">
        <v>3</v>
      </c>
    </row>
    <row r="21" spans="1:12" x14ac:dyDescent="0.2">
      <c r="A21" s="5"/>
      <c r="B21" s="5"/>
      <c r="C21" s="18"/>
      <c r="D21" s="5"/>
      <c r="E21" s="15"/>
      <c r="F21" s="16"/>
      <c r="I21" s="5"/>
      <c r="K21" s="23"/>
      <c r="L21" s="17"/>
    </row>
    <row r="22" spans="1:12" x14ac:dyDescent="0.2">
      <c r="A22" s="5"/>
      <c r="B22" s="13" t="s">
        <v>22</v>
      </c>
      <c r="C22" s="18"/>
      <c r="D22" s="5"/>
      <c r="E22" s="15"/>
      <c r="F22" s="16"/>
      <c r="I22" s="5"/>
      <c r="K22" s="23"/>
      <c r="L22" s="17"/>
    </row>
    <row r="23" spans="1:12" x14ac:dyDescent="0.2">
      <c r="A23" s="5">
        <v>2</v>
      </c>
      <c r="B23" s="5" t="s">
        <v>23</v>
      </c>
      <c r="C23" s="18">
        <f>(C4+C7)*(C5+C7)*(C6+C8)</f>
        <v>4.1580000000000004</v>
      </c>
      <c r="D23" s="5" t="s">
        <v>2</v>
      </c>
      <c r="E23" s="19">
        <f t="shared" ref="E23:E44" si="0">C23*G$15</f>
        <v>16.632000000000001</v>
      </c>
      <c r="F23" s="16" t="s">
        <v>2</v>
      </c>
      <c r="I23" s="5"/>
      <c r="J23" s="1" t="s">
        <v>43</v>
      </c>
      <c r="K23" s="23">
        <f>E23</f>
        <v>16.632000000000001</v>
      </c>
      <c r="L23" s="17" t="s">
        <v>2</v>
      </c>
    </row>
    <row r="24" spans="1:12" x14ac:dyDescent="0.2">
      <c r="A24" s="5">
        <v>3</v>
      </c>
      <c r="B24" s="5" t="s">
        <v>24</v>
      </c>
      <c r="C24" s="18">
        <f>C23-(C4*C5*C6)</f>
        <v>1.9080000000000004</v>
      </c>
      <c r="D24" s="5" t="s">
        <v>2</v>
      </c>
      <c r="E24" s="19">
        <f t="shared" si="0"/>
        <v>7.6320000000000014</v>
      </c>
      <c r="F24" s="16" t="s">
        <v>2</v>
      </c>
      <c r="I24" s="5"/>
      <c r="J24" s="1" t="s">
        <v>43</v>
      </c>
      <c r="K24" s="23">
        <f>E24</f>
        <v>7.6320000000000014</v>
      </c>
      <c r="L24" s="17" t="s">
        <v>2</v>
      </c>
    </row>
    <row r="25" spans="1:12" x14ac:dyDescent="0.2">
      <c r="A25" s="5"/>
      <c r="B25" s="5"/>
      <c r="C25" s="18"/>
      <c r="D25" s="5"/>
      <c r="E25" s="19"/>
      <c r="F25" s="16"/>
      <c r="I25" s="5"/>
      <c r="K25" s="23"/>
      <c r="L25" s="17"/>
    </row>
    <row r="26" spans="1:12" x14ac:dyDescent="0.2">
      <c r="A26" s="5"/>
      <c r="B26" s="13" t="s">
        <v>25</v>
      </c>
      <c r="C26" s="18"/>
      <c r="D26" s="5"/>
      <c r="E26" s="19"/>
      <c r="F26" s="16"/>
      <c r="I26" s="5"/>
      <c r="K26" s="23"/>
      <c r="L26" s="17"/>
    </row>
    <row r="27" spans="1:12" x14ac:dyDescent="0.2">
      <c r="A27" s="5"/>
      <c r="B27" s="5" t="s">
        <v>5</v>
      </c>
      <c r="C27" s="18"/>
      <c r="D27" s="5"/>
      <c r="E27" s="19"/>
      <c r="F27" s="16"/>
      <c r="I27" s="5"/>
      <c r="K27" s="23"/>
      <c r="L27" s="17"/>
    </row>
    <row r="28" spans="1:12" x14ac:dyDescent="0.2">
      <c r="A28" s="5">
        <v>4</v>
      </c>
      <c r="B28" s="4" t="s">
        <v>26</v>
      </c>
      <c r="C28" s="18">
        <f>(2*(C4*C6))+(2*(C5*C6))</f>
        <v>4.5</v>
      </c>
      <c r="D28" s="5" t="s">
        <v>0</v>
      </c>
      <c r="E28" s="19">
        <f t="shared" si="0"/>
        <v>18</v>
      </c>
      <c r="F28" s="16" t="s">
        <v>0</v>
      </c>
      <c r="I28" s="5"/>
      <c r="J28" s="1" t="s">
        <v>43</v>
      </c>
      <c r="K28" s="23">
        <f t="shared" ref="K28:K33" si="1">E28</f>
        <v>18</v>
      </c>
      <c r="L28" s="17" t="s">
        <v>0</v>
      </c>
    </row>
    <row r="29" spans="1:12" x14ac:dyDescent="0.2">
      <c r="A29" s="5">
        <v>5</v>
      </c>
      <c r="B29" s="4" t="s">
        <v>27</v>
      </c>
      <c r="C29" s="18">
        <f>((2*(C11*C13))+((C12*C13)*2))*C10</f>
        <v>3.6</v>
      </c>
      <c r="D29" s="5" t="s">
        <v>0</v>
      </c>
      <c r="E29" s="19">
        <f t="shared" si="0"/>
        <v>14.4</v>
      </c>
      <c r="F29" s="16" t="s">
        <v>0</v>
      </c>
      <c r="I29" s="5"/>
      <c r="J29" s="1" t="s">
        <v>43</v>
      </c>
      <c r="K29" s="23">
        <f t="shared" si="1"/>
        <v>14.4</v>
      </c>
      <c r="L29" s="17" t="s">
        <v>0</v>
      </c>
    </row>
    <row r="30" spans="1:12" x14ac:dyDescent="0.2">
      <c r="A30" s="5"/>
      <c r="B30" s="13" t="s">
        <v>28</v>
      </c>
      <c r="C30" s="18">
        <f>C14*C10</f>
        <v>0</v>
      </c>
      <c r="D30" s="5" t="s">
        <v>3</v>
      </c>
      <c r="E30" s="19">
        <f t="shared" si="0"/>
        <v>0</v>
      </c>
      <c r="F30" s="16" t="s">
        <v>3</v>
      </c>
      <c r="I30" s="5"/>
      <c r="K30" s="23">
        <f t="shared" si="1"/>
        <v>0</v>
      </c>
      <c r="L30" s="17" t="s">
        <v>3</v>
      </c>
    </row>
    <row r="31" spans="1:12" x14ac:dyDescent="0.2">
      <c r="A31" s="5">
        <v>6</v>
      </c>
      <c r="B31" s="5" t="s">
        <v>29</v>
      </c>
      <c r="C31" s="18">
        <f>C30</f>
        <v>0</v>
      </c>
      <c r="D31" s="5" t="s">
        <v>3</v>
      </c>
      <c r="E31" s="19">
        <f t="shared" si="0"/>
        <v>0</v>
      </c>
      <c r="F31" s="16" t="s">
        <v>3</v>
      </c>
      <c r="I31" s="5"/>
      <c r="K31" s="23">
        <f t="shared" si="1"/>
        <v>0</v>
      </c>
      <c r="L31" s="17" t="s">
        <v>3</v>
      </c>
    </row>
    <row r="32" spans="1:12" x14ac:dyDescent="0.2">
      <c r="A32" s="5">
        <v>7</v>
      </c>
      <c r="B32" s="13" t="s">
        <v>6</v>
      </c>
      <c r="C32" s="18">
        <f>(2*C11)+(2*C12)+(2*C4)+(C5*2)</f>
        <v>15</v>
      </c>
      <c r="D32" s="5" t="s">
        <v>4</v>
      </c>
      <c r="E32" s="19">
        <f t="shared" si="0"/>
        <v>60</v>
      </c>
      <c r="F32" s="16" t="s">
        <v>4</v>
      </c>
      <c r="I32" s="5"/>
      <c r="J32" s="1" t="s">
        <v>43</v>
      </c>
      <c r="K32" s="23">
        <f t="shared" si="1"/>
        <v>60</v>
      </c>
      <c r="L32" s="17" t="s">
        <v>4</v>
      </c>
    </row>
    <row r="33" spans="1:12" x14ac:dyDescent="0.2">
      <c r="A33" s="5">
        <v>8</v>
      </c>
      <c r="B33" s="13" t="s">
        <v>7</v>
      </c>
      <c r="C33" s="18">
        <f>(C37+C38+C39)*C15/1000</f>
        <v>0.34499999999999997</v>
      </c>
      <c r="D33" s="5" t="s">
        <v>8</v>
      </c>
      <c r="E33" s="15">
        <f t="shared" si="0"/>
        <v>1.38</v>
      </c>
      <c r="F33" s="16" t="s">
        <v>8</v>
      </c>
      <c r="I33" s="5"/>
      <c r="J33" s="1" t="s">
        <v>43</v>
      </c>
      <c r="K33" s="23">
        <f t="shared" si="1"/>
        <v>1.38</v>
      </c>
      <c r="L33" s="17" t="s">
        <v>8</v>
      </c>
    </row>
    <row r="34" spans="1:12" x14ac:dyDescent="0.2">
      <c r="A34" s="5"/>
      <c r="B34" s="13" t="s">
        <v>1</v>
      </c>
      <c r="C34" s="18"/>
      <c r="D34" s="5"/>
      <c r="E34" s="15"/>
      <c r="F34" s="16"/>
      <c r="I34" s="5"/>
      <c r="K34" s="23"/>
      <c r="L34" s="17"/>
    </row>
    <row r="35" spans="1:12" x14ac:dyDescent="0.2">
      <c r="A35" s="5">
        <v>9</v>
      </c>
      <c r="B35" s="5" t="s">
        <v>30</v>
      </c>
      <c r="C35" s="18">
        <f>(C4+C7)*(C5+C7)</f>
        <v>7.5600000000000005</v>
      </c>
      <c r="D35" s="5" t="s">
        <v>0</v>
      </c>
      <c r="E35" s="19">
        <f t="shared" si="0"/>
        <v>30.240000000000002</v>
      </c>
      <c r="F35" s="16" t="s">
        <v>0</v>
      </c>
      <c r="I35" s="5"/>
      <c r="J35" s="1" t="s">
        <v>43</v>
      </c>
      <c r="K35" s="23">
        <f>E35</f>
        <v>30.240000000000002</v>
      </c>
      <c r="L35" s="17" t="s">
        <v>0</v>
      </c>
    </row>
    <row r="36" spans="1:12" x14ac:dyDescent="0.2">
      <c r="A36" s="5"/>
      <c r="B36" s="5" t="s">
        <v>31</v>
      </c>
      <c r="C36" s="18"/>
      <c r="D36" s="5"/>
      <c r="E36" s="19"/>
      <c r="F36" s="16"/>
      <c r="I36" s="5"/>
      <c r="K36" s="23"/>
      <c r="L36" s="17"/>
    </row>
    <row r="37" spans="1:12" x14ac:dyDescent="0.2">
      <c r="A37" s="5">
        <v>10</v>
      </c>
      <c r="B37" s="4" t="s">
        <v>32</v>
      </c>
      <c r="C37" s="18">
        <f>C4*C5*C6</f>
        <v>2.25</v>
      </c>
      <c r="D37" s="5" t="s">
        <v>2</v>
      </c>
      <c r="E37" s="19">
        <f t="shared" si="0"/>
        <v>9</v>
      </c>
      <c r="F37" s="16" t="s">
        <v>2</v>
      </c>
      <c r="I37" s="5"/>
      <c r="J37" s="1" t="s">
        <v>43</v>
      </c>
      <c r="K37" s="23">
        <f>E37</f>
        <v>9</v>
      </c>
      <c r="L37" s="17" t="s">
        <v>2</v>
      </c>
    </row>
    <row r="38" spans="1:12" x14ac:dyDescent="0.2">
      <c r="A38" s="5">
        <v>11</v>
      </c>
      <c r="B38" s="4" t="s">
        <v>39</v>
      </c>
      <c r="C38" s="18">
        <f>C10*C11*C12*C13</f>
        <v>0.75</v>
      </c>
      <c r="D38" s="5" t="s">
        <v>2</v>
      </c>
      <c r="E38" s="19">
        <f t="shared" si="0"/>
        <v>3</v>
      </c>
      <c r="F38" s="16" t="s">
        <v>2</v>
      </c>
      <c r="I38" s="5"/>
      <c r="J38" s="1" t="s">
        <v>43</v>
      </c>
      <c r="K38" s="23">
        <f>E38</f>
        <v>3</v>
      </c>
      <c r="L38" s="17" t="s">
        <v>2</v>
      </c>
    </row>
    <row r="39" spans="1:12" x14ac:dyDescent="0.2">
      <c r="A39" s="5">
        <v>12</v>
      </c>
      <c r="B39" s="4" t="s">
        <v>33</v>
      </c>
      <c r="C39" s="14"/>
      <c r="D39" s="5" t="s">
        <v>2</v>
      </c>
      <c r="E39" s="19">
        <f t="shared" si="0"/>
        <v>0</v>
      </c>
      <c r="F39" s="16" t="s">
        <v>2</v>
      </c>
      <c r="I39" s="5"/>
      <c r="K39" s="23">
        <f>E39</f>
        <v>0</v>
      </c>
      <c r="L39" s="17" t="s">
        <v>2</v>
      </c>
    </row>
    <row r="40" spans="1:12" x14ac:dyDescent="0.2">
      <c r="A40" s="1">
        <v>13</v>
      </c>
      <c r="B40" s="20" t="s">
        <v>34</v>
      </c>
      <c r="C40" s="21">
        <f>C4*C5</f>
        <v>4.5</v>
      </c>
      <c r="D40" s="1" t="s">
        <v>0</v>
      </c>
      <c r="E40" s="19">
        <f t="shared" si="0"/>
        <v>18</v>
      </c>
      <c r="F40" s="22" t="s">
        <v>0</v>
      </c>
      <c r="J40" s="1" t="s">
        <v>43</v>
      </c>
      <c r="K40" s="23">
        <f>E40</f>
        <v>18</v>
      </c>
      <c r="L40" s="11" t="s">
        <v>0</v>
      </c>
    </row>
    <row r="41" spans="1:12" x14ac:dyDescent="0.2">
      <c r="A41" s="1">
        <v>14</v>
      </c>
      <c r="B41" s="1" t="s">
        <v>35</v>
      </c>
      <c r="C41" s="21"/>
      <c r="E41" s="15"/>
      <c r="F41" s="22"/>
      <c r="K41" s="23"/>
      <c r="L41" s="11"/>
    </row>
    <row r="42" spans="1:12" x14ac:dyDescent="0.2">
      <c r="B42" s="3" t="s">
        <v>36</v>
      </c>
      <c r="C42" s="21">
        <f>C14*C10*(0.15*0.15*0.2)</f>
        <v>0</v>
      </c>
      <c r="D42" s="1" t="s">
        <v>2</v>
      </c>
      <c r="E42" s="15">
        <f t="shared" si="0"/>
        <v>0</v>
      </c>
      <c r="F42" s="22" t="s">
        <v>2</v>
      </c>
      <c r="K42" s="23">
        <f>E42</f>
        <v>0</v>
      </c>
      <c r="L42" s="11" t="s">
        <v>2</v>
      </c>
    </row>
    <row r="43" spans="1:12" x14ac:dyDescent="0.2">
      <c r="B43" s="3" t="s">
        <v>37</v>
      </c>
      <c r="C43" s="21">
        <f>C10*C11*C12*0.075</f>
        <v>9.375E-2</v>
      </c>
      <c r="D43" s="1" t="s">
        <v>2</v>
      </c>
      <c r="E43" s="15">
        <f t="shared" si="0"/>
        <v>0.375</v>
      </c>
      <c r="F43" s="22" t="s">
        <v>2</v>
      </c>
      <c r="J43" s="1" t="s">
        <v>43</v>
      </c>
      <c r="K43" s="23">
        <f>C43</f>
        <v>9.375E-2</v>
      </c>
      <c r="L43" s="11" t="s">
        <v>2</v>
      </c>
    </row>
    <row r="44" spans="1:12" x14ac:dyDescent="0.2">
      <c r="A44" s="1">
        <v>15</v>
      </c>
      <c r="B44" s="1" t="s">
        <v>38</v>
      </c>
      <c r="C44" s="1">
        <f>(C11*2)+(C12*2)</f>
        <v>6</v>
      </c>
      <c r="D44" s="1" t="s">
        <v>4</v>
      </c>
      <c r="E44" s="19">
        <f t="shared" si="0"/>
        <v>24</v>
      </c>
      <c r="F44" s="22" t="s">
        <v>4</v>
      </c>
      <c r="J44" s="1" t="s">
        <v>43</v>
      </c>
      <c r="K44" s="23">
        <f>E44</f>
        <v>24</v>
      </c>
      <c r="L44" s="11" t="s">
        <v>4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 2 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2023-09-14T07:14:48Z</dcterms:modified>
</cp:coreProperties>
</file>