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loris\AppData\Local\Microsoft\Windows\INetCache\Content.Outlook\HLRFCCTA\"/>
    </mc:Choice>
  </mc:AlternateContent>
  <xr:revisionPtr revIDLastSave="0" documentId="13_ncr:1_{280ED88F-B0CF-4F55-98EB-E46633AFB2BD}" xr6:coauthVersionLast="47" xr6:coauthVersionMax="47" xr10:uidLastSave="{00000000-0000-0000-0000-000000000000}"/>
  <bookViews>
    <workbookView xWindow="-108" yWindow="-108" windowWidth="23256" windowHeight="12576" tabRatio="903" firstSheet="16" activeTab="24" xr2:uid="{00000000-000D-0000-FFFF-FFFF00000000}"/>
  </bookViews>
  <sheets>
    <sheet name="P&amp;G" sheetId="77" r:id="rId1"/>
    <sheet name="RO Building" sheetId="137" r:id="rId2"/>
    <sheet name="Chemical Store" sheetId="148" r:id="rId3"/>
    <sheet name="Workshop" sheetId="152" r:id="rId4"/>
    <sheet name="MCC2 Foundations" sheetId="153" r:id="rId5"/>
    <sheet name="Ozone Foundations" sheetId="154" r:id="rId6"/>
    <sheet name="Water Tanks Foundations" sheetId="155" r:id="rId7"/>
    <sheet name="Sulpheric Tank Bunded " sheetId="156" r:id="rId8"/>
    <sheet name="Chemical Dosing Bunded" sheetId="157" r:id="rId9"/>
    <sheet name="S1 Tank Bunded " sheetId="158" r:id="rId10"/>
    <sheet name="Lime System Bunded" sheetId="159" r:id="rId11"/>
    <sheet name="Mixed Slurry Bunded" sheetId="160" r:id="rId12"/>
    <sheet name="Centrifuge Bunded" sheetId="161" r:id="rId13"/>
    <sheet name="Stockpile and Crane" sheetId="162" r:id="rId14"/>
    <sheet name="Stage 1 &amp; 2 Clarifiers" sheetId="163" r:id="rId15"/>
    <sheet name="Brine Treatment Plant" sheetId="164" r:id="rId16"/>
    <sheet name="Transformer Bunded" sheetId="166" r:id="rId17"/>
    <sheet name="Weigh Bridge" sheetId="150" r:id="rId18"/>
    <sheet name="Piperacks &amp; Stairs" sheetId="167" r:id="rId19"/>
    <sheet name="Gatehouse" sheetId="168" r:id="rId20"/>
    <sheet name="Changehouse and ablutions" sheetId="169" r:id="rId21"/>
    <sheet name="Offices" sheetId="170" r:id="rId22"/>
    <sheet name="Compressed Air" sheetId="171" r:id="rId23"/>
    <sheet name="MCC1 Building" sheetId="172" r:id="rId24"/>
    <sheet name="Summary" sheetId="37" r:id="rId25"/>
  </sheets>
  <definedNames>
    <definedName name="_xlnm.Print_Area" localSheetId="15">'Brine Treatment Plant'!$A$2:$G$332</definedName>
    <definedName name="_xlnm.Print_Area" localSheetId="12">'Centrifuge Bunded'!$A$1:$G$335</definedName>
    <definedName name="_xlnm.Print_Area" localSheetId="20">'Changehouse and ablutions'!$A$1:$G$50</definedName>
    <definedName name="_xlnm.Print_Area" localSheetId="8">'Chemical Dosing Bunded'!$A$1:$G$335</definedName>
    <definedName name="_xlnm.Print_Area" localSheetId="2">'Chemical Store'!$A$1:$G$335</definedName>
    <definedName name="_xlnm.Print_Area" localSheetId="22">'Compressed Air'!$A$1:$G$50</definedName>
    <definedName name="_xlnm.Print_Area" localSheetId="19">Gatehouse!$A$1:$G$50</definedName>
    <definedName name="_xlnm.Print_Area" localSheetId="10">'Lime System Bunded'!$A$1:$G$335</definedName>
    <definedName name="_xlnm.Print_Area" localSheetId="23">'MCC1 Building'!$A$1:$G$50</definedName>
    <definedName name="_xlnm.Print_Area" localSheetId="4">'MCC2 Foundations'!$A$1:$G$335</definedName>
    <definedName name="_xlnm.Print_Area" localSheetId="11">'Mixed Slurry Bunded'!$A$1:$G$335</definedName>
    <definedName name="_xlnm.Print_Area" localSheetId="21">Offices!$A$1:$G$50</definedName>
    <definedName name="_xlnm.Print_Area" localSheetId="5">'Ozone Foundations'!$A$1:$G$335</definedName>
    <definedName name="_xlnm.Print_Area" localSheetId="18">'Piperacks &amp; Stairs'!$A$1:$G$335</definedName>
    <definedName name="_xlnm.Print_Area" localSheetId="1">'RO Building'!$A$2:$G$332</definedName>
    <definedName name="_xlnm.Print_Area" localSheetId="9">'S1 Tank Bunded '!$A$1:$G$335</definedName>
    <definedName name="_xlnm.Print_Area" localSheetId="14">'Stage 1 &amp; 2 Clarifiers'!$A$2:$G$332</definedName>
    <definedName name="_xlnm.Print_Area" localSheetId="13">'Stockpile and Crane'!$A$1:$G$335</definedName>
    <definedName name="_xlnm.Print_Area" localSheetId="7">'Sulpheric Tank Bunded '!$A$1:$G$335</definedName>
    <definedName name="_xlnm.Print_Area" localSheetId="24">Summary!$A$1:$C$56</definedName>
    <definedName name="_xlnm.Print_Area" localSheetId="16">'Transformer Bunded'!$A$1:$G$335</definedName>
    <definedName name="_xlnm.Print_Area" localSheetId="6">'Water Tanks Foundations'!$A$1:$G$335</definedName>
    <definedName name="_xlnm.Print_Area" localSheetId="17">'Weigh Bridge'!$A$1:$G$327</definedName>
    <definedName name="_xlnm.Print_Area" localSheetId="3">Workshop!$A$1:$G$335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5" i="77" l="1"/>
  <c r="E10" i="172"/>
  <c r="G10" i="172" s="1"/>
  <c r="G50" i="172" s="1"/>
  <c r="C54" i="37" s="1"/>
  <c r="E54" i="37" s="1"/>
  <c r="E12" i="37"/>
  <c r="E14" i="37"/>
  <c r="E16" i="37"/>
  <c r="E18" i="37"/>
  <c r="E20" i="37"/>
  <c r="E22" i="37"/>
  <c r="E24" i="37"/>
  <c r="E26" i="37"/>
  <c r="E30" i="37"/>
  <c r="E32" i="37"/>
  <c r="E34" i="37"/>
  <c r="E36" i="37"/>
  <c r="E38" i="37"/>
  <c r="E40" i="37"/>
  <c r="E42" i="37"/>
  <c r="E44" i="37"/>
  <c r="E48" i="37"/>
  <c r="E50" i="37"/>
  <c r="E10" i="37"/>
  <c r="B54" i="37"/>
  <c r="E11" i="172"/>
  <c r="G4" i="172"/>
  <c r="A3" i="172"/>
  <c r="G2" i="172"/>
  <c r="A2" i="172"/>
  <c r="B52" i="37"/>
  <c r="E11" i="171"/>
  <c r="G10" i="171"/>
  <c r="G50" i="171" s="1"/>
  <c r="C52" i="37" s="1"/>
  <c r="E52" i="37" s="1"/>
  <c r="G4" i="171"/>
  <c r="A3" i="171"/>
  <c r="G2" i="171"/>
  <c r="A2" i="171"/>
  <c r="B50" i="37"/>
  <c r="E11" i="170"/>
  <c r="G10" i="170"/>
  <c r="G50" i="170" s="1"/>
  <c r="C50" i="37" s="1"/>
  <c r="G4" i="170"/>
  <c r="A3" i="170"/>
  <c r="G2" i="170"/>
  <c r="A2" i="170"/>
  <c r="B48" i="37"/>
  <c r="E11" i="169"/>
  <c r="G10" i="169"/>
  <c r="G50" i="169" s="1"/>
  <c r="C48" i="37" s="1"/>
  <c r="G4" i="169"/>
  <c r="A3" i="169"/>
  <c r="G2" i="169"/>
  <c r="A2" i="169"/>
  <c r="G10" i="168"/>
  <c r="G50" i="168" s="1"/>
  <c r="C46" i="37" s="1"/>
  <c r="E46" i="37" s="1"/>
  <c r="B46" i="37"/>
  <c r="E11" i="168"/>
  <c r="G4" i="168"/>
  <c r="A3" i="168"/>
  <c r="G2" i="168"/>
  <c r="A2" i="168"/>
  <c r="B44" i="37"/>
  <c r="B42" i="37"/>
  <c r="E313" i="167"/>
  <c r="G313" i="167" s="1"/>
  <c r="G311" i="167"/>
  <c r="E311" i="167"/>
  <c r="E305" i="167"/>
  <c r="G305" i="167" s="1"/>
  <c r="G299" i="167"/>
  <c r="E299" i="167"/>
  <c r="E295" i="167"/>
  <c r="G295" i="167" s="1"/>
  <c r="E280" i="167"/>
  <c r="G280" i="167" s="1"/>
  <c r="E276" i="167"/>
  <c r="G276" i="167" s="1"/>
  <c r="G270" i="167"/>
  <c r="E270" i="167"/>
  <c r="E268" i="167"/>
  <c r="G268" i="167" s="1"/>
  <c r="E260" i="167"/>
  <c r="G260" i="167" s="1"/>
  <c r="E258" i="167"/>
  <c r="G258" i="167" s="1"/>
  <c r="E256" i="167"/>
  <c r="G256" i="167" s="1"/>
  <c r="E254" i="167"/>
  <c r="G254" i="167" s="1"/>
  <c r="G230" i="167"/>
  <c r="E230" i="167"/>
  <c r="E226" i="167"/>
  <c r="G226" i="167" s="1"/>
  <c r="E220" i="167"/>
  <c r="G220" i="167" s="1"/>
  <c r="E218" i="167"/>
  <c r="G218" i="167" s="1"/>
  <c r="F212" i="167"/>
  <c r="E212" i="167"/>
  <c r="G212" i="167" s="1"/>
  <c r="E208" i="167"/>
  <c r="G208" i="167" s="1"/>
  <c r="E194" i="167"/>
  <c r="G194" i="167" s="1"/>
  <c r="E192" i="167"/>
  <c r="G192" i="167" s="1"/>
  <c r="F190" i="167"/>
  <c r="E190" i="167"/>
  <c r="E186" i="167"/>
  <c r="G186" i="167" s="1"/>
  <c r="E184" i="167"/>
  <c r="G184" i="167" s="1"/>
  <c r="E182" i="167"/>
  <c r="G182" i="167" s="1"/>
  <c r="E180" i="167"/>
  <c r="G180" i="167" s="1"/>
  <c r="E174" i="167"/>
  <c r="G174" i="167" s="1"/>
  <c r="A174" i="167"/>
  <c r="A180" i="167" s="1"/>
  <c r="A182" i="167" s="1"/>
  <c r="A184" i="167" s="1"/>
  <c r="A190" i="167" s="1"/>
  <c r="A192" i="167" s="1"/>
  <c r="A194" i="167" s="1"/>
  <c r="A208" i="167" s="1"/>
  <c r="A212" i="167" s="1"/>
  <c r="A218" i="167" s="1"/>
  <c r="A220" i="167" s="1"/>
  <c r="A226" i="167" s="1"/>
  <c r="A230" i="167" s="1"/>
  <c r="A254" i="167" s="1"/>
  <c r="A256" i="167" s="1"/>
  <c r="A258" i="167" s="1"/>
  <c r="A260" i="167" s="1"/>
  <c r="A268" i="167" s="1"/>
  <c r="A270" i="167" s="1"/>
  <c r="A276" i="167" s="1"/>
  <c r="A280" i="167" s="1"/>
  <c r="E170" i="167"/>
  <c r="G170" i="167" s="1"/>
  <c r="A170" i="167"/>
  <c r="G164" i="167"/>
  <c r="E164" i="167"/>
  <c r="A164" i="167"/>
  <c r="E162" i="167"/>
  <c r="G162" i="167" s="1"/>
  <c r="E160" i="167"/>
  <c r="G160" i="167" s="1"/>
  <c r="E158" i="167"/>
  <c r="G158" i="167" s="1"/>
  <c r="E156" i="167"/>
  <c r="G156" i="167" s="1"/>
  <c r="E138" i="167"/>
  <c r="G138" i="167" s="1"/>
  <c r="E130" i="167"/>
  <c r="G130" i="167" s="1"/>
  <c r="A130" i="167"/>
  <c r="A138" i="167" s="1"/>
  <c r="A156" i="167" s="1"/>
  <c r="A158" i="167" s="1"/>
  <c r="E126" i="167"/>
  <c r="G126" i="167" s="1"/>
  <c r="A126" i="167"/>
  <c r="E120" i="167"/>
  <c r="G120" i="167" s="1"/>
  <c r="A120" i="167"/>
  <c r="E116" i="167"/>
  <c r="G116" i="167" s="1"/>
  <c r="E114" i="167"/>
  <c r="G114" i="167" s="1"/>
  <c r="E108" i="167"/>
  <c r="G108" i="167" s="1"/>
  <c r="E104" i="167"/>
  <c r="G104" i="167" s="1"/>
  <c r="E94" i="167"/>
  <c r="G94" i="167" s="1"/>
  <c r="E92" i="167"/>
  <c r="G92" i="167" s="1"/>
  <c r="E90" i="167"/>
  <c r="G90" i="167" s="1"/>
  <c r="E88" i="167"/>
  <c r="G88" i="167" s="1"/>
  <c r="E82" i="167"/>
  <c r="G82" i="167" s="1"/>
  <c r="E72" i="167"/>
  <c r="G72" i="167" s="1"/>
  <c r="E64" i="167"/>
  <c r="G64" i="167" s="1"/>
  <c r="E60" i="167"/>
  <c r="G60" i="167" s="1"/>
  <c r="E45" i="167"/>
  <c r="G45" i="167" s="1"/>
  <c r="J41" i="167"/>
  <c r="I41" i="167"/>
  <c r="E41" i="167" s="1"/>
  <c r="G41" i="167" s="1"/>
  <c r="I31" i="167"/>
  <c r="J25" i="167"/>
  <c r="I25" i="167"/>
  <c r="E25" i="167" s="1"/>
  <c r="G25" i="167" s="1"/>
  <c r="J21" i="167"/>
  <c r="I21" i="167"/>
  <c r="E21" i="167" s="1"/>
  <c r="G21" i="167" s="1"/>
  <c r="F21" i="167"/>
  <c r="J19" i="167"/>
  <c r="J37" i="167" s="1"/>
  <c r="I19" i="167"/>
  <c r="I37" i="167" s="1"/>
  <c r="E14" i="167"/>
  <c r="G14" i="167" s="1"/>
  <c r="E13" i="167"/>
  <c r="E12" i="167"/>
  <c r="E11" i="167"/>
  <c r="E10" i="167"/>
  <c r="G4" i="167"/>
  <c r="A3" i="167"/>
  <c r="G2" i="167"/>
  <c r="A2" i="167"/>
  <c r="G190" i="167" l="1"/>
  <c r="E31" i="167"/>
  <c r="G31" i="167" s="1"/>
  <c r="E37" i="167"/>
  <c r="G37" i="167" s="1"/>
  <c r="J31" i="167"/>
  <c r="I29" i="167"/>
  <c r="E29" i="167" s="1"/>
  <c r="G29" i="167" s="1"/>
  <c r="E19" i="167"/>
  <c r="G19" i="167" s="1"/>
  <c r="G48" i="167" s="1"/>
  <c r="G52" i="167" s="1"/>
  <c r="G96" i="167" s="1"/>
  <c r="G100" i="167" s="1"/>
  <c r="G148" i="167" s="1"/>
  <c r="G152" i="167" s="1"/>
  <c r="G198" i="167" s="1"/>
  <c r="G202" i="167" s="1"/>
  <c r="G242" i="167" s="1"/>
  <c r="G246" i="167" s="1"/>
  <c r="G285" i="167" s="1"/>
  <c r="G289" i="167" s="1"/>
  <c r="G335" i="167" s="1"/>
  <c r="C44" i="37" s="1"/>
  <c r="J29" i="167"/>
  <c r="K41" i="166" l="1"/>
  <c r="K29" i="166"/>
  <c r="K25" i="166"/>
  <c r="K21" i="166"/>
  <c r="K19" i="166"/>
  <c r="K37" i="166" s="1"/>
  <c r="L41" i="166"/>
  <c r="L29" i="166"/>
  <c r="L25" i="166"/>
  <c r="L21" i="166"/>
  <c r="L19" i="166"/>
  <c r="L37" i="166" s="1"/>
  <c r="B40" i="37"/>
  <c r="E313" i="166"/>
  <c r="G313" i="166" s="1"/>
  <c r="E311" i="166"/>
  <c r="G311" i="166" s="1"/>
  <c r="E305" i="166"/>
  <c r="G305" i="166" s="1"/>
  <c r="E299" i="166"/>
  <c r="G299" i="166" s="1"/>
  <c r="E295" i="166"/>
  <c r="G295" i="166" s="1"/>
  <c r="E280" i="166"/>
  <c r="G280" i="166" s="1"/>
  <c r="E276" i="166"/>
  <c r="G276" i="166" s="1"/>
  <c r="E270" i="166"/>
  <c r="G270" i="166" s="1"/>
  <c r="E268" i="166"/>
  <c r="G268" i="166" s="1"/>
  <c r="E260" i="166"/>
  <c r="G260" i="166" s="1"/>
  <c r="E258" i="166"/>
  <c r="G258" i="166" s="1"/>
  <c r="E256" i="166"/>
  <c r="G256" i="166" s="1"/>
  <c r="E254" i="166"/>
  <c r="G254" i="166" s="1"/>
  <c r="E230" i="166"/>
  <c r="G230" i="166" s="1"/>
  <c r="E226" i="166"/>
  <c r="G226" i="166" s="1"/>
  <c r="E220" i="166"/>
  <c r="G220" i="166" s="1"/>
  <c r="E218" i="166"/>
  <c r="G218" i="166" s="1"/>
  <c r="F212" i="166"/>
  <c r="E212" i="166"/>
  <c r="G212" i="166" s="1"/>
  <c r="E208" i="166"/>
  <c r="G208" i="166" s="1"/>
  <c r="E194" i="166"/>
  <c r="G194" i="166" s="1"/>
  <c r="E192" i="166"/>
  <c r="G192" i="166" s="1"/>
  <c r="F190" i="166"/>
  <c r="E190" i="166"/>
  <c r="G190" i="166" s="1"/>
  <c r="E186" i="166"/>
  <c r="G186" i="166" s="1"/>
  <c r="E184" i="166"/>
  <c r="G184" i="166" s="1"/>
  <c r="E182" i="166"/>
  <c r="G182" i="166" s="1"/>
  <c r="E180" i="166"/>
  <c r="G180" i="166" s="1"/>
  <c r="E174" i="166"/>
  <c r="G174" i="166" s="1"/>
  <c r="E170" i="166"/>
  <c r="G170" i="166" s="1"/>
  <c r="E164" i="166"/>
  <c r="G164" i="166" s="1"/>
  <c r="A164" i="166"/>
  <c r="A170" i="166" s="1"/>
  <c r="A174" i="166" s="1"/>
  <c r="A180" i="166" s="1"/>
  <c r="A182" i="166" s="1"/>
  <c r="A184" i="166" s="1"/>
  <c r="A190" i="166" s="1"/>
  <c r="A192" i="166" s="1"/>
  <c r="A194" i="166" s="1"/>
  <c r="A208" i="166" s="1"/>
  <c r="A212" i="166" s="1"/>
  <c r="A218" i="166" s="1"/>
  <c r="A220" i="166" s="1"/>
  <c r="A226" i="166" s="1"/>
  <c r="A230" i="166" s="1"/>
  <c r="A254" i="166" s="1"/>
  <c r="A256" i="166" s="1"/>
  <c r="A258" i="166" s="1"/>
  <c r="A260" i="166" s="1"/>
  <c r="A268" i="166" s="1"/>
  <c r="A270" i="166" s="1"/>
  <c r="A276" i="166" s="1"/>
  <c r="A280" i="166" s="1"/>
  <c r="E162" i="166"/>
  <c r="G162" i="166" s="1"/>
  <c r="E160" i="166"/>
  <c r="G160" i="166" s="1"/>
  <c r="E158" i="166"/>
  <c r="G158" i="166" s="1"/>
  <c r="E156" i="166"/>
  <c r="G156" i="166" s="1"/>
  <c r="E138" i="166"/>
  <c r="G138" i="166" s="1"/>
  <c r="E130" i="166"/>
  <c r="G130" i="166" s="1"/>
  <c r="E126" i="166"/>
  <c r="G126" i="166" s="1"/>
  <c r="E120" i="166"/>
  <c r="G120" i="166" s="1"/>
  <c r="A120" i="166"/>
  <c r="A126" i="166" s="1"/>
  <c r="A130" i="166" s="1"/>
  <c r="A138" i="166" s="1"/>
  <c r="A156" i="166" s="1"/>
  <c r="A158" i="166" s="1"/>
  <c r="E116" i="166"/>
  <c r="G116" i="166" s="1"/>
  <c r="E114" i="166"/>
  <c r="G114" i="166" s="1"/>
  <c r="E108" i="166"/>
  <c r="G108" i="166" s="1"/>
  <c r="E104" i="166"/>
  <c r="G104" i="166" s="1"/>
  <c r="E94" i="166"/>
  <c r="G94" i="166" s="1"/>
  <c r="E92" i="166"/>
  <c r="G92" i="166" s="1"/>
  <c r="E90" i="166"/>
  <c r="G90" i="166" s="1"/>
  <c r="E88" i="166"/>
  <c r="G88" i="166" s="1"/>
  <c r="E82" i="166"/>
  <c r="G82" i="166" s="1"/>
  <c r="E72" i="166"/>
  <c r="G72" i="166" s="1"/>
  <c r="E64" i="166"/>
  <c r="G64" i="166" s="1"/>
  <c r="E60" i="166"/>
  <c r="G60" i="166" s="1"/>
  <c r="E45" i="166"/>
  <c r="G45" i="166" s="1"/>
  <c r="J41" i="166"/>
  <c r="I41" i="166"/>
  <c r="E41" i="166" s="1"/>
  <c r="G41" i="166" s="1"/>
  <c r="J25" i="166"/>
  <c r="I25" i="166"/>
  <c r="E25" i="166" s="1"/>
  <c r="G25" i="166" s="1"/>
  <c r="J21" i="166"/>
  <c r="I21" i="166"/>
  <c r="E21" i="166" s="1"/>
  <c r="G21" i="166" s="1"/>
  <c r="F21" i="166"/>
  <c r="J19" i="166"/>
  <c r="J37" i="166" s="1"/>
  <c r="I19" i="166"/>
  <c r="E14" i="166"/>
  <c r="G14" i="166" s="1"/>
  <c r="E13" i="166"/>
  <c r="E12" i="166"/>
  <c r="E11" i="166"/>
  <c r="E10" i="166"/>
  <c r="G4" i="166"/>
  <c r="A3" i="166"/>
  <c r="G2" i="166"/>
  <c r="A2" i="166"/>
  <c r="K31" i="166" l="1"/>
  <c r="L31" i="166"/>
  <c r="I29" i="166"/>
  <c r="I31" i="166"/>
  <c r="I37" i="166"/>
  <c r="E37" i="166" s="1"/>
  <c r="G37" i="166" s="1"/>
  <c r="E19" i="166"/>
  <c r="G19" i="166" s="1"/>
  <c r="J29" i="166"/>
  <c r="J31" i="166"/>
  <c r="E31" i="166" l="1"/>
  <c r="G31" i="166" s="1"/>
  <c r="E29" i="166"/>
  <c r="G29" i="166" s="1"/>
  <c r="G48" i="166" s="1"/>
  <c r="G52" i="166" s="1"/>
  <c r="G96" i="166" s="1"/>
  <c r="G100" i="166" s="1"/>
  <c r="G148" i="166" s="1"/>
  <c r="G152" i="166" s="1"/>
  <c r="G198" i="166" s="1"/>
  <c r="G202" i="166" s="1"/>
  <c r="G242" i="166" s="1"/>
  <c r="G246" i="166" s="1"/>
  <c r="G285" i="166" s="1"/>
  <c r="G289" i="166" s="1"/>
  <c r="G335" i="166" s="1"/>
  <c r="C40" i="37" s="1"/>
  <c r="C36" i="37" l="1"/>
  <c r="B38" i="37"/>
  <c r="E299" i="164"/>
  <c r="G299" i="164" s="1"/>
  <c r="G297" i="164"/>
  <c r="E297" i="164"/>
  <c r="G278" i="164"/>
  <c r="E278" i="164"/>
  <c r="E272" i="164"/>
  <c r="G272" i="164" s="1"/>
  <c r="G268" i="164"/>
  <c r="E268" i="164"/>
  <c r="E262" i="164"/>
  <c r="G262" i="164" s="1"/>
  <c r="E258" i="164"/>
  <c r="G258" i="164" s="1"/>
  <c r="G252" i="164"/>
  <c r="E252" i="164"/>
  <c r="E250" i="164"/>
  <c r="G250" i="164" s="1"/>
  <c r="G236" i="164"/>
  <c r="E236" i="164"/>
  <c r="E234" i="164"/>
  <c r="G234" i="164" s="1"/>
  <c r="E232" i="164"/>
  <c r="G232" i="164" s="1"/>
  <c r="E230" i="164"/>
  <c r="G230" i="164" s="1"/>
  <c r="G222" i="164"/>
  <c r="E222" i="164"/>
  <c r="E218" i="164"/>
  <c r="G218" i="164" s="1"/>
  <c r="E212" i="164"/>
  <c r="G212" i="164" s="1"/>
  <c r="E210" i="164"/>
  <c r="G210" i="164" s="1"/>
  <c r="F198" i="164"/>
  <c r="E198" i="164"/>
  <c r="G198" i="164" s="1"/>
  <c r="E194" i="164"/>
  <c r="G194" i="164" s="1"/>
  <c r="E188" i="164"/>
  <c r="G188" i="164" s="1"/>
  <c r="G186" i="164"/>
  <c r="E186" i="164"/>
  <c r="F184" i="164"/>
  <c r="G184" i="164" s="1"/>
  <c r="E184" i="164"/>
  <c r="E180" i="164"/>
  <c r="G180" i="164" s="1"/>
  <c r="E178" i="164"/>
  <c r="G178" i="164" s="1"/>
  <c r="G176" i="164"/>
  <c r="E176" i="164"/>
  <c r="E174" i="164"/>
  <c r="G174" i="164" s="1"/>
  <c r="E168" i="164"/>
  <c r="G168" i="164" s="1"/>
  <c r="A168" i="164"/>
  <c r="A174" i="164" s="1"/>
  <c r="A176" i="164" s="1"/>
  <c r="A178" i="164" s="1"/>
  <c r="A184" i="164" s="1"/>
  <c r="A186" i="164" s="1"/>
  <c r="A188" i="164" s="1"/>
  <c r="A194" i="164" s="1"/>
  <c r="A198" i="164" s="1"/>
  <c r="A210" i="164" s="1"/>
  <c r="A212" i="164" s="1"/>
  <c r="A218" i="164" s="1"/>
  <c r="A222" i="164" s="1"/>
  <c r="A230" i="164" s="1"/>
  <c r="A232" i="164" s="1"/>
  <c r="A234" i="164" s="1"/>
  <c r="A236" i="164" s="1"/>
  <c r="A250" i="164" s="1"/>
  <c r="A252" i="164" s="1"/>
  <c r="A258" i="164" s="1"/>
  <c r="A262" i="164" s="1"/>
  <c r="E164" i="164"/>
  <c r="G164" i="164" s="1"/>
  <c r="A164" i="164"/>
  <c r="G158" i="164"/>
  <c r="E158" i="164"/>
  <c r="A158" i="164"/>
  <c r="E156" i="164"/>
  <c r="G156" i="164" s="1"/>
  <c r="E148" i="164"/>
  <c r="G148" i="164" s="1"/>
  <c r="E146" i="164"/>
  <c r="G146" i="164" s="1"/>
  <c r="E144" i="164"/>
  <c r="G144" i="164" s="1"/>
  <c r="E140" i="164"/>
  <c r="G140" i="164" s="1"/>
  <c r="E132" i="164"/>
  <c r="G132" i="164" s="1"/>
  <c r="A132" i="164"/>
  <c r="A140" i="164" s="1"/>
  <c r="A144" i="164" s="1"/>
  <c r="A146" i="164" s="1"/>
  <c r="E128" i="164"/>
  <c r="G128" i="164" s="1"/>
  <c r="A128" i="164"/>
  <c r="E122" i="164"/>
  <c r="G122" i="164" s="1"/>
  <c r="A122" i="164"/>
  <c r="E118" i="164"/>
  <c r="G118" i="164" s="1"/>
  <c r="E116" i="164"/>
  <c r="G116" i="164" s="1"/>
  <c r="E110" i="164"/>
  <c r="G110" i="164" s="1"/>
  <c r="E106" i="164"/>
  <c r="G106" i="164" s="1"/>
  <c r="E96" i="164"/>
  <c r="G96" i="164" s="1"/>
  <c r="E94" i="164"/>
  <c r="G94" i="164" s="1"/>
  <c r="E92" i="164"/>
  <c r="G92" i="164" s="1"/>
  <c r="E90" i="164"/>
  <c r="G90" i="164" s="1"/>
  <c r="E84" i="164"/>
  <c r="G84" i="164" s="1"/>
  <c r="E74" i="164"/>
  <c r="G74" i="164" s="1"/>
  <c r="E66" i="164"/>
  <c r="G66" i="164" s="1"/>
  <c r="E62" i="164"/>
  <c r="G62" i="164" s="1"/>
  <c r="E45" i="164"/>
  <c r="G45" i="164" s="1"/>
  <c r="N41" i="164"/>
  <c r="M41" i="164"/>
  <c r="L41" i="164"/>
  <c r="K41" i="164"/>
  <c r="E41" i="164" s="1"/>
  <c r="G41" i="164" s="1"/>
  <c r="J41" i="164"/>
  <c r="I41" i="164"/>
  <c r="L37" i="164"/>
  <c r="K37" i="164"/>
  <c r="L31" i="164"/>
  <c r="K31" i="164"/>
  <c r="L29" i="164"/>
  <c r="K29" i="164"/>
  <c r="N25" i="164"/>
  <c r="M25" i="164"/>
  <c r="L25" i="164"/>
  <c r="K25" i="164"/>
  <c r="J25" i="164"/>
  <c r="I25" i="164"/>
  <c r="E25" i="164" s="1"/>
  <c r="G25" i="164" s="1"/>
  <c r="N21" i="164"/>
  <c r="M21" i="164"/>
  <c r="L21" i="164"/>
  <c r="K21" i="164"/>
  <c r="J21" i="164"/>
  <c r="I21" i="164"/>
  <c r="E21" i="164" s="1"/>
  <c r="G21" i="164" s="1"/>
  <c r="F21" i="164"/>
  <c r="N19" i="164"/>
  <c r="N37" i="164" s="1"/>
  <c r="M19" i="164"/>
  <c r="L19" i="164"/>
  <c r="K19" i="164"/>
  <c r="J19" i="164"/>
  <c r="J37" i="164" s="1"/>
  <c r="I19" i="164"/>
  <c r="E14" i="164"/>
  <c r="G14" i="164" s="1"/>
  <c r="E13" i="164"/>
  <c r="E12" i="164"/>
  <c r="E11" i="164"/>
  <c r="E10" i="164"/>
  <c r="G4" i="164"/>
  <c r="A3" i="164"/>
  <c r="G2" i="164"/>
  <c r="A2" i="164"/>
  <c r="E19" i="164" l="1"/>
  <c r="G19" i="164" s="1"/>
  <c r="I37" i="164"/>
  <c r="E37" i="164" s="1"/>
  <c r="G37" i="164" s="1"/>
  <c r="I31" i="164"/>
  <c r="I29" i="164"/>
  <c r="E29" i="164" s="1"/>
  <c r="G29" i="164" s="1"/>
  <c r="M37" i="164"/>
  <c r="M31" i="164"/>
  <c r="M29" i="164"/>
  <c r="J29" i="164"/>
  <c r="N29" i="164"/>
  <c r="J31" i="164"/>
  <c r="N31" i="164"/>
  <c r="E31" i="164" l="1"/>
  <c r="G31" i="164" s="1"/>
  <c r="G50" i="164" s="1"/>
  <c r="G54" i="164" s="1"/>
  <c r="G98" i="164" s="1"/>
  <c r="G102" i="164" s="1"/>
  <c r="G150" i="164" s="1"/>
  <c r="G154" i="164" s="1"/>
  <c r="G200" i="164" s="1"/>
  <c r="G204" i="164" s="1"/>
  <c r="G238" i="164" s="1"/>
  <c r="G242" i="164" s="1"/>
  <c r="G287" i="164" s="1"/>
  <c r="G291" i="164" s="1"/>
  <c r="G332" i="164" s="1"/>
  <c r="C38" i="37" s="1"/>
  <c r="N41" i="163" l="1"/>
  <c r="M41" i="163"/>
  <c r="N25" i="163"/>
  <c r="M25" i="163"/>
  <c r="N21" i="163"/>
  <c r="N29" i="163" s="1"/>
  <c r="M21" i="163"/>
  <c r="M29" i="163" s="1"/>
  <c r="N19" i="163"/>
  <c r="N31" i="163" s="1"/>
  <c r="M19" i="163"/>
  <c r="M31" i="163" s="1"/>
  <c r="B36" i="37"/>
  <c r="E299" i="163"/>
  <c r="G299" i="163" s="1"/>
  <c r="E297" i="163"/>
  <c r="G297" i="163" s="1"/>
  <c r="E278" i="163"/>
  <c r="G278" i="163" s="1"/>
  <c r="E272" i="163"/>
  <c r="G272" i="163" s="1"/>
  <c r="E268" i="163"/>
  <c r="G268" i="163" s="1"/>
  <c r="E262" i="163"/>
  <c r="G262" i="163" s="1"/>
  <c r="E258" i="163"/>
  <c r="G258" i="163" s="1"/>
  <c r="E252" i="163"/>
  <c r="G252" i="163" s="1"/>
  <c r="E250" i="163"/>
  <c r="G250" i="163" s="1"/>
  <c r="G236" i="163"/>
  <c r="E236" i="163"/>
  <c r="E234" i="163"/>
  <c r="G234" i="163" s="1"/>
  <c r="E232" i="163"/>
  <c r="G232" i="163" s="1"/>
  <c r="E230" i="163"/>
  <c r="G230" i="163" s="1"/>
  <c r="E222" i="163"/>
  <c r="G222" i="163" s="1"/>
  <c r="E218" i="163"/>
  <c r="G218" i="163" s="1"/>
  <c r="E212" i="163"/>
  <c r="G212" i="163" s="1"/>
  <c r="E210" i="163"/>
  <c r="G210" i="163" s="1"/>
  <c r="F198" i="163"/>
  <c r="E198" i="163"/>
  <c r="G198" i="163" s="1"/>
  <c r="E194" i="163"/>
  <c r="G194" i="163" s="1"/>
  <c r="E188" i="163"/>
  <c r="G188" i="163" s="1"/>
  <c r="E186" i="163"/>
  <c r="G186" i="163" s="1"/>
  <c r="F184" i="163"/>
  <c r="E184" i="163"/>
  <c r="E180" i="163"/>
  <c r="G180" i="163" s="1"/>
  <c r="E178" i="163"/>
  <c r="G178" i="163" s="1"/>
  <c r="E176" i="163"/>
  <c r="G176" i="163" s="1"/>
  <c r="E174" i="163"/>
  <c r="G174" i="163" s="1"/>
  <c r="E168" i="163"/>
  <c r="G168" i="163" s="1"/>
  <c r="A168" i="163"/>
  <c r="A174" i="163" s="1"/>
  <c r="A176" i="163" s="1"/>
  <c r="A178" i="163" s="1"/>
  <c r="A184" i="163" s="1"/>
  <c r="A186" i="163" s="1"/>
  <c r="A188" i="163" s="1"/>
  <c r="A194" i="163" s="1"/>
  <c r="A198" i="163" s="1"/>
  <c r="A210" i="163" s="1"/>
  <c r="A212" i="163" s="1"/>
  <c r="A218" i="163" s="1"/>
  <c r="A222" i="163" s="1"/>
  <c r="A230" i="163" s="1"/>
  <c r="A232" i="163" s="1"/>
  <c r="A234" i="163" s="1"/>
  <c r="A236" i="163" s="1"/>
  <c r="A250" i="163" s="1"/>
  <c r="A252" i="163" s="1"/>
  <c r="A258" i="163" s="1"/>
  <c r="A262" i="163" s="1"/>
  <c r="E164" i="163"/>
  <c r="G164" i="163" s="1"/>
  <c r="A164" i="163"/>
  <c r="E158" i="163"/>
  <c r="G158" i="163" s="1"/>
  <c r="A158" i="163"/>
  <c r="E156" i="163"/>
  <c r="G156" i="163" s="1"/>
  <c r="E148" i="163"/>
  <c r="G148" i="163" s="1"/>
  <c r="E146" i="163"/>
  <c r="G146" i="163" s="1"/>
  <c r="E144" i="163"/>
  <c r="G144" i="163" s="1"/>
  <c r="E140" i="163"/>
  <c r="G140" i="163" s="1"/>
  <c r="E132" i="163"/>
  <c r="G132" i="163" s="1"/>
  <c r="A132" i="163"/>
  <c r="A140" i="163" s="1"/>
  <c r="A144" i="163" s="1"/>
  <c r="A146" i="163" s="1"/>
  <c r="E128" i="163"/>
  <c r="G128" i="163" s="1"/>
  <c r="A128" i="163"/>
  <c r="E122" i="163"/>
  <c r="G122" i="163" s="1"/>
  <c r="A122" i="163"/>
  <c r="E118" i="163"/>
  <c r="G118" i="163" s="1"/>
  <c r="E116" i="163"/>
  <c r="G116" i="163" s="1"/>
  <c r="E110" i="163"/>
  <c r="G110" i="163" s="1"/>
  <c r="E106" i="163"/>
  <c r="G106" i="163" s="1"/>
  <c r="E96" i="163"/>
  <c r="G96" i="163" s="1"/>
  <c r="E94" i="163"/>
  <c r="G94" i="163" s="1"/>
  <c r="E92" i="163"/>
  <c r="G92" i="163" s="1"/>
  <c r="E90" i="163"/>
  <c r="G90" i="163" s="1"/>
  <c r="E84" i="163"/>
  <c r="G84" i="163" s="1"/>
  <c r="E74" i="163"/>
  <c r="G74" i="163" s="1"/>
  <c r="E66" i="163"/>
  <c r="G66" i="163" s="1"/>
  <c r="E62" i="163"/>
  <c r="G62" i="163" s="1"/>
  <c r="E45" i="163"/>
  <c r="G45" i="163" s="1"/>
  <c r="L41" i="163"/>
  <c r="K41" i="163"/>
  <c r="J41" i="163"/>
  <c r="I41" i="163"/>
  <c r="E41" i="163" s="1"/>
  <c r="G41" i="163" s="1"/>
  <c r="L25" i="163"/>
  <c r="K25" i="163"/>
  <c r="J25" i="163"/>
  <c r="I25" i="163"/>
  <c r="E25" i="163" s="1"/>
  <c r="G25" i="163" s="1"/>
  <c r="L21" i="163"/>
  <c r="L37" i="163" s="1"/>
  <c r="K21" i="163"/>
  <c r="K37" i="163" s="1"/>
  <c r="J21" i="163"/>
  <c r="I21" i="163"/>
  <c r="E21" i="163" s="1"/>
  <c r="G21" i="163" s="1"/>
  <c r="F21" i="163"/>
  <c r="L19" i="163"/>
  <c r="L31" i="163" s="1"/>
  <c r="K19" i="163"/>
  <c r="K31" i="163" s="1"/>
  <c r="J19" i="163"/>
  <c r="J37" i="163" s="1"/>
  <c r="I19" i="163"/>
  <c r="E14" i="163"/>
  <c r="G14" i="163" s="1"/>
  <c r="E13" i="163"/>
  <c r="E12" i="163"/>
  <c r="E11" i="163"/>
  <c r="E10" i="163"/>
  <c r="G4" i="163"/>
  <c r="A3" i="163"/>
  <c r="G2" i="163"/>
  <c r="A2" i="163"/>
  <c r="G184" i="163" l="1"/>
  <c r="I37" i="163"/>
  <c r="I31" i="163"/>
  <c r="M37" i="163"/>
  <c r="N37" i="163"/>
  <c r="E37" i="163"/>
  <c r="G37" i="163" s="1"/>
  <c r="K29" i="163"/>
  <c r="E19" i="163"/>
  <c r="G19" i="163" s="1"/>
  <c r="L29" i="163"/>
  <c r="I29" i="163"/>
  <c r="J31" i="163"/>
  <c r="E31" i="163" s="1"/>
  <c r="G31" i="163" s="1"/>
  <c r="J29" i="163"/>
  <c r="E29" i="163" l="1"/>
  <c r="G29" i="163" s="1"/>
  <c r="G50" i="163" s="1"/>
  <c r="G54" i="163" s="1"/>
  <c r="G98" i="163" s="1"/>
  <c r="G102" i="163" s="1"/>
  <c r="G150" i="163" s="1"/>
  <c r="G154" i="163" s="1"/>
  <c r="G200" i="163" s="1"/>
  <c r="G204" i="163" s="1"/>
  <c r="G238" i="163" s="1"/>
  <c r="G242" i="163" s="1"/>
  <c r="G287" i="163" s="1"/>
  <c r="G291" i="163" s="1"/>
  <c r="G332" i="163" s="1"/>
  <c r="J41" i="162" l="1"/>
  <c r="I41" i="162"/>
  <c r="J25" i="162"/>
  <c r="I25" i="162"/>
  <c r="J21" i="162"/>
  <c r="J29" i="162" s="1"/>
  <c r="I21" i="162"/>
  <c r="I29" i="162" s="1"/>
  <c r="J19" i="162"/>
  <c r="J31" i="162" s="1"/>
  <c r="I19" i="162"/>
  <c r="I31" i="162" s="1"/>
  <c r="B34" i="37"/>
  <c r="E313" i="162"/>
  <c r="G313" i="162" s="1"/>
  <c r="E311" i="162"/>
  <c r="G311" i="162" s="1"/>
  <c r="E305" i="162"/>
  <c r="G305" i="162" s="1"/>
  <c r="E299" i="162"/>
  <c r="G299" i="162" s="1"/>
  <c r="E295" i="162"/>
  <c r="G295" i="162" s="1"/>
  <c r="E280" i="162"/>
  <c r="G280" i="162" s="1"/>
  <c r="E276" i="162"/>
  <c r="G276" i="162" s="1"/>
  <c r="E270" i="162"/>
  <c r="G270" i="162" s="1"/>
  <c r="E268" i="162"/>
  <c r="G268" i="162" s="1"/>
  <c r="E260" i="162"/>
  <c r="G260" i="162" s="1"/>
  <c r="E258" i="162"/>
  <c r="G258" i="162" s="1"/>
  <c r="E256" i="162"/>
  <c r="G256" i="162" s="1"/>
  <c r="E254" i="162"/>
  <c r="G254" i="162" s="1"/>
  <c r="G230" i="162"/>
  <c r="E230" i="162"/>
  <c r="E226" i="162"/>
  <c r="G226" i="162" s="1"/>
  <c r="E220" i="162"/>
  <c r="G220" i="162" s="1"/>
  <c r="G218" i="162"/>
  <c r="E218" i="162"/>
  <c r="F212" i="162"/>
  <c r="E212" i="162"/>
  <c r="G212" i="162" s="1"/>
  <c r="E208" i="162"/>
  <c r="G208" i="162" s="1"/>
  <c r="E194" i="162"/>
  <c r="G194" i="162" s="1"/>
  <c r="E192" i="162"/>
  <c r="G192" i="162" s="1"/>
  <c r="F190" i="162"/>
  <c r="E190" i="162"/>
  <c r="E186" i="162"/>
  <c r="G186" i="162" s="1"/>
  <c r="E184" i="162"/>
  <c r="G184" i="162" s="1"/>
  <c r="E182" i="162"/>
  <c r="G182" i="162" s="1"/>
  <c r="E180" i="162"/>
  <c r="G180" i="162" s="1"/>
  <c r="E174" i="162"/>
  <c r="G174" i="162" s="1"/>
  <c r="A174" i="162"/>
  <c r="A180" i="162" s="1"/>
  <c r="A182" i="162" s="1"/>
  <c r="A184" i="162" s="1"/>
  <c r="A190" i="162" s="1"/>
  <c r="A192" i="162" s="1"/>
  <c r="A194" i="162" s="1"/>
  <c r="A208" i="162" s="1"/>
  <c r="A212" i="162" s="1"/>
  <c r="A218" i="162" s="1"/>
  <c r="A220" i="162" s="1"/>
  <c r="A226" i="162" s="1"/>
  <c r="A230" i="162" s="1"/>
  <c r="A254" i="162" s="1"/>
  <c r="A256" i="162" s="1"/>
  <c r="A258" i="162" s="1"/>
  <c r="A260" i="162" s="1"/>
  <c r="A268" i="162" s="1"/>
  <c r="A270" i="162" s="1"/>
  <c r="A276" i="162" s="1"/>
  <c r="A280" i="162" s="1"/>
  <c r="E170" i="162"/>
  <c r="G170" i="162" s="1"/>
  <c r="A170" i="162"/>
  <c r="E164" i="162"/>
  <c r="G164" i="162" s="1"/>
  <c r="A164" i="162"/>
  <c r="E162" i="162"/>
  <c r="G162" i="162" s="1"/>
  <c r="E160" i="162"/>
  <c r="G160" i="162" s="1"/>
  <c r="E158" i="162"/>
  <c r="G158" i="162" s="1"/>
  <c r="E156" i="162"/>
  <c r="G156" i="162" s="1"/>
  <c r="E138" i="162"/>
  <c r="G138" i="162" s="1"/>
  <c r="E130" i="162"/>
  <c r="G130" i="162" s="1"/>
  <c r="A130" i="162"/>
  <c r="A138" i="162" s="1"/>
  <c r="A156" i="162" s="1"/>
  <c r="A158" i="162" s="1"/>
  <c r="E126" i="162"/>
  <c r="G126" i="162" s="1"/>
  <c r="A126" i="162"/>
  <c r="E120" i="162"/>
  <c r="G120" i="162" s="1"/>
  <c r="A120" i="162"/>
  <c r="E116" i="162"/>
  <c r="G116" i="162" s="1"/>
  <c r="E114" i="162"/>
  <c r="G114" i="162" s="1"/>
  <c r="E108" i="162"/>
  <c r="G108" i="162" s="1"/>
  <c r="E104" i="162"/>
  <c r="G104" i="162" s="1"/>
  <c r="E94" i="162"/>
  <c r="G94" i="162" s="1"/>
  <c r="E92" i="162"/>
  <c r="G92" i="162" s="1"/>
  <c r="E90" i="162"/>
  <c r="G90" i="162" s="1"/>
  <c r="E88" i="162"/>
  <c r="G88" i="162" s="1"/>
  <c r="E82" i="162"/>
  <c r="G82" i="162" s="1"/>
  <c r="E72" i="162"/>
  <c r="G72" i="162" s="1"/>
  <c r="E64" i="162"/>
  <c r="G64" i="162" s="1"/>
  <c r="E60" i="162"/>
  <c r="G60" i="162" s="1"/>
  <c r="E45" i="162"/>
  <c r="G45" i="162" s="1"/>
  <c r="E41" i="162"/>
  <c r="G41" i="162" s="1"/>
  <c r="E25" i="162"/>
  <c r="G25" i="162" s="1"/>
  <c r="F21" i="162"/>
  <c r="E14" i="162"/>
  <c r="G14" i="162" s="1"/>
  <c r="E13" i="162"/>
  <c r="E12" i="162"/>
  <c r="E11" i="162"/>
  <c r="E10" i="162"/>
  <c r="G4" i="162"/>
  <c r="A3" i="162"/>
  <c r="G2" i="162"/>
  <c r="A2" i="162"/>
  <c r="J37" i="162" l="1"/>
  <c r="I37" i="162"/>
  <c r="G190" i="162"/>
  <c r="E21" i="162"/>
  <c r="G21" i="162" s="1"/>
  <c r="E31" i="162"/>
  <c r="G31" i="162" s="1"/>
  <c r="E37" i="162"/>
  <c r="G37" i="162" s="1"/>
  <c r="E19" i="162"/>
  <c r="G19" i="162" s="1"/>
  <c r="E29" i="162" l="1"/>
  <c r="G29" i="162" s="1"/>
  <c r="G48" i="162" s="1"/>
  <c r="G52" i="162" s="1"/>
  <c r="G96" i="162" s="1"/>
  <c r="G100" i="162" s="1"/>
  <c r="G148" i="162" s="1"/>
  <c r="G152" i="162" s="1"/>
  <c r="G198" i="162" s="1"/>
  <c r="G202" i="162" s="1"/>
  <c r="G242" i="162" s="1"/>
  <c r="G246" i="162" s="1"/>
  <c r="G285" i="162" s="1"/>
  <c r="G289" i="162" s="1"/>
  <c r="G335" i="162" s="1"/>
  <c r="C34" i="37" s="1"/>
  <c r="J19" i="161" l="1"/>
  <c r="K19" i="161"/>
  <c r="J21" i="161"/>
  <c r="K21" i="161"/>
  <c r="E21" i="161" s="1"/>
  <c r="G21" i="161" s="1"/>
  <c r="J25" i="161"/>
  <c r="K25" i="161"/>
  <c r="J29" i="161"/>
  <c r="K29" i="161"/>
  <c r="J31" i="161"/>
  <c r="J37" i="161"/>
  <c r="K37" i="161"/>
  <c r="J41" i="161"/>
  <c r="K41" i="161"/>
  <c r="B32" i="37"/>
  <c r="E313" i="161"/>
  <c r="G313" i="161" s="1"/>
  <c r="E311" i="161"/>
  <c r="G311" i="161" s="1"/>
  <c r="E305" i="161"/>
  <c r="G305" i="161" s="1"/>
  <c r="E299" i="161"/>
  <c r="G299" i="161" s="1"/>
  <c r="E295" i="161"/>
  <c r="G295" i="161" s="1"/>
  <c r="E280" i="161"/>
  <c r="G280" i="161" s="1"/>
  <c r="E276" i="161"/>
  <c r="G276" i="161" s="1"/>
  <c r="E270" i="161"/>
  <c r="G270" i="161" s="1"/>
  <c r="E268" i="161"/>
  <c r="G268" i="161" s="1"/>
  <c r="E260" i="161"/>
  <c r="G260" i="161" s="1"/>
  <c r="E258" i="161"/>
  <c r="G258" i="161" s="1"/>
  <c r="E256" i="161"/>
  <c r="G256" i="161" s="1"/>
  <c r="E254" i="161"/>
  <c r="G254" i="161" s="1"/>
  <c r="E230" i="161"/>
  <c r="G230" i="161" s="1"/>
  <c r="E226" i="161"/>
  <c r="G226" i="161" s="1"/>
  <c r="E220" i="161"/>
  <c r="G220" i="161" s="1"/>
  <c r="E218" i="161"/>
  <c r="G218" i="161" s="1"/>
  <c r="F212" i="161"/>
  <c r="E212" i="161"/>
  <c r="G212" i="161" s="1"/>
  <c r="E208" i="161"/>
  <c r="G208" i="161" s="1"/>
  <c r="E194" i="161"/>
  <c r="G194" i="161" s="1"/>
  <c r="E192" i="161"/>
  <c r="G192" i="161" s="1"/>
  <c r="F190" i="161"/>
  <c r="E190" i="161"/>
  <c r="E186" i="161"/>
  <c r="G186" i="161" s="1"/>
  <c r="E184" i="161"/>
  <c r="G184" i="161" s="1"/>
  <c r="E182" i="161"/>
  <c r="G182" i="161" s="1"/>
  <c r="E180" i="161"/>
  <c r="G180" i="161" s="1"/>
  <c r="E174" i="161"/>
  <c r="G174" i="161" s="1"/>
  <c r="A174" i="161"/>
  <c r="A180" i="161" s="1"/>
  <c r="A182" i="161" s="1"/>
  <c r="A184" i="161" s="1"/>
  <c r="A190" i="161" s="1"/>
  <c r="A192" i="161" s="1"/>
  <c r="A194" i="161" s="1"/>
  <c r="A208" i="161" s="1"/>
  <c r="A212" i="161" s="1"/>
  <c r="A218" i="161" s="1"/>
  <c r="A220" i="161" s="1"/>
  <c r="A226" i="161" s="1"/>
  <c r="A230" i="161" s="1"/>
  <c r="A254" i="161" s="1"/>
  <c r="A256" i="161" s="1"/>
  <c r="A258" i="161" s="1"/>
  <c r="A260" i="161" s="1"/>
  <c r="A268" i="161" s="1"/>
  <c r="A270" i="161" s="1"/>
  <c r="A276" i="161" s="1"/>
  <c r="A280" i="161" s="1"/>
  <c r="E170" i="161"/>
  <c r="G170" i="161" s="1"/>
  <c r="A170" i="161"/>
  <c r="E164" i="161"/>
  <c r="G164" i="161" s="1"/>
  <c r="A164" i="161"/>
  <c r="E162" i="161"/>
  <c r="G162" i="161" s="1"/>
  <c r="E160" i="161"/>
  <c r="G160" i="161" s="1"/>
  <c r="E158" i="161"/>
  <c r="G158" i="161" s="1"/>
  <c r="E156" i="161"/>
  <c r="G156" i="161" s="1"/>
  <c r="E138" i="161"/>
  <c r="G138" i="161" s="1"/>
  <c r="E130" i="161"/>
  <c r="G130" i="161" s="1"/>
  <c r="A130" i="161"/>
  <c r="A138" i="161" s="1"/>
  <c r="A156" i="161" s="1"/>
  <c r="A158" i="161" s="1"/>
  <c r="E126" i="161"/>
  <c r="G126" i="161" s="1"/>
  <c r="A126" i="161"/>
  <c r="E120" i="161"/>
  <c r="G120" i="161" s="1"/>
  <c r="A120" i="161"/>
  <c r="E116" i="161"/>
  <c r="G116" i="161" s="1"/>
  <c r="E114" i="161"/>
  <c r="G114" i="161" s="1"/>
  <c r="E108" i="161"/>
  <c r="G108" i="161" s="1"/>
  <c r="E104" i="161"/>
  <c r="G104" i="161" s="1"/>
  <c r="E94" i="161"/>
  <c r="G94" i="161" s="1"/>
  <c r="E92" i="161"/>
  <c r="G92" i="161" s="1"/>
  <c r="E90" i="161"/>
  <c r="G90" i="161" s="1"/>
  <c r="E88" i="161"/>
  <c r="G88" i="161" s="1"/>
  <c r="E82" i="161"/>
  <c r="G82" i="161" s="1"/>
  <c r="E72" i="161"/>
  <c r="G72" i="161" s="1"/>
  <c r="E64" i="161"/>
  <c r="G64" i="161" s="1"/>
  <c r="E60" i="161"/>
  <c r="G60" i="161" s="1"/>
  <c r="E45" i="161"/>
  <c r="G45" i="161" s="1"/>
  <c r="L41" i="161"/>
  <c r="I41" i="161"/>
  <c r="E41" i="161"/>
  <c r="G41" i="161" s="1"/>
  <c r="L25" i="161"/>
  <c r="I25" i="161"/>
  <c r="E25" i="161"/>
  <c r="G25" i="161" s="1"/>
  <c r="L21" i="161"/>
  <c r="I21" i="161"/>
  <c r="F21" i="161"/>
  <c r="L19" i="161"/>
  <c r="L31" i="161" s="1"/>
  <c r="I19" i="161"/>
  <c r="E19" i="161" s="1"/>
  <c r="G19" i="161" s="1"/>
  <c r="E14" i="161"/>
  <c r="G14" i="161" s="1"/>
  <c r="E13" i="161"/>
  <c r="E12" i="161"/>
  <c r="E11" i="161"/>
  <c r="E10" i="161"/>
  <c r="G4" i="161"/>
  <c r="A3" i="161"/>
  <c r="G2" i="161"/>
  <c r="A2" i="161"/>
  <c r="K31" i="161" l="1"/>
  <c r="G190" i="161"/>
  <c r="L37" i="161"/>
  <c r="I29" i="161"/>
  <c r="I31" i="161"/>
  <c r="I37" i="161"/>
  <c r="E37" i="161" s="1"/>
  <c r="G37" i="161" s="1"/>
  <c r="L29" i="161"/>
  <c r="E29" i="161" l="1"/>
  <c r="G29" i="161" s="1"/>
  <c r="E31" i="161"/>
  <c r="G31" i="161" s="1"/>
  <c r="G48" i="161" l="1"/>
  <c r="G52" i="161" s="1"/>
  <c r="G96" i="161" s="1"/>
  <c r="G100" i="161" s="1"/>
  <c r="G148" i="161" s="1"/>
  <c r="G152" i="161" s="1"/>
  <c r="G198" i="161" s="1"/>
  <c r="G202" i="161" s="1"/>
  <c r="G242" i="161" s="1"/>
  <c r="G246" i="161" s="1"/>
  <c r="G285" i="161" s="1"/>
  <c r="G289" i="161" s="1"/>
  <c r="G335" i="161" s="1"/>
  <c r="C32" i="37" s="1"/>
  <c r="B30" i="37" l="1"/>
  <c r="E313" i="160"/>
  <c r="G313" i="160" s="1"/>
  <c r="E311" i="160"/>
  <c r="G311" i="160" s="1"/>
  <c r="G305" i="160"/>
  <c r="E305" i="160"/>
  <c r="E299" i="160"/>
  <c r="G299" i="160" s="1"/>
  <c r="G295" i="160"/>
  <c r="E295" i="160"/>
  <c r="E280" i="160"/>
  <c r="G280" i="160" s="1"/>
  <c r="E276" i="160"/>
  <c r="G276" i="160" s="1"/>
  <c r="E270" i="160"/>
  <c r="G270" i="160" s="1"/>
  <c r="E268" i="160"/>
  <c r="G268" i="160" s="1"/>
  <c r="G260" i="160"/>
  <c r="E260" i="160"/>
  <c r="G258" i="160"/>
  <c r="E258" i="160"/>
  <c r="E256" i="160"/>
  <c r="G256" i="160" s="1"/>
  <c r="E254" i="160"/>
  <c r="G254" i="160" s="1"/>
  <c r="E230" i="160"/>
  <c r="G230" i="160" s="1"/>
  <c r="E226" i="160"/>
  <c r="G226" i="160" s="1"/>
  <c r="E220" i="160"/>
  <c r="G220" i="160" s="1"/>
  <c r="G218" i="160"/>
  <c r="E218" i="160"/>
  <c r="F212" i="160"/>
  <c r="E212" i="160"/>
  <c r="G212" i="160" s="1"/>
  <c r="E208" i="160"/>
  <c r="G208" i="160" s="1"/>
  <c r="E194" i="160"/>
  <c r="G194" i="160" s="1"/>
  <c r="E192" i="160"/>
  <c r="G192" i="160" s="1"/>
  <c r="F190" i="160"/>
  <c r="E190" i="160"/>
  <c r="G190" i="160" s="1"/>
  <c r="E186" i="160"/>
  <c r="G186" i="160" s="1"/>
  <c r="E184" i="160"/>
  <c r="G184" i="160" s="1"/>
  <c r="E182" i="160"/>
  <c r="G182" i="160" s="1"/>
  <c r="G180" i="160"/>
  <c r="E180" i="160"/>
  <c r="E174" i="160"/>
  <c r="G174" i="160" s="1"/>
  <c r="E170" i="160"/>
  <c r="G170" i="160" s="1"/>
  <c r="A170" i="160"/>
  <c r="A174" i="160" s="1"/>
  <c r="A180" i="160" s="1"/>
  <c r="A182" i="160" s="1"/>
  <c r="A184" i="160" s="1"/>
  <c r="A190" i="160" s="1"/>
  <c r="A192" i="160" s="1"/>
  <c r="A194" i="160" s="1"/>
  <c r="A208" i="160" s="1"/>
  <c r="A212" i="160" s="1"/>
  <c r="A218" i="160" s="1"/>
  <c r="A220" i="160" s="1"/>
  <c r="A226" i="160" s="1"/>
  <c r="A230" i="160" s="1"/>
  <c r="A254" i="160" s="1"/>
  <c r="A256" i="160" s="1"/>
  <c r="A258" i="160" s="1"/>
  <c r="A260" i="160" s="1"/>
  <c r="A268" i="160" s="1"/>
  <c r="A270" i="160" s="1"/>
  <c r="A276" i="160" s="1"/>
  <c r="A280" i="160" s="1"/>
  <c r="E164" i="160"/>
  <c r="G164" i="160" s="1"/>
  <c r="A164" i="160"/>
  <c r="G162" i="160"/>
  <c r="E162" i="160"/>
  <c r="E160" i="160"/>
  <c r="G160" i="160" s="1"/>
  <c r="E158" i="160"/>
  <c r="G158" i="160" s="1"/>
  <c r="E156" i="160"/>
  <c r="G156" i="160" s="1"/>
  <c r="E138" i="160"/>
  <c r="G138" i="160" s="1"/>
  <c r="E130" i="160"/>
  <c r="G130" i="160" s="1"/>
  <c r="E126" i="160"/>
  <c r="G126" i="160" s="1"/>
  <c r="A126" i="160"/>
  <c r="A130" i="160" s="1"/>
  <c r="A138" i="160" s="1"/>
  <c r="A156" i="160" s="1"/>
  <c r="A158" i="160" s="1"/>
  <c r="E120" i="160"/>
  <c r="G120" i="160" s="1"/>
  <c r="A120" i="160"/>
  <c r="G116" i="160"/>
  <c r="E116" i="160"/>
  <c r="E114" i="160"/>
  <c r="G114" i="160" s="1"/>
  <c r="E108" i="160"/>
  <c r="G108" i="160" s="1"/>
  <c r="G104" i="160"/>
  <c r="E104" i="160"/>
  <c r="G94" i="160"/>
  <c r="E94" i="160"/>
  <c r="E92" i="160"/>
  <c r="G92" i="160" s="1"/>
  <c r="G90" i="160"/>
  <c r="E90" i="160"/>
  <c r="E88" i="160"/>
  <c r="G88" i="160" s="1"/>
  <c r="E82" i="160"/>
  <c r="G82" i="160" s="1"/>
  <c r="E72" i="160"/>
  <c r="G72" i="160" s="1"/>
  <c r="G64" i="160"/>
  <c r="E64" i="160"/>
  <c r="E60" i="160"/>
  <c r="G60" i="160" s="1"/>
  <c r="G45" i="160"/>
  <c r="E45" i="160"/>
  <c r="N41" i="160"/>
  <c r="M41" i="160"/>
  <c r="L41" i="160"/>
  <c r="K41" i="160"/>
  <c r="J41" i="160"/>
  <c r="I41" i="160"/>
  <c r="E41" i="160" s="1"/>
  <c r="G41" i="160" s="1"/>
  <c r="N25" i="160"/>
  <c r="M25" i="160"/>
  <c r="L25" i="160"/>
  <c r="K25" i="160"/>
  <c r="J25" i="160"/>
  <c r="E25" i="160" s="1"/>
  <c r="G25" i="160" s="1"/>
  <c r="I25" i="160"/>
  <c r="N21" i="160"/>
  <c r="N37" i="160" s="1"/>
  <c r="M21" i="160"/>
  <c r="L21" i="160"/>
  <c r="L37" i="160" s="1"/>
  <c r="K21" i="160"/>
  <c r="J21" i="160"/>
  <c r="J37" i="160" s="1"/>
  <c r="I21" i="160"/>
  <c r="F21" i="160"/>
  <c r="E21" i="160"/>
  <c r="G21" i="160" s="1"/>
  <c r="N19" i="160"/>
  <c r="M19" i="160"/>
  <c r="M37" i="160" s="1"/>
  <c r="L19" i="160"/>
  <c r="K19" i="160"/>
  <c r="K37" i="160" s="1"/>
  <c r="J19" i="160"/>
  <c r="I19" i="160"/>
  <c r="I37" i="160" s="1"/>
  <c r="E19" i="160"/>
  <c r="G19" i="160" s="1"/>
  <c r="E14" i="160"/>
  <c r="G14" i="160" s="1"/>
  <c r="E13" i="160"/>
  <c r="E12" i="160"/>
  <c r="E11" i="160"/>
  <c r="E10" i="160"/>
  <c r="G4" i="160"/>
  <c r="A3" i="160"/>
  <c r="G2" i="160"/>
  <c r="A2" i="160"/>
  <c r="E37" i="160" l="1"/>
  <c r="G37" i="160" s="1"/>
  <c r="K29" i="160"/>
  <c r="K31" i="160"/>
  <c r="L29" i="160"/>
  <c r="L31" i="160"/>
  <c r="I29" i="160"/>
  <c r="M29" i="160"/>
  <c r="I31" i="160"/>
  <c r="M31" i="160"/>
  <c r="J29" i="160"/>
  <c r="N29" i="160"/>
  <c r="J31" i="160"/>
  <c r="N31" i="160"/>
  <c r="E29" i="160" l="1"/>
  <c r="G29" i="160" s="1"/>
  <c r="E31" i="160"/>
  <c r="G31" i="160" s="1"/>
  <c r="G48" i="160" l="1"/>
  <c r="G52" i="160" s="1"/>
  <c r="G96" i="160" s="1"/>
  <c r="G100" i="160" s="1"/>
  <c r="G148" i="160" s="1"/>
  <c r="G152" i="160" s="1"/>
  <c r="G198" i="160" s="1"/>
  <c r="G202" i="160" s="1"/>
  <c r="G242" i="160" s="1"/>
  <c r="G246" i="160" s="1"/>
  <c r="G285" i="160" s="1"/>
  <c r="G289" i="160" s="1"/>
  <c r="G335" i="160" s="1"/>
  <c r="C30" i="37" s="1"/>
  <c r="B28" i="37" l="1"/>
  <c r="E313" i="159"/>
  <c r="G313" i="159" s="1"/>
  <c r="G311" i="159"/>
  <c r="E311" i="159"/>
  <c r="E305" i="159"/>
  <c r="G305" i="159" s="1"/>
  <c r="G299" i="159"/>
  <c r="E299" i="159"/>
  <c r="E295" i="159"/>
  <c r="G295" i="159" s="1"/>
  <c r="E280" i="159"/>
  <c r="G280" i="159" s="1"/>
  <c r="E276" i="159"/>
  <c r="G276" i="159" s="1"/>
  <c r="G270" i="159"/>
  <c r="E270" i="159"/>
  <c r="E268" i="159"/>
  <c r="G268" i="159" s="1"/>
  <c r="E260" i="159"/>
  <c r="G260" i="159" s="1"/>
  <c r="E258" i="159"/>
  <c r="G258" i="159" s="1"/>
  <c r="G256" i="159"/>
  <c r="E256" i="159"/>
  <c r="E254" i="159"/>
  <c r="G254" i="159" s="1"/>
  <c r="G230" i="159"/>
  <c r="E230" i="159"/>
  <c r="E226" i="159"/>
  <c r="G226" i="159" s="1"/>
  <c r="E220" i="159"/>
  <c r="G220" i="159" s="1"/>
  <c r="E218" i="159"/>
  <c r="G218" i="159" s="1"/>
  <c r="F212" i="159"/>
  <c r="E212" i="159"/>
  <c r="G212" i="159" s="1"/>
  <c r="E208" i="159"/>
  <c r="G208" i="159" s="1"/>
  <c r="E194" i="159"/>
  <c r="G194" i="159" s="1"/>
  <c r="E192" i="159"/>
  <c r="G192" i="159" s="1"/>
  <c r="F190" i="159"/>
  <c r="E190" i="159"/>
  <c r="E186" i="159"/>
  <c r="G186" i="159" s="1"/>
  <c r="E184" i="159"/>
  <c r="G184" i="159" s="1"/>
  <c r="E182" i="159"/>
  <c r="G182" i="159" s="1"/>
  <c r="E180" i="159"/>
  <c r="G180" i="159" s="1"/>
  <c r="E174" i="159"/>
  <c r="G174" i="159" s="1"/>
  <c r="A174" i="159"/>
  <c r="A180" i="159" s="1"/>
  <c r="A182" i="159" s="1"/>
  <c r="A184" i="159" s="1"/>
  <c r="A190" i="159" s="1"/>
  <c r="A192" i="159" s="1"/>
  <c r="A194" i="159" s="1"/>
  <c r="A208" i="159" s="1"/>
  <c r="A212" i="159" s="1"/>
  <c r="A218" i="159" s="1"/>
  <c r="A220" i="159" s="1"/>
  <c r="A226" i="159" s="1"/>
  <c r="A230" i="159" s="1"/>
  <c r="A254" i="159" s="1"/>
  <c r="A256" i="159" s="1"/>
  <c r="A258" i="159" s="1"/>
  <c r="A260" i="159" s="1"/>
  <c r="A268" i="159" s="1"/>
  <c r="A270" i="159" s="1"/>
  <c r="A276" i="159" s="1"/>
  <c r="A280" i="159" s="1"/>
  <c r="E170" i="159"/>
  <c r="G170" i="159" s="1"/>
  <c r="A170" i="159"/>
  <c r="G164" i="159"/>
  <c r="E164" i="159"/>
  <c r="A164" i="159"/>
  <c r="E162" i="159"/>
  <c r="G162" i="159" s="1"/>
  <c r="E160" i="159"/>
  <c r="G160" i="159" s="1"/>
  <c r="E158" i="159"/>
  <c r="G158" i="159" s="1"/>
  <c r="E156" i="159"/>
  <c r="G156" i="159" s="1"/>
  <c r="E138" i="159"/>
  <c r="G138" i="159" s="1"/>
  <c r="E130" i="159"/>
  <c r="G130" i="159" s="1"/>
  <c r="A130" i="159"/>
  <c r="A138" i="159" s="1"/>
  <c r="A156" i="159" s="1"/>
  <c r="A158" i="159" s="1"/>
  <c r="E126" i="159"/>
  <c r="G126" i="159" s="1"/>
  <c r="A126" i="159"/>
  <c r="E120" i="159"/>
  <c r="G120" i="159" s="1"/>
  <c r="A120" i="159"/>
  <c r="E116" i="159"/>
  <c r="G116" i="159" s="1"/>
  <c r="E114" i="159"/>
  <c r="G114" i="159" s="1"/>
  <c r="E108" i="159"/>
  <c r="G108" i="159" s="1"/>
  <c r="E104" i="159"/>
  <c r="G104" i="159" s="1"/>
  <c r="E94" i="159"/>
  <c r="G94" i="159" s="1"/>
  <c r="E92" i="159"/>
  <c r="G92" i="159" s="1"/>
  <c r="E90" i="159"/>
  <c r="G90" i="159" s="1"/>
  <c r="E88" i="159"/>
  <c r="G88" i="159" s="1"/>
  <c r="E82" i="159"/>
  <c r="G82" i="159" s="1"/>
  <c r="E72" i="159"/>
  <c r="G72" i="159" s="1"/>
  <c r="E64" i="159"/>
  <c r="G64" i="159" s="1"/>
  <c r="E60" i="159"/>
  <c r="G60" i="159" s="1"/>
  <c r="E45" i="159"/>
  <c r="G45" i="159" s="1"/>
  <c r="N41" i="159"/>
  <c r="E41" i="159" s="1"/>
  <c r="G41" i="159" s="1"/>
  <c r="M41" i="159"/>
  <c r="L41" i="159"/>
  <c r="K41" i="159"/>
  <c r="J41" i="159"/>
  <c r="I41" i="159"/>
  <c r="N25" i="159"/>
  <c r="E25" i="159" s="1"/>
  <c r="G25" i="159" s="1"/>
  <c r="M25" i="159"/>
  <c r="L25" i="159"/>
  <c r="K25" i="159"/>
  <c r="J25" i="159"/>
  <c r="I25" i="159"/>
  <c r="N21" i="159"/>
  <c r="M21" i="159"/>
  <c r="L21" i="159"/>
  <c r="K21" i="159"/>
  <c r="K31" i="159" s="1"/>
  <c r="J21" i="159"/>
  <c r="I21" i="159"/>
  <c r="E21" i="159" s="1"/>
  <c r="G21" i="159" s="1"/>
  <c r="F21" i="159"/>
  <c r="N19" i="159"/>
  <c r="M19" i="159"/>
  <c r="M37" i="159" s="1"/>
  <c r="L19" i="159"/>
  <c r="L31" i="159" s="1"/>
  <c r="K19" i="159"/>
  <c r="J19" i="159"/>
  <c r="J37" i="159" s="1"/>
  <c r="I19" i="159"/>
  <c r="E19" i="159" s="1"/>
  <c r="G19" i="159" s="1"/>
  <c r="E14" i="159"/>
  <c r="G14" i="159" s="1"/>
  <c r="E13" i="159"/>
  <c r="E12" i="159"/>
  <c r="E11" i="159"/>
  <c r="E10" i="159"/>
  <c r="G4" i="159"/>
  <c r="A3" i="159"/>
  <c r="G2" i="159"/>
  <c r="A2" i="159"/>
  <c r="N37" i="159" l="1"/>
  <c r="G190" i="159"/>
  <c r="K29" i="159"/>
  <c r="K37" i="159"/>
  <c r="L29" i="159"/>
  <c r="L37" i="159"/>
  <c r="I29" i="159"/>
  <c r="M29" i="159"/>
  <c r="I31" i="159"/>
  <c r="E31" i="159" s="1"/>
  <c r="G31" i="159" s="1"/>
  <c r="M31" i="159"/>
  <c r="I37" i="159"/>
  <c r="J29" i="159"/>
  <c r="N29" i="159"/>
  <c r="J31" i="159"/>
  <c r="N31" i="159"/>
  <c r="E37" i="159" l="1"/>
  <c r="G37" i="159" s="1"/>
  <c r="E29" i="159"/>
  <c r="G29" i="159" s="1"/>
  <c r="G48" i="159" l="1"/>
  <c r="G52" i="159" s="1"/>
  <c r="G96" i="159" s="1"/>
  <c r="G100" i="159" s="1"/>
  <c r="G148" i="159" s="1"/>
  <c r="G152" i="159" s="1"/>
  <c r="G198" i="159" s="1"/>
  <c r="G202" i="159" s="1"/>
  <c r="G242" i="159" s="1"/>
  <c r="G246" i="159" s="1"/>
  <c r="G285" i="159" s="1"/>
  <c r="G289" i="159" s="1"/>
  <c r="G335" i="159" s="1"/>
  <c r="C28" i="37" s="1"/>
  <c r="E28" i="37" s="1"/>
  <c r="F54" i="37" s="1"/>
  <c r="C8" i="37" s="1"/>
  <c r="C56" i="37" s="1"/>
  <c r="B26" i="37" l="1"/>
  <c r="E313" i="158"/>
  <c r="G313" i="158" s="1"/>
  <c r="E311" i="158"/>
  <c r="G311" i="158" s="1"/>
  <c r="E305" i="158"/>
  <c r="G305" i="158" s="1"/>
  <c r="E299" i="158"/>
  <c r="G299" i="158" s="1"/>
  <c r="E295" i="158"/>
  <c r="G295" i="158" s="1"/>
  <c r="E280" i="158"/>
  <c r="G280" i="158" s="1"/>
  <c r="E276" i="158"/>
  <c r="G276" i="158" s="1"/>
  <c r="G270" i="158"/>
  <c r="E270" i="158"/>
  <c r="E268" i="158"/>
  <c r="G268" i="158" s="1"/>
  <c r="E260" i="158"/>
  <c r="G260" i="158" s="1"/>
  <c r="E258" i="158"/>
  <c r="G258" i="158" s="1"/>
  <c r="E256" i="158"/>
  <c r="G256" i="158" s="1"/>
  <c r="E254" i="158"/>
  <c r="G254" i="158" s="1"/>
  <c r="G230" i="158"/>
  <c r="E230" i="158"/>
  <c r="E226" i="158"/>
  <c r="G226" i="158" s="1"/>
  <c r="E220" i="158"/>
  <c r="G220" i="158" s="1"/>
  <c r="E218" i="158"/>
  <c r="G218" i="158" s="1"/>
  <c r="F212" i="158"/>
  <c r="E212" i="158"/>
  <c r="G212" i="158" s="1"/>
  <c r="E208" i="158"/>
  <c r="G208" i="158" s="1"/>
  <c r="E194" i="158"/>
  <c r="G194" i="158" s="1"/>
  <c r="E192" i="158"/>
  <c r="G192" i="158" s="1"/>
  <c r="F190" i="158"/>
  <c r="E190" i="158"/>
  <c r="E186" i="158"/>
  <c r="G186" i="158" s="1"/>
  <c r="E184" i="158"/>
  <c r="G184" i="158" s="1"/>
  <c r="E182" i="158"/>
  <c r="G182" i="158" s="1"/>
  <c r="E180" i="158"/>
  <c r="G180" i="158" s="1"/>
  <c r="E174" i="158"/>
  <c r="G174" i="158" s="1"/>
  <c r="A174" i="158"/>
  <c r="A180" i="158" s="1"/>
  <c r="A182" i="158" s="1"/>
  <c r="A184" i="158" s="1"/>
  <c r="A190" i="158" s="1"/>
  <c r="A192" i="158" s="1"/>
  <c r="A194" i="158" s="1"/>
  <c r="A208" i="158" s="1"/>
  <c r="A212" i="158" s="1"/>
  <c r="A218" i="158" s="1"/>
  <c r="A220" i="158" s="1"/>
  <c r="A226" i="158" s="1"/>
  <c r="A230" i="158" s="1"/>
  <c r="A254" i="158" s="1"/>
  <c r="A256" i="158" s="1"/>
  <c r="A258" i="158" s="1"/>
  <c r="A260" i="158" s="1"/>
  <c r="A268" i="158" s="1"/>
  <c r="A270" i="158" s="1"/>
  <c r="A276" i="158" s="1"/>
  <c r="A280" i="158" s="1"/>
  <c r="E170" i="158"/>
  <c r="G170" i="158" s="1"/>
  <c r="A170" i="158"/>
  <c r="G164" i="158"/>
  <c r="E164" i="158"/>
  <c r="A164" i="158"/>
  <c r="E162" i="158"/>
  <c r="G162" i="158" s="1"/>
  <c r="E160" i="158"/>
  <c r="G160" i="158" s="1"/>
  <c r="E158" i="158"/>
  <c r="G158" i="158" s="1"/>
  <c r="E156" i="158"/>
  <c r="G156" i="158" s="1"/>
  <c r="E138" i="158"/>
  <c r="G138" i="158" s="1"/>
  <c r="E130" i="158"/>
  <c r="G130" i="158" s="1"/>
  <c r="A130" i="158"/>
  <c r="A138" i="158" s="1"/>
  <c r="A156" i="158" s="1"/>
  <c r="A158" i="158" s="1"/>
  <c r="E126" i="158"/>
  <c r="G126" i="158" s="1"/>
  <c r="A126" i="158"/>
  <c r="E120" i="158"/>
  <c r="G120" i="158" s="1"/>
  <c r="A120" i="158"/>
  <c r="E116" i="158"/>
  <c r="G116" i="158" s="1"/>
  <c r="E114" i="158"/>
  <c r="G114" i="158" s="1"/>
  <c r="E108" i="158"/>
  <c r="G108" i="158" s="1"/>
  <c r="E104" i="158"/>
  <c r="G104" i="158" s="1"/>
  <c r="E94" i="158"/>
  <c r="G94" i="158" s="1"/>
  <c r="E92" i="158"/>
  <c r="G92" i="158" s="1"/>
  <c r="E90" i="158"/>
  <c r="G90" i="158" s="1"/>
  <c r="E88" i="158"/>
  <c r="G88" i="158" s="1"/>
  <c r="E82" i="158"/>
  <c r="G82" i="158" s="1"/>
  <c r="E72" i="158"/>
  <c r="G72" i="158" s="1"/>
  <c r="E64" i="158"/>
  <c r="G64" i="158" s="1"/>
  <c r="E60" i="158"/>
  <c r="G60" i="158" s="1"/>
  <c r="E45" i="158"/>
  <c r="G45" i="158" s="1"/>
  <c r="N41" i="158"/>
  <c r="M41" i="158"/>
  <c r="L41" i="158"/>
  <c r="K41" i="158"/>
  <c r="J41" i="158"/>
  <c r="I41" i="158"/>
  <c r="E41" i="158"/>
  <c r="G41" i="158" s="1"/>
  <c r="N25" i="158"/>
  <c r="M25" i="158"/>
  <c r="L25" i="158"/>
  <c r="K25" i="158"/>
  <c r="J25" i="158"/>
  <c r="I25" i="158"/>
  <c r="E25" i="158"/>
  <c r="G25" i="158" s="1"/>
  <c r="N21" i="158"/>
  <c r="M21" i="158"/>
  <c r="L21" i="158"/>
  <c r="K21" i="158"/>
  <c r="K37" i="158" s="1"/>
  <c r="J21" i="158"/>
  <c r="I21" i="158"/>
  <c r="E21" i="158" s="1"/>
  <c r="G21" i="158" s="1"/>
  <c r="F21" i="158"/>
  <c r="N19" i="158"/>
  <c r="N37" i="158" s="1"/>
  <c r="M19" i="158"/>
  <c r="M37" i="158" s="1"/>
  <c r="L19" i="158"/>
  <c r="L29" i="158" s="1"/>
  <c r="K19" i="158"/>
  <c r="J19" i="158"/>
  <c r="J37" i="158" s="1"/>
  <c r="I19" i="158"/>
  <c r="E19" i="158" s="1"/>
  <c r="G19" i="158" s="1"/>
  <c r="E14" i="158"/>
  <c r="G14" i="158" s="1"/>
  <c r="E13" i="158"/>
  <c r="E12" i="158"/>
  <c r="E11" i="158"/>
  <c r="E10" i="158"/>
  <c r="G4" i="158"/>
  <c r="A3" i="158"/>
  <c r="G2" i="158"/>
  <c r="A2" i="158"/>
  <c r="G190" i="158" l="1"/>
  <c r="K29" i="158"/>
  <c r="K31" i="158"/>
  <c r="L31" i="158"/>
  <c r="L37" i="158"/>
  <c r="I29" i="158"/>
  <c r="I37" i="158"/>
  <c r="E37" i="158" s="1"/>
  <c r="G37" i="158" s="1"/>
  <c r="M29" i="158"/>
  <c r="I31" i="158"/>
  <c r="M31" i="158"/>
  <c r="J29" i="158"/>
  <c r="N29" i="158"/>
  <c r="J31" i="158"/>
  <c r="N31" i="158"/>
  <c r="E29" i="158" l="1"/>
  <c r="G29" i="158" s="1"/>
  <c r="E31" i="158"/>
  <c r="G31" i="158" s="1"/>
  <c r="G48" i="158" l="1"/>
  <c r="G52" i="158" s="1"/>
  <c r="G96" i="158" s="1"/>
  <c r="G100" i="158" s="1"/>
  <c r="G148" i="158" s="1"/>
  <c r="G152" i="158" s="1"/>
  <c r="G198" i="158" s="1"/>
  <c r="G202" i="158" s="1"/>
  <c r="G242" i="158" s="1"/>
  <c r="G246" i="158" s="1"/>
  <c r="G285" i="158" s="1"/>
  <c r="G289" i="158" s="1"/>
  <c r="G335" i="158" s="1"/>
  <c r="C26" i="37" s="1"/>
  <c r="B24" i="37" l="1"/>
  <c r="E313" i="157"/>
  <c r="G313" i="157" s="1"/>
  <c r="E311" i="157"/>
  <c r="G311" i="157" s="1"/>
  <c r="G305" i="157"/>
  <c r="E305" i="157"/>
  <c r="E299" i="157"/>
  <c r="G299" i="157" s="1"/>
  <c r="E295" i="157"/>
  <c r="G295" i="157" s="1"/>
  <c r="E280" i="157"/>
  <c r="G280" i="157" s="1"/>
  <c r="E276" i="157"/>
  <c r="G276" i="157" s="1"/>
  <c r="E270" i="157"/>
  <c r="G270" i="157" s="1"/>
  <c r="E268" i="157"/>
  <c r="G268" i="157" s="1"/>
  <c r="E260" i="157"/>
  <c r="G260" i="157" s="1"/>
  <c r="G258" i="157"/>
  <c r="E258" i="157"/>
  <c r="E256" i="157"/>
  <c r="G256" i="157" s="1"/>
  <c r="E254" i="157"/>
  <c r="G254" i="157" s="1"/>
  <c r="E230" i="157"/>
  <c r="G230" i="157" s="1"/>
  <c r="E226" i="157"/>
  <c r="G226" i="157" s="1"/>
  <c r="E220" i="157"/>
  <c r="G220" i="157" s="1"/>
  <c r="G218" i="157"/>
  <c r="E218" i="157"/>
  <c r="F212" i="157"/>
  <c r="E212" i="157"/>
  <c r="E208" i="157"/>
  <c r="G208" i="157" s="1"/>
  <c r="E194" i="157"/>
  <c r="G194" i="157" s="1"/>
  <c r="E192" i="157"/>
  <c r="G192" i="157" s="1"/>
  <c r="F190" i="157"/>
  <c r="E190" i="157"/>
  <c r="G190" i="157" s="1"/>
  <c r="E186" i="157"/>
  <c r="G186" i="157" s="1"/>
  <c r="E184" i="157"/>
  <c r="G184" i="157" s="1"/>
  <c r="E182" i="157"/>
  <c r="G182" i="157" s="1"/>
  <c r="E180" i="157"/>
  <c r="G180" i="157" s="1"/>
  <c r="E174" i="157"/>
  <c r="G174" i="157" s="1"/>
  <c r="E170" i="157"/>
  <c r="G170" i="157" s="1"/>
  <c r="E164" i="157"/>
  <c r="G164" i="157" s="1"/>
  <c r="A164" i="157"/>
  <c r="A170" i="157" s="1"/>
  <c r="A174" i="157" s="1"/>
  <c r="A180" i="157" s="1"/>
  <c r="A182" i="157" s="1"/>
  <c r="A184" i="157" s="1"/>
  <c r="A190" i="157" s="1"/>
  <c r="A192" i="157" s="1"/>
  <c r="A194" i="157" s="1"/>
  <c r="A208" i="157" s="1"/>
  <c r="A212" i="157" s="1"/>
  <c r="A218" i="157" s="1"/>
  <c r="A220" i="157" s="1"/>
  <c r="A226" i="157" s="1"/>
  <c r="A230" i="157" s="1"/>
  <c r="A254" i="157" s="1"/>
  <c r="A256" i="157" s="1"/>
  <c r="A258" i="157" s="1"/>
  <c r="A260" i="157" s="1"/>
  <c r="A268" i="157" s="1"/>
  <c r="A270" i="157" s="1"/>
  <c r="A276" i="157" s="1"/>
  <c r="A280" i="157" s="1"/>
  <c r="E162" i="157"/>
  <c r="G162" i="157" s="1"/>
  <c r="E160" i="157"/>
  <c r="G160" i="157" s="1"/>
  <c r="E158" i="157"/>
  <c r="G158" i="157" s="1"/>
  <c r="E156" i="157"/>
  <c r="G156" i="157" s="1"/>
  <c r="E138" i="157"/>
  <c r="G138" i="157" s="1"/>
  <c r="E130" i="157"/>
  <c r="G130" i="157" s="1"/>
  <c r="E126" i="157"/>
  <c r="G126" i="157" s="1"/>
  <c r="E120" i="157"/>
  <c r="G120" i="157" s="1"/>
  <c r="A120" i="157"/>
  <c r="A126" i="157" s="1"/>
  <c r="A130" i="157" s="1"/>
  <c r="A138" i="157" s="1"/>
  <c r="A156" i="157" s="1"/>
  <c r="A158" i="157" s="1"/>
  <c r="E116" i="157"/>
  <c r="G116" i="157" s="1"/>
  <c r="G114" i="157"/>
  <c r="E114" i="157"/>
  <c r="E108" i="157"/>
  <c r="G108" i="157" s="1"/>
  <c r="E104" i="157"/>
  <c r="G104" i="157" s="1"/>
  <c r="E94" i="157"/>
  <c r="G94" i="157" s="1"/>
  <c r="E92" i="157"/>
  <c r="G92" i="157" s="1"/>
  <c r="G90" i="157"/>
  <c r="E90" i="157"/>
  <c r="E88" i="157"/>
  <c r="G88" i="157" s="1"/>
  <c r="E82" i="157"/>
  <c r="G82" i="157" s="1"/>
  <c r="E72" i="157"/>
  <c r="G72" i="157" s="1"/>
  <c r="E64" i="157"/>
  <c r="G64" i="157" s="1"/>
  <c r="E60" i="157"/>
  <c r="G60" i="157" s="1"/>
  <c r="E45" i="157"/>
  <c r="G45" i="157" s="1"/>
  <c r="N41" i="157"/>
  <c r="M41" i="157"/>
  <c r="L41" i="157"/>
  <c r="K41" i="157"/>
  <c r="J41" i="157"/>
  <c r="E41" i="157" s="1"/>
  <c r="G41" i="157" s="1"/>
  <c r="I41" i="157"/>
  <c r="N25" i="157"/>
  <c r="M25" i="157"/>
  <c r="L25" i="157"/>
  <c r="K25" i="157"/>
  <c r="J25" i="157"/>
  <c r="E25" i="157" s="1"/>
  <c r="G25" i="157" s="1"/>
  <c r="I25" i="157"/>
  <c r="N21" i="157"/>
  <c r="N37" i="157" s="1"/>
  <c r="M21" i="157"/>
  <c r="M37" i="157" s="1"/>
  <c r="L21" i="157"/>
  <c r="K21" i="157"/>
  <c r="J21" i="157"/>
  <c r="J37" i="157" s="1"/>
  <c r="I21" i="157"/>
  <c r="I37" i="157" s="1"/>
  <c r="F21" i="157"/>
  <c r="E21" i="157"/>
  <c r="G21" i="157" s="1"/>
  <c r="N19" i="157"/>
  <c r="M19" i="157"/>
  <c r="L19" i="157"/>
  <c r="L37" i="157" s="1"/>
  <c r="K19" i="157"/>
  <c r="K37" i="157" s="1"/>
  <c r="J19" i="157"/>
  <c r="I19" i="157"/>
  <c r="E19" i="157"/>
  <c r="G19" i="157" s="1"/>
  <c r="G14" i="157"/>
  <c r="E14" i="157"/>
  <c r="E13" i="157"/>
  <c r="E12" i="157"/>
  <c r="E11" i="157"/>
  <c r="E10" i="157"/>
  <c r="G4" i="157"/>
  <c r="A3" i="157"/>
  <c r="G2" i="157"/>
  <c r="A2" i="157"/>
  <c r="G212" i="157" l="1"/>
  <c r="E37" i="157"/>
  <c r="G37" i="157" s="1"/>
  <c r="J29" i="157"/>
  <c r="J31" i="157"/>
  <c r="L29" i="157"/>
  <c r="L31" i="157"/>
  <c r="N29" i="157"/>
  <c r="N31" i="157"/>
  <c r="K29" i="157"/>
  <c r="K31" i="157"/>
  <c r="I29" i="157"/>
  <c r="E29" i="157" s="1"/>
  <c r="G29" i="157" s="1"/>
  <c r="M29" i="157"/>
  <c r="I31" i="157"/>
  <c r="M31" i="157"/>
  <c r="E31" i="157" l="1"/>
  <c r="G31" i="157" s="1"/>
  <c r="G48" i="157" s="1"/>
  <c r="G52" i="157" s="1"/>
  <c r="G96" i="157" s="1"/>
  <c r="G100" i="157" s="1"/>
  <c r="G148" i="157" s="1"/>
  <c r="G152" i="157" s="1"/>
  <c r="G198" i="157" s="1"/>
  <c r="G202" i="157" s="1"/>
  <c r="G242" i="157" s="1"/>
  <c r="G246" i="157" s="1"/>
  <c r="G285" i="157" s="1"/>
  <c r="G289" i="157" s="1"/>
  <c r="G335" i="157" s="1"/>
  <c r="C24" i="37" s="1"/>
  <c r="B22" i="37" l="1"/>
  <c r="E313" i="156"/>
  <c r="G313" i="156" s="1"/>
  <c r="E311" i="156"/>
  <c r="G311" i="156" s="1"/>
  <c r="E305" i="156"/>
  <c r="G305" i="156" s="1"/>
  <c r="E299" i="156"/>
  <c r="G299" i="156" s="1"/>
  <c r="G295" i="156"/>
  <c r="E295" i="156"/>
  <c r="E280" i="156"/>
  <c r="G280" i="156" s="1"/>
  <c r="E276" i="156"/>
  <c r="G276" i="156" s="1"/>
  <c r="E270" i="156"/>
  <c r="G270" i="156" s="1"/>
  <c r="E268" i="156"/>
  <c r="G268" i="156" s="1"/>
  <c r="G260" i="156"/>
  <c r="E260" i="156"/>
  <c r="E258" i="156"/>
  <c r="G258" i="156" s="1"/>
  <c r="E256" i="156"/>
  <c r="G256" i="156" s="1"/>
  <c r="E254" i="156"/>
  <c r="G254" i="156" s="1"/>
  <c r="E230" i="156"/>
  <c r="G230" i="156" s="1"/>
  <c r="E226" i="156"/>
  <c r="G226" i="156" s="1"/>
  <c r="E220" i="156"/>
  <c r="G220" i="156" s="1"/>
  <c r="E218" i="156"/>
  <c r="G218" i="156" s="1"/>
  <c r="F212" i="156"/>
  <c r="E212" i="156"/>
  <c r="E208" i="156"/>
  <c r="G208" i="156" s="1"/>
  <c r="E194" i="156"/>
  <c r="G194" i="156" s="1"/>
  <c r="E192" i="156"/>
  <c r="G192" i="156" s="1"/>
  <c r="F190" i="156"/>
  <c r="E190" i="156"/>
  <c r="G190" i="156" s="1"/>
  <c r="E186" i="156"/>
  <c r="G186" i="156" s="1"/>
  <c r="E184" i="156"/>
  <c r="G184" i="156" s="1"/>
  <c r="E182" i="156"/>
  <c r="G182" i="156" s="1"/>
  <c r="E180" i="156"/>
  <c r="G180" i="156" s="1"/>
  <c r="E174" i="156"/>
  <c r="G174" i="156" s="1"/>
  <c r="E170" i="156"/>
  <c r="G170" i="156" s="1"/>
  <c r="E164" i="156"/>
  <c r="G164" i="156" s="1"/>
  <c r="A164" i="156"/>
  <c r="A170" i="156" s="1"/>
  <c r="A174" i="156" s="1"/>
  <c r="A180" i="156" s="1"/>
  <c r="A182" i="156" s="1"/>
  <c r="A184" i="156" s="1"/>
  <c r="A190" i="156" s="1"/>
  <c r="A192" i="156" s="1"/>
  <c r="A194" i="156" s="1"/>
  <c r="A208" i="156" s="1"/>
  <c r="A212" i="156" s="1"/>
  <c r="A218" i="156" s="1"/>
  <c r="A220" i="156" s="1"/>
  <c r="A226" i="156" s="1"/>
  <c r="A230" i="156" s="1"/>
  <c r="A254" i="156" s="1"/>
  <c r="A256" i="156" s="1"/>
  <c r="A258" i="156" s="1"/>
  <c r="A260" i="156" s="1"/>
  <c r="A268" i="156" s="1"/>
  <c r="A270" i="156" s="1"/>
  <c r="A276" i="156" s="1"/>
  <c r="A280" i="156" s="1"/>
  <c r="E162" i="156"/>
  <c r="G162" i="156" s="1"/>
  <c r="E160" i="156"/>
  <c r="G160" i="156" s="1"/>
  <c r="E158" i="156"/>
  <c r="G158" i="156" s="1"/>
  <c r="E156" i="156"/>
  <c r="G156" i="156" s="1"/>
  <c r="E138" i="156"/>
  <c r="G138" i="156" s="1"/>
  <c r="E130" i="156"/>
  <c r="G130" i="156" s="1"/>
  <c r="E126" i="156"/>
  <c r="G126" i="156" s="1"/>
  <c r="E120" i="156"/>
  <c r="G120" i="156" s="1"/>
  <c r="A120" i="156"/>
  <c r="A126" i="156" s="1"/>
  <c r="A130" i="156" s="1"/>
  <c r="A138" i="156" s="1"/>
  <c r="A156" i="156" s="1"/>
  <c r="A158" i="156" s="1"/>
  <c r="E116" i="156"/>
  <c r="G116" i="156" s="1"/>
  <c r="E114" i="156"/>
  <c r="G114" i="156" s="1"/>
  <c r="E108" i="156"/>
  <c r="G108" i="156" s="1"/>
  <c r="G104" i="156"/>
  <c r="E104" i="156"/>
  <c r="E94" i="156"/>
  <c r="G94" i="156" s="1"/>
  <c r="E92" i="156"/>
  <c r="G92" i="156" s="1"/>
  <c r="E90" i="156"/>
  <c r="G90" i="156" s="1"/>
  <c r="E88" i="156"/>
  <c r="G88" i="156" s="1"/>
  <c r="E82" i="156"/>
  <c r="G82" i="156" s="1"/>
  <c r="E72" i="156"/>
  <c r="G72" i="156" s="1"/>
  <c r="G64" i="156"/>
  <c r="E64" i="156"/>
  <c r="E60" i="156"/>
  <c r="G60" i="156" s="1"/>
  <c r="E45" i="156"/>
  <c r="G45" i="156" s="1"/>
  <c r="N41" i="156"/>
  <c r="M41" i="156"/>
  <c r="L41" i="156"/>
  <c r="K41" i="156"/>
  <c r="J41" i="156"/>
  <c r="E41" i="156" s="1"/>
  <c r="G41" i="156" s="1"/>
  <c r="I41" i="156"/>
  <c r="N25" i="156"/>
  <c r="M25" i="156"/>
  <c r="L25" i="156"/>
  <c r="K25" i="156"/>
  <c r="J25" i="156"/>
  <c r="E25" i="156" s="1"/>
  <c r="G25" i="156" s="1"/>
  <c r="I25" i="156"/>
  <c r="N21" i="156"/>
  <c r="N31" i="156" s="1"/>
  <c r="M21" i="156"/>
  <c r="M37" i="156" s="1"/>
  <c r="L21" i="156"/>
  <c r="K21" i="156"/>
  <c r="J21" i="156"/>
  <c r="J29" i="156" s="1"/>
  <c r="I21" i="156"/>
  <c r="I37" i="156" s="1"/>
  <c r="F21" i="156"/>
  <c r="E21" i="156"/>
  <c r="G21" i="156" s="1"/>
  <c r="N19" i="156"/>
  <c r="M19" i="156"/>
  <c r="L19" i="156"/>
  <c r="L37" i="156" s="1"/>
  <c r="K19" i="156"/>
  <c r="K37" i="156" s="1"/>
  <c r="J19" i="156"/>
  <c r="I19" i="156"/>
  <c r="E19" i="156"/>
  <c r="G19" i="156" s="1"/>
  <c r="G14" i="156"/>
  <c r="E14" i="156"/>
  <c r="E13" i="156"/>
  <c r="E12" i="156"/>
  <c r="E11" i="156"/>
  <c r="E10" i="156"/>
  <c r="G4" i="156"/>
  <c r="A3" i="156"/>
  <c r="G2" i="156"/>
  <c r="A2" i="156"/>
  <c r="G212" i="156" l="1"/>
  <c r="N29" i="156"/>
  <c r="J31" i="156"/>
  <c r="J37" i="156"/>
  <c r="E37" i="156" s="1"/>
  <c r="G37" i="156" s="1"/>
  <c r="N37" i="156"/>
  <c r="K29" i="156"/>
  <c r="K31" i="156"/>
  <c r="L29" i="156"/>
  <c r="L31" i="156"/>
  <c r="I29" i="156"/>
  <c r="M29" i="156"/>
  <c r="I31" i="156"/>
  <c r="M31" i="156"/>
  <c r="E29" i="156" l="1"/>
  <c r="G29" i="156" s="1"/>
  <c r="E31" i="156"/>
  <c r="G31" i="156" s="1"/>
  <c r="G48" i="156" l="1"/>
  <c r="G52" i="156" s="1"/>
  <c r="G96" i="156" s="1"/>
  <c r="G100" i="156" s="1"/>
  <c r="G148" i="156" s="1"/>
  <c r="G152" i="156" s="1"/>
  <c r="G198" i="156" s="1"/>
  <c r="G202" i="156" s="1"/>
  <c r="G242" i="156" s="1"/>
  <c r="G246" i="156" s="1"/>
  <c r="G285" i="156" s="1"/>
  <c r="G289" i="156" s="1"/>
  <c r="G335" i="156" s="1"/>
  <c r="C22" i="37" s="1"/>
  <c r="B20" i="37" l="1"/>
  <c r="E313" i="155"/>
  <c r="G313" i="155" s="1"/>
  <c r="G311" i="155"/>
  <c r="E311" i="155"/>
  <c r="E305" i="155"/>
  <c r="G305" i="155" s="1"/>
  <c r="E299" i="155"/>
  <c r="G299" i="155" s="1"/>
  <c r="E295" i="155"/>
  <c r="G295" i="155" s="1"/>
  <c r="E280" i="155"/>
  <c r="G280" i="155" s="1"/>
  <c r="E276" i="155"/>
  <c r="G276" i="155" s="1"/>
  <c r="E270" i="155"/>
  <c r="G270" i="155" s="1"/>
  <c r="E268" i="155"/>
  <c r="G268" i="155" s="1"/>
  <c r="E260" i="155"/>
  <c r="G260" i="155" s="1"/>
  <c r="G258" i="155"/>
  <c r="E258" i="155"/>
  <c r="E256" i="155"/>
  <c r="G256" i="155" s="1"/>
  <c r="E254" i="155"/>
  <c r="G254" i="155" s="1"/>
  <c r="E230" i="155"/>
  <c r="G230" i="155" s="1"/>
  <c r="E226" i="155"/>
  <c r="G226" i="155" s="1"/>
  <c r="E220" i="155"/>
  <c r="G220" i="155" s="1"/>
  <c r="E218" i="155"/>
  <c r="G218" i="155" s="1"/>
  <c r="F212" i="155"/>
  <c r="E212" i="155"/>
  <c r="E208" i="155"/>
  <c r="G208" i="155" s="1"/>
  <c r="G194" i="155"/>
  <c r="E194" i="155"/>
  <c r="E192" i="155"/>
  <c r="G192" i="155" s="1"/>
  <c r="F190" i="155"/>
  <c r="E190" i="155"/>
  <c r="G190" i="155" s="1"/>
  <c r="E186" i="155"/>
  <c r="G186" i="155" s="1"/>
  <c r="E184" i="155"/>
  <c r="G184" i="155" s="1"/>
  <c r="E182" i="155"/>
  <c r="G182" i="155" s="1"/>
  <c r="E180" i="155"/>
  <c r="G180" i="155" s="1"/>
  <c r="A180" i="155"/>
  <c r="A182" i="155" s="1"/>
  <c r="A184" i="155" s="1"/>
  <c r="A190" i="155" s="1"/>
  <c r="A192" i="155" s="1"/>
  <c r="A194" i="155" s="1"/>
  <c r="A208" i="155" s="1"/>
  <c r="A212" i="155" s="1"/>
  <c r="A218" i="155" s="1"/>
  <c r="A220" i="155" s="1"/>
  <c r="A226" i="155" s="1"/>
  <c r="A230" i="155" s="1"/>
  <c r="A254" i="155" s="1"/>
  <c r="A256" i="155" s="1"/>
  <c r="A258" i="155" s="1"/>
  <c r="A260" i="155" s="1"/>
  <c r="A268" i="155" s="1"/>
  <c r="A270" i="155" s="1"/>
  <c r="A276" i="155" s="1"/>
  <c r="A280" i="155" s="1"/>
  <c r="E174" i="155"/>
  <c r="G174" i="155" s="1"/>
  <c r="A174" i="155"/>
  <c r="E170" i="155"/>
  <c r="G170" i="155" s="1"/>
  <c r="A170" i="155"/>
  <c r="E164" i="155"/>
  <c r="G164" i="155" s="1"/>
  <c r="A164" i="155"/>
  <c r="E162" i="155"/>
  <c r="G162" i="155" s="1"/>
  <c r="E160" i="155"/>
  <c r="G160" i="155" s="1"/>
  <c r="E158" i="155"/>
  <c r="G158" i="155" s="1"/>
  <c r="E156" i="155"/>
  <c r="G156" i="155" s="1"/>
  <c r="E138" i="155"/>
  <c r="G138" i="155" s="1"/>
  <c r="A138" i="155"/>
  <c r="A156" i="155" s="1"/>
  <c r="A158" i="155" s="1"/>
  <c r="E130" i="155"/>
  <c r="G130" i="155" s="1"/>
  <c r="A130" i="155"/>
  <c r="E126" i="155"/>
  <c r="G126" i="155" s="1"/>
  <c r="A126" i="155"/>
  <c r="E120" i="155"/>
  <c r="G120" i="155" s="1"/>
  <c r="A120" i="155"/>
  <c r="E116" i="155"/>
  <c r="G116" i="155" s="1"/>
  <c r="E114" i="155"/>
  <c r="G114" i="155" s="1"/>
  <c r="E108" i="155"/>
  <c r="G108" i="155" s="1"/>
  <c r="G104" i="155"/>
  <c r="E104" i="155"/>
  <c r="G94" i="155"/>
  <c r="E94" i="155"/>
  <c r="E92" i="155"/>
  <c r="G92" i="155" s="1"/>
  <c r="E90" i="155"/>
  <c r="G90" i="155" s="1"/>
  <c r="E88" i="155"/>
  <c r="G88" i="155" s="1"/>
  <c r="E82" i="155"/>
  <c r="G82" i="155" s="1"/>
  <c r="E72" i="155"/>
  <c r="G72" i="155" s="1"/>
  <c r="E64" i="155"/>
  <c r="G64" i="155" s="1"/>
  <c r="E60" i="155"/>
  <c r="G60" i="155" s="1"/>
  <c r="E45" i="155"/>
  <c r="G45" i="155" s="1"/>
  <c r="N41" i="155"/>
  <c r="M41" i="155"/>
  <c r="L41" i="155"/>
  <c r="K41" i="155"/>
  <c r="J41" i="155"/>
  <c r="E41" i="155" s="1"/>
  <c r="G41" i="155" s="1"/>
  <c r="I41" i="155"/>
  <c r="J37" i="155"/>
  <c r="N31" i="155"/>
  <c r="J31" i="155"/>
  <c r="J29" i="155"/>
  <c r="N25" i="155"/>
  <c r="M25" i="155"/>
  <c r="L25" i="155"/>
  <c r="K25" i="155"/>
  <c r="J25" i="155"/>
  <c r="E25" i="155" s="1"/>
  <c r="G25" i="155" s="1"/>
  <c r="I25" i="155"/>
  <c r="N21" i="155"/>
  <c r="N37" i="155" s="1"/>
  <c r="M21" i="155"/>
  <c r="L21" i="155"/>
  <c r="K21" i="155"/>
  <c r="J21" i="155"/>
  <c r="I21" i="155"/>
  <c r="F21" i="155"/>
  <c r="E21" i="155"/>
  <c r="G21" i="155" s="1"/>
  <c r="N19" i="155"/>
  <c r="M19" i="155"/>
  <c r="M37" i="155" s="1"/>
  <c r="L19" i="155"/>
  <c r="L37" i="155" s="1"/>
  <c r="K19" i="155"/>
  <c r="J19" i="155"/>
  <c r="I19" i="155"/>
  <c r="I37" i="155" s="1"/>
  <c r="E19" i="155"/>
  <c r="G19" i="155" s="1"/>
  <c r="E14" i="155"/>
  <c r="G14" i="155" s="1"/>
  <c r="E13" i="155"/>
  <c r="E12" i="155"/>
  <c r="E11" i="155"/>
  <c r="E10" i="155"/>
  <c r="G4" i="155"/>
  <c r="A3" i="155"/>
  <c r="G2" i="155"/>
  <c r="A2" i="155"/>
  <c r="G212" i="155" l="1"/>
  <c r="N29" i="155"/>
  <c r="K37" i="155"/>
  <c r="E37" i="155" s="1"/>
  <c r="G37" i="155" s="1"/>
  <c r="K31" i="155"/>
  <c r="K29" i="155"/>
  <c r="L29" i="155"/>
  <c r="L31" i="155"/>
  <c r="I29" i="155"/>
  <c r="E29" i="155" s="1"/>
  <c r="G29" i="155" s="1"/>
  <c r="M29" i="155"/>
  <c r="I31" i="155"/>
  <c r="M31" i="155"/>
  <c r="E31" i="155" l="1"/>
  <c r="G31" i="155" s="1"/>
  <c r="G48" i="155" s="1"/>
  <c r="G52" i="155" s="1"/>
  <c r="G96" i="155" s="1"/>
  <c r="G100" i="155" s="1"/>
  <c r="G148" i="155" s="1"/>
  <c r="G152" i="155" s="1"/>
  <c r="G198" i="155" s="1"/>
  <c r="G202" i="155" s="1"/>
  <c r="G242" i="155" s="1"/>
  <c r="G246" i="155" s="1"/>
  <c r="G285" i="155" s="1"/>
  <c r="G289" i="155" s="1"/>
  <c r="G335" i="155" s="1"/>
  <c r="C20" i="37" s="1"/>
  <c r="B16" i="37" l="1"/>
  <c r="B18" i="37"/>
  <c r="E313" i="154"/>
  <c r="G313" i="154" s="1"/>
  <c r="E311" i="154"/>
  <c r="G311" i="154" s="1"/>
  <c r="E305" i="154"/>
  <c r="G305" i="154" s="1"/>
  <c r="G299" i="154"/>
  <c r="E299" i="154"/>
  <c r="E295" i="154"/>
  <c r="G295" i="154" s="1"/>
  <c r="E280" i="154"/>
  <c r="G280" i="154" s="1"/>
  <c r="G276" i="154"/>
  <c r="E276" i="154"/>
  <c r="G270" i="154"/>
  <c r="E270" i="154"/>
  <c r="E268" i="154"/>
  <c r="G268" i="154" s="1"/>
  <c r="E260" i="154"/>
  <c r="G260" i="154" s="1"/>
  <c r="G258" i="154"/>
  <c r="E258" i="154"/>
  <c r="G256" i="154"/>
  <c r="E256" i="154"/>
  <c r="E254" i="154"/>
  <c r="G254" i="154" s="1"/>
  <c r="E230" i="154"/>
  <c r="G230" i="154" s="1"/>
  <c r="E226" i="154"/>
  <c r="G226" i="154" s="1"/>
  <c r="E220" i="154"/>
  <c r="G220" i="154" s="1"/>
  <c r="E218" i="154"/>
  <c r="G218" i="154" s="1"/>
  <c r="F212" i="154"/>
  <c r="E212" i="154"/>
  <c r="G212" i="154" s="1"/>
  <c r="E208" i="154"/>
  <c r="G208" i="154" s="1"/>
  <c r="G194" i="154"/>
  <c r="E194" i="154"/>
  <c r="G192" i="154"/>
  <c r="E192" i="154"/>
  <c r="F190" i="154"/>
  <c r="G190" i="154" s="1"/>
  <c r="E190" i="154"/>
  <c r="E186" i="154"/>
  <c r="G186" i="154" s="1"/>
  <c r="E184" i="154"/>
  <c r="G184" i="154" s="1"/>
  <c r="E182" i="154"/>
  <c r="G182" i="154" s="1"/>
  <c r="E180" i="154"/>
  <c r="G180" i="154" s="1"/>
  <c r="E174" i="154"/>
  <c r="G174" i="154" s="1"/>
  <c r="A174" i="154"/>
  <c r="A180" i="154" s="1"/>
  <c r="A182" i="154" s="1"/>
  <c r="A184" i="154" s="1"/>
  <c r="A190" i="154" s="1"/>
  <c r="A192" i="154" s="1"/>
  <c r="A194" i="154" s="1"/>
  <c r="A208" i="154" s="1"/>
  <c r="A212" i="154" s="1"/>
  <c r="A218" i="154" s="1"/>
  <c r="A220" i="154" s="1"/>
  <c r="A226" i="154" s="1"/>
  <c r="A230" i="154" s="1"/>
  <c r="A254" i="154" s="1"/>
  <c r="A256" i="154" s="1"/>
  <c r="A258" i="154" s="1"/>
  <c r="A260" i="154" s="1"/>
  <c r="A268" i="154" s="1"/>
  <c r="A270" i="154" s="1"/>
  <c r="A276" i="154" s="1"/>
  <c r="A280" i="154" s="1"/>
  <c r="E170" i="154"/>
  <c r="G170" i="154" s="1"/>
  <c r="A170" i="154"/>
  <c r="E164" i="154"/>
  <c r="G164" i="154" s="1"/>
  <c r="A164" i="154"/>
  <c r="E162" i="154"/>
  <c r="G162" i="154" s="1"/>
  <c r="E160" i="154"/>
  <c r="G160" i="154" s="1"/>
  <c r="E158" i="154"/>
  <c r="G158" i="154" s="1"/>
  <c r="E156" i="154"/>
  <c r="G156" i="154" s="1"/>
  <c r="E138" i="154"/>
  <c r="G138" i="154" s="1"/>
  <c r="E130" i="154"/>
  <c r="G130" i="154" s="1"/>
  <c r="A130" i="154"/>
  <c r="A138" i="154" s="1"/>
  <c r="A156" i="154" s="1"/>
  <c r="A158" i="154" s="1"/>
  <c r="E126" i="154"/>
  <c r="G126" i="154" s="1"/>
  <c r="A126" i="154"/>
  <c r="E120" i="154"/>
  <c r="G120" i="154" s="1"/>
  <c r="A120" i="154"/>
  <c r="E116" i="154"/>
  <c r="G116" i="154" s="1"/>
  <c r="E114" i="154"/>
  <c r="G114" i="154" s="1"/>
  <c r="E108" i="154"/>
  <c r="G108" i="154" s="1"/>
  <c r="G104" i="154"/>
  <c r="E104" i="154"/>
  <c r="G94" i="154"/>
  <c r="E94" i="154"/>
  <c r="E92" i="154"/>
  <c r="G92" i="154" s="1"/>
  <c r="E90" i="154"/>
  <c r="G90" i="154" s="1"/>
  <c r="E88" i="154"/>
  <c r="G88" i="154" s="1"/>
  <c r="E82" i="154"/>
  <c r="G82" i="154" s="1"/>
  <c r="E72" i="154"/>
  <c r="G72" i="154" s="1"/>
  <c r="E64" i="154"/>
  <c r="G64" i="154" s="1"/>
  <c r="E60" i="154"/>
  <c r="G60" i="154" s="1"/>
  <c r="E45" i="154"/>
  <c r="G45" i="154" s="1"/>
  <c r="N41" i="154"/>
  <c r="M41" i="154"/>
  <c r="L41" i="154"/>
  <c r="K41" i="154"/>
  <c r="J41" i="154"/>
  <c r="I41" i="154"/>
  <c r="E41" i="154"/>
  <c r="G41" i="154" s="1"/>
  <c r="N25" i="154"/>
  <c r="M25" i="154"/>
  <c r="L25" i="154"/>
  <c r="K25" i="154"/>
  <c r="J25" i="154"/>
  <c r="I25" i="154"/>
  <c r="E25" i="154"/>
  <c r="G25" i="154" s="1"/>
  <c r="N21" i="154"/>
  <c r="M21" i="154"/>
  <c r="L21" i="154"/>
  <c r="K21" i="154"/>
  <c r="E21" i="154" s="1"/>
  <c r="G21" i="154" s="1"/>
  <c r="J21" i="154"/>
  <c r="I21" i="154"/>
  <c r="F21" i="154"/>
  <c r="N19" i="154"/>
  <c r="N37" i="154" s="1"/>
  <c r="M19" i="154"/>
  <c r="M37" i="154" s="1"/>
  <c r="L19" i="154"/>
  <c r="L37" i="154" s="1"/>
  <c r="K19" i="154"/>
  <c r="J19" i="154"/>
  <c r="J37" i="154" s="1"/>
  <c r="I19" i="154"/>
  <c r="E19" i="154" s="1"/>
  <c r="G19" i="154" s="1"/>
  <c r="E14" i="154"/>
  <c r="G14" i="154" s="1"/>
  <c r="E13" i="154"/>
  <c r="E12" i="154"/>
  <c r="E11" i="154"/>
  <c r="E10" i="154"/>
  <c r="G4" i="154"/>
  <c r="A3" i="154"/>
  <c r="G2" i="154"/>
  <c r="A2" i="154"/>
  <c r="K31" i="154" l="1"/>
  <c r="K37" i="154"/>
  <c r="I29" i="154"/>
  <c r="M29" i="154"/>
  <c r="I31" i="154"/>
  <c r="M31" i="154"/>
  <c r="I37" i="154"/>
  <c r="E37" i="154" s="1"/>
  <c r="G37" i="154" s="1"/>
  <c r="K29" i="154"/>
  <c r="L29" i="154"/>
  <c r="L31" i="154"/>
  <c r="J29" i="154"/>
  <c r="N29" i="154"/>
  <c r="J31" i="154"/>
  <c r="N31" i="154"/>
  <c r="E29" i="154" l="1"/>
  <c r="G29" i="154" s="1"/>
  <c r="E31" i="154"/>
  <c r="G31" i="154" s="1"/>
  <c r="G48" i="154" l="1"/>
  <c r="G52" i="154" s="1"/>
  <c r="G96" i="154" s="1"/>
  <c r="G100" i="154" s="1"/>
  <c r="G148" i="154" s="1"/>
  <c r="G152" i="154" s="1"/>
  <c r="G198" i="154" s="1"/>
  <c r="G202" i="154" s="1"/>
  <c r="G242" i="154" s="1"/>
  <c r="G246" i="154" s="1"/>
  <c r="G285" i="154" s="1"/>
  <c r="G289" i="154" s="1"/>
  <c r="G335" i="154" s="1"/>
  <c r="C18" i="37" s="1"/>
  <c r="E313" i="153" l="1"/>
  <c r="G313" i="153" s="1"/>
  <c r="E311" i="153"/>
  <c r="G311" i="153" s="1"/>
  <c r="E305" i="153"/>
  <c r="G305" i="153" s="1"/>
  <c r="E299" i="153"/>
  <c r="G299" i="153" s="1"/>
  <c r="E295" i="153"/>
  <c r="G295" i="153" s="1"/>
  <c r="E280" i="153"/>
  <c r="G280" i="153" s="1"/>
  <c r="E276" i="153"/>
  <c r="G276" i="153" s="1"/>
  <c r="E270" i="153"/>
  <c r="G270" i="153" s="1"/>
  <c r="E268" i="153"/>
  <c r="G268" i="153" s="1"/>
  <c r="E260" i="153"/>
  <c r="G260" i="153" s="1"/>
  <c r="E258" i="153"/>
  <c r="G258" i="153" s="1"/>
  <c r="E256" i="153"/>
  <c r="G256" i="153" s="1"/>
  <c r="E254" i="153"/>
  <c r="G254" i="153" s="1"/>
  <c r="E230" i="153"/>
  <c r="G230" i="153" s="1"/>
  <c r="E226" i="153"/>
  <c r="G226" i="153" s="1"/>
  <c r="E220" i="153"/>
  <c r="G220" i="153" s="1"/>
  <c r="E218" i="153"/>
  <c r="G218" i="153" s="1"/>
  <c r="F212" i="153"/>
  <c r="E212" i="153"/>
  <c r="G212" i="153" s="1"/>
  <c r="E208" i="153"/>
  <c r="G208" i="153" s="1"/>
  <c r="E194" i="153"/>
  <c r="G194" i="153" s="1"/>
  <c r="E192" i="153"/>
  <c r="G192" i="153" s="1"/>
  <c r="F190" i="153"/>
  <c r="G190" i="153" s="1"/>
  <c r="E190" i="153"/>
  <c r="E186" i="153"/>
  <c r="G186" i="153" s="1"/>
  <c r="E184" i="153"/>
  <c r="G184" i="153" s="1"/>
  <c r="E182" i="153"/>
  <c r="G182" i="153" s="1"/>
  <c r="E180" i="153"/>
  <c r="G180" i="153" s="1"/>
  <c r="E174" i="153"/>
  <c r="G174" i="153" s="1"/>
  <c r="A174" i="153"/>
  <c r="A180" i="153" s="1"/>
  <c r="A182" i="153" s="1"/>
  <c r="A184" i="153" s="1"/>
  <c r="A190" i="153" s="1"/>
  <c r="A192" i="153" s="1"/>
  <c r="A194" i="153" s="1"/>
  <c r="A208" i="153" s="1"/>
  <c r="A212" i="153" s="1"/>
  <c r="A218" i="153" s="1"/>
  <c r="A220" i="153" s="1"/>
  <c r="A226" i="153" s="1"/>
  <c r="A230" i="153" s="1"/>
  <c r="A254" i="153" s="1"/>
  <c r="A256" i="153" s="1"/>
  <c r="A258" i="153" s="1"/>
  <c r="A260" i="153" s="1"/>
  <c r="A268" i="153" s="1"/>
  <c r="A270" i="153" s="1"/>
  <c r="A276" i="153" s="1"/>
  <c r="A280" i="153" s="1"/>
  <c r="E170" i="153"/>
  <c r="G170" i="153" s="1"/>
  <c r="A170" i="153"/>
  <c r="E164" i="153"/>
  <c r="G164" i="153" s="1"/>
  <c r="A164" i="153"/>
  <c r="E162" i="153"/>
  <c r="G162" i="153" s="1"/>
  <c r="E160" i="153"/>
  <c r="G160" i="153" s="1"/>
  <c r="E158" i="153"/>
  <c r="G158" i="153" s="1"/>
  <c r="E156" i="153"/>
  <c r="G156" i="153" s="1"/>
  <c r="E138" i="153"/>
  <c r="G138" i="153" s="1"/>
  <c r="E130" i="153"/>
  <c r="G130" i="153" s="1"/>
  <c r="A130" i="153"/>
  <c r="A138" i="153" s="1"/>
  <c r="A156" i="153" s="1"/>
  <c r="A158" i="153" s="1"/>
  <c r="E126" i="153"/>
  <c r="G126" i="153" s="1"/>
  <c r="A126" i="153"/>
  <c r="E120" i="153"/>
  <c r="G120" i="153" s="1"/>
  <c r="A120" i="153"/>
  <c r="E116" i="153"/>
  <c r="G116" i="153" s="1"/>
  <c r="E114" i="153"/>
  <c r="G114" i="153" s="1"/>
  <c r="E108" i="153"/>
  <c r="G108" i="153" s="1"/>
  <c r="E104" i="153"/>
  <c r="G104" i="153" s="1"/>
  <c r="E94" i="153"/>
  <c r="G94" i="153" s="1"/>
  <c r="E92" i="153"/>
  <c r="G92" i="153" s="1"/>
  <c r="E90" i="153"/>
  <c r="G90" i="153" s="1"/>
  <c r="E88" i="153"/>
  <c r="G88" i="153" s="1"/>
  <c r="E82" i="153"/>
  <c r="G82" i="153" s="1"/>
  <c r="E72" i="153"/>
  <c r="G72" i="153" s="1"/>
  <c r="E64" i="153"/>
  <c r="G64" i="153" s="1"/>
  <c r="E60" i="153"/>
  <c r="G60" i="153" s="1"/>
  <c r="E45" i="153"/>
  <c r="G45" i="153" s="1"/>
  <c r="N41" i="153"/>
  <c r="M41" i="153"/>
  <c r="L41" i="153"/>
  <c r="K41" i="153"/>
  <c r="J41" i="153"/>
  <c r="I41" i="153"/>
  <c r="E41" i="153"/>
  <c r="G41" i="153" s="1"/>
  <c r="N25" i="153"/>
  <c r="M25" i="153"/>
  <c r="L25" i="153"/>
  <c r="K25" i="153"/>
  <c r="J25" i="153"/>
  <c r="I25" i="153"/>
  <c r="E25" i="153"/>
  <c r="G25" i="153" s="1"/>
  <c r="N21" i="153"/>
  <c r="M21" i="153"/>
  <c r="L21" i="153"/>
  <c r="K21" i="153"/>
  <c r="E21" i="153" s="1"/>
  <c r="G21" i="153" s="1"/>
  <c r="J21" i="153"/>
  <c r="I21" i="153"/>
  <c r="F21" i="153"/>
  <c r="N19" i="153"/>
  <c r="N37" i="153" s="1"/>
  <c r="M19" i="153"/>
  <c r="M37" i="153" s="1"/>
  <c r="L19" i="153"/>
  <c r="L37" i="153" s="1"/>
  <c r="K19" i="153"/>
  <c r="J19" i="153"/>
  <c r="J37" i="153" s="1"/>
  <c r="I19" i="153"/>
  <c r="E19" i="153" s="1"/>
  <c r="G19" i="153" s="1"/>
  <c r="E14" i="153"/>
  <c r="G14" i="153" s="1"/>
  <c r="E13" i="153"/>
  <c r="E12" i="153"/>
  <c r="E11" i="153"/>
  <c r="E10" i="153"/>
  <c r="G4" i="153"/>
  <c r="A3" i="153"/>
  <c r="G2" i="153"/>
  <c r="A2" i="153"/>
  <c r="K31" i="153" l="1"/>
  <c r="I29" i="153"/>
  <c r="M29" i="153"/>
  <c r="I31" i="153"/>
  <c r="M31" i="153"/>
  <c r="I37" i="153"/>
  <c r="E37" i="153" s="1"/>
  <c r="G37" i="153" s="1"/>
  <c r="K29" i="153"/>
  <c r="K37" i="153"/>
  <c r="L29" i="153"/>
  <c r="L31" i="153"/>
  <c r="J29" i="153"/>
  <c r="N29" i="153"/>
  <c r="J31" i="153"/>
  <c r="N31" i="153"/>
  <c r="E29" i="153" l="1"/>
  <c r="G29" i="153" s="1"/>
  <c r="E31" i="153"/>
  <c r="G31" i="153" s="1"/>
  <c r="G48" i="153" l="1"/>
  <c r="G52" i="153" s="1"/>
  <c r="G96" i="153" s="1"/>
  <c r="G100" i="153" s="1"/>
  <c r="G148" i="153" s="1"/>
  <c r="G152" i="153" s="1"/>
  <c r="G198" i="153" s="1"/>
  <c r="G202" i="153" s="1"/>
  <c r="G242" i="153" s="1"/>
  <c r="G246" i="153" s="1"/>
  <c r="G285" i="153" s="1"/>
  <c r="G289" i="153" s="1"/>
  <c r="G335" i="153" s="1"/>
  <c r="C16" i="37" s="1"/>
  <c r="B14" i="37" l="1"/>
  <c r="E313" i="152"/>
  <c r="G313" i="152" s="1"/>
  <c r="E311" i="152"/>
  <c r="G311" i="152" s="1"/>
  <c r="E305" i="152"/>
  <c r="G305" i="152" s="1"/>
  <c r="E299" i="152"/>
  <c r="G299" i="152" s="1"/>
  <c r="E295" i="152"/>
  <c r="G295" i="152" s="1"/>
  <c r="E280" i="152"/>
  <c r="G280" i="152" s="1"/>
  <c r="E276" i="152"/>
  <c r="G276" i="152" s="1"/>
  <c r="G270" i="152"/>
  <c r="E270" i="152"/>
  <c r="E268" i="152"/>
  <c r="G268" i="152" s="1"/>
  <c r="E260" i="152"/>
  <c r="G260" i="152" s="1"/>
  <c r="E258" i="152"/>
  <c r="G258" i="152" s="1"/>
  <c r="E256" i="152"/>
  <c r="G256" i="152" s="1"/>
  <c r="E254" i="152"/>
  <c r="G254" i="152" s="1"/>
  <c r="G230" i="152"/>
  <c r="E230" i="152"/>
  <c r="E226" i="152"/>
  <c r="G226" i="152" s="1"/>
  <c r="E220" i="152"/>
  <c r="G220" i="152" s="1"/>
  <c r="E218" i="152"/>
  <c r="G218" i="152" s="1"/>
  <c r="F212" i="152"/>
  <c r="E212" i="152"/>
  <c r="G212" i="152" s="1"/>
  <c r="G208" i="152"/>
  <c r="E208" i="152"/>
  <c r="E194" i="152"/>
  <c r="G194" i="152" s="1"/>
  <c r="E192" i="152"/>
  <c r="G192" i="152" s="1"/>
  <c r="F190" i="152"/>
  <c r="G190" i="152" s="1"/>
  <c r="E190" i="152"/>
  <c r="E186" i="152"/>
  <c r="G186" i="152" s="1"/>
  <c r="E184" i="152"/>
  <c r="G184" i="152" s="1"/>
  <c r="E182" i="152"/>
  <c r="G182" i="152" s="1"/>
  <c r="E180" i="152"/>
  <c r="G180" i="152" s="1"/>
  <c r="E174" i="152"/>
  <c r="G174" i="152" s="1"/>
  <c r="A174" i="152"/>
  <c r="A180" i="152" s="1"/>
  <c r="A182" i="152" s="1"/>
  <c r="A184" i="152" s="1"/>
  <c r="A190" i="152" s="1"/>
  <c r="A192" i="152" s="1"/>
  <c r="A194" i="152" s="1"/>
  <c r="A208" i="152" s="1"/>
  <c r="A212" i="152" s="1"/>
  <c r="A218" i="152" s="1"/>
  <c r="A220" i="152" s="1"/>
  <c r="A226" i="152" s="1"/>
  <c r="A230" i="152" s="1"/>
  <c r="A254" i="152" s="1"/>
  <c r="A256" i="152" s="1"/>
  <c r="A258" i="152" s="1"/>
  <c r="A260" i="152" s="1"/>
  <c r="A268" i="152" s="1"/>
  <c r="A270" i="152" s="1"/>
  <c r="A276" i="152" s="1"/>
  <c r="A280" i="152" s="1"/>
  <c r="E170" i="152"/>
  <c r="G170" i="152" s="1"/>
  <c r="A170" i="152"/>
  <c r="G164" i="152"/>
  <c r="E164" i="152"/>
  <c r="A164" i="152"/>
  <c r="E162" i="152"/>
  <c r="G162" i="152" s="1"/>
  <c r="E160" i="152"/>
  <c r="G160" i="152" s="1"/>
  <c r="E158" i="152"/>
  <c r="G158" i="152" s="1"/>
  <c r="E156" i="152"/>
  <c r="G156" i="152" s="1"/>
  <c r="E138" i="152"/>
  <c r="G138" i="152" s="1"/>
  <c r="E130" i="152"/>
  <c r="G130" i="152" s="1"/>
  <c r="A130" i="152"/>
  <c r="A138" i="152" s="1"/>
  <c r="A156" i="152" s="1"/>
  <c r="A158" i="152" s="1"/>
  <c r="E126" i="152"/>
  <c r="G126" i="152" s="1"/>
  <c r="A126" i="152"/>
  <c r="E120" i="152"/>
  <c r="G120" i="152" s="1"/>
  <c r="A120" i="152"/>
  <c r="E116" i="152"/>
  <c r="G116" i="152" s="1"/>
  <c r="E114" i="152"/>
  <c r="G114" i="152" s="1"/>
  <c r="E108" i="152"/>
  <c r="G108" i="152" s="1"/>
  <c r="E104" i="152"/>
  <c r="G104" i="152" s="1"/>
  <c r="E94" i="152"/>
  <c r="G94" i="152" s="1"/>
  <c r="E92" i="152"/>
  <c r="G92" i="152" s="1"/>
  <c r="E90" i="152"/>
  <c r="G90" i="152" s="1"/>
  <c r="E88" i="152"/>
  <c r="G88" i="152" s="1"/>
  <c r="E82" i="152"/>
  <c r="G82" i="152" s="1"/>
  <c r="E72" i="152"/>
  <c r="G72" i="152" s="1"/>
  <c r="E64" i="152"/>
  <c r="G64" i="152" s="1"/>
  <c r="E60" i="152"/>
  <c r="G60" i="152" s="1"/>
  <c r="E45" i="152"/>
  <c r="G45" i="152" s="1"/>
  <c r="N41" i="152"/>
  <c r="M41" i="152"/>
  <c r="L41" i="152"/>
  <c r="K41" i="152"/>
  <c r="J41" i="152"/>
  <c r="I41" i="152"/>
  <c r="E41" i="152"/>
  <c r="G41" i="152" s="1"/>
  <c r="N25" i="152"/>
  <c r="M25" i="152"/>
  <c r="L25" i="152"/>
  <c r="K25" i="152"/>
  <c r="J25" i="152"/>
  <c r="I25" i="152"/>
  <c r="E25" i="152"/>
  <c r="G25" i="152" s="1"/>
  <c r="N21" i="152"/>
  <c r="M21" i="152"/>
  <c r="L21" i="152"/>
  <c r="K21" i="152"/>
  <c r="E21" i="152" s="1"/>
  <c r="G21" i="152" s="1"/>
  <c r="J21" i="152"/>
  <c r="I21" i="152"/>
  <c r="F21" i="152"/>
  <c r="N19" i="152"/>
  <c r="N37" i="152" s="1"/>
  <c r="M19" i="152"/>
  <c r="M37" i="152" s="1"/>
  <c r="L19" i="152"/>
  <c r="L31" i="152" s="1"/>
  <c r="K19" i="152"/>
  <c r="J19" i="152"/>
  <c r="J37" i="152" s="1"/>
  <c r="I19" i="152"/>
  <c r="E19" i="152" s="1"/>
  <c r="G19" i="152" s="1"/>
  <c r="E14" i="152"/>
  <c r="G14" i="152" s="1"/>
  <c r="E13" i="152"/>
  <c r="E12" i="152"/>
  <c r="E11" i="152"/>
  <c r="E10" i="152"/>
  <c r="G4" i="152"/>
  <c r="A3" i="152"/>
  <c r="G2" i="152"/>
  <c r="A2" i="152"/>
  <c r="K31" i="152" l="1"/>
  <c r="L29" i="152"/>
  <c r="L37" i="152"/>
  <c r="I29" i="152"/>
  <c r="M29" i="152"/>
  <c r="I31" i="152"/>
  <c r="M31" i="152"/>
  <c r="I37" i="152"/>
  <c r="K29" i="152"/>
  <c r="K37" i="152"/>
  <c r="J29" i="152"/>
  <c r="N29" i="152"/>
  <c r="J31" i="152"/>
  <c r="N31" i="152"/>
  <c r="E31" i="152" l="1"/>
  <c r="G31" i="152" s="1"/>
  <c r="E37" i="152"/>
  <c r="G37" i="152" s="1"/>
  <c r="E29" i="152"/>
  <c r="G29" i="152" s="1"/>
  <c r="G48" i="152" s="1"/>
  <c r="G52" i="152" s="1"/>
  <c r="G96" i="152" s="1"/>
  <c r="G100" i="152" s="1"/>
  <c r="G148" i="152" s="1"/>
  <c r="G152" i="152" s="1"/>
  <c r="G198" i="152" s="1"/>
  <c r="G202" i="152" s="1"/>
  <c r="G242" i="152" s="1"/>
  <c r="G246" i="152" s="1"/>
  <c r="G285" i="152" s="1"/>
  <c r="G289" i="152" s="1"/>
  <c r="G335" i="152" s="1"/>
  <c r="C14" i="37" s="1"/>
  <c r="E14" i="137" l="1"/>
  <c r="K19" i="137"/>
  <c r="L19" i="137"/>
  <c r="K21" i="137"/>
  <c r="L21" i="137"/>
  <c r="K25" i="137"/>
  <c r="L25" i="137"/>
  <c r="K29" i="137"/>
  <c r="L29" i="137"/>
  <c r="K31" i="137"/>
  <c r="L31" i="137"/>
  <c r="K37" i="137"/>
  <c r="L37" i="137"/>
  <c r="K41" i="137"/>
  <c r="L41" i="137"/>
  <c r="G137" i="77" l="1"/>
  <c r="G135" i="77"/>
  <c r="G133" i="77"/>
  <c r="G131" i="77"/>
  <c r="G129" i="77"/>
  <c r="G127" i="77"/>
  <c r="G72" i="77"/>
  <c r="G70" i="77"/>
  <c r="E104" i="148"/>
  <c r="G104" i="148" s="1"/>
  <c r="E158" i="137"/>
  <c r="G158" i="137" s="1"/>
  <c r="A158" i="137"/>
  <c r="A164" i="137" s="1"/>
  <c r="E156" i="137"/>
  <c r="G156" i="137" s="1"/>
  <c r="G4" i="77"/>
  <c r="E268" i="137" l="1"/>
  <c r="G268" i="137" s="1"/>
  <c r="E132" i="137"/>
  <c r="E308" i="150" l="1"/>
  <c r="E306" i="150"/>
  <c r="E300" i="150"/>
  <c r="E294" i="150"/>
  <c r="E290" i="150"/>
  <c r="E284" i="150"/>
  <c r="E274" i="150"/>
  <c r="E268" i="150"/>
  <c r="E266" i="150"/>
  <c r="E258" i="150"/>
  <c r="E256" i="150"/>
  <c r="E254" i="150"/>
  <c r="E252" i="150"/>
  <c r="E244" i="150"/>
  <c r="E228" i="150"/>
  <c r="E222" i="150"/>
  <c r="E220" i="150"/>
  <c r="E214" i="150"/>
  <c r="E210" i="150"/>
  <c r="E204" i="150"/>
  <c r="E202" i="150"/>
  <c r="E200" i="150"/>
  <c r="E188" i="150"/>
  <c r="E186" i="150"/>
  <c r="E184" i="150"/>
  <c r="E182" i="150"/>
  <c r="E176" i="150"/>
  <c r="E172" i="150"/>
  <c r="E166" i="150"/>
  <c r="E164" i="150"/>
  <c r="E162" i="150"/>
  <c r="E160" i="150"/>
  <c r="E158" i="150"/>
  <c r="E154" i="150"/>
  <c r="E137" i="150"/>
  <c r="E133" i="150"/>
  <c r="E127" i="150"/>
  <c r="E123" i="150"/>
  <c r="E121" i="150"/>
  <c r="E115" i="150"/>
  <c r="E111" i="150"/>
  <c r="E107" i="150"/>
  <c r="E105" i="150"/>
  <c r="E103" i="150"/>
  <c r="E101" i="150"/>
  <c r="E81" i="150"/>
  <c r="E71" i="150"/>
  <c r="E63" i="150"/>
  <c r="E59" i="150"/>
  <c r="E45" i="150"/>
  <c r="E14" i="150"/>
  <c r="G14" i="150" s="1"/>
  <c r="F214" i="150"/>
  <c r="F200" i="150"/>
  <c r="F21" i="150"/>
  <c r="I41" i="150"/>
  <c r="E41" i="150" s="1"/>
  <c r="I25" i="150"/>
  <c r="E25" i="150" s="1"/>
  <c r="I21" i="150"/>
  <c r="E21" i="150" s="1"/>
  <c r="I19" i="150"/>
  <c r="G2" i="77"/>
  <c r="A2" i="77"/>
  <c r="E313" i="148"/>
  <c r="E311" i="148"/>
  <c r="E305" i="148"/>
  <c r="E299" i="148"/>
  <c r="E295" i="148"/>
  <c r="G295" i="148" s="1"/>
  <c r="E280" i="148"/>
  <c r="E276" i="148"/>
  <c r="E270" i="148"/>
  <c r="E268" i="148"/>
  <c r="E260" i="148"/>
  <c r="E258" i="148"/>
  <c r="E256" i="148"/>
  <c r="E254" i="148"/>
  <c r="E230" i="148"/>
  <c r="E226" i="148"/>
  <c r="E220" i="148"/>
  <c r="E218" i="148"/>
  <c r="E212" i="148"/>
  <c r="E208" i="148"/>
  <c r="E194" i="148"/>
  <c r="E192" i="148"/>
  <c r="E190" i="148"/>
  <c r="E186" i="148"/>
  <c r="E184" i="148"/>
  <c r="E182" i="148"/>
  <c r="E180" i="148"/>
  <c r="E174" i="148"/>
  <c r="E170" i="148"/>
  <c r="E164" i="148"/>
  <c r="E162" i="148"/>
  <c r="E160" i="148"/>
  <c r="E158" i="148"/>
  <c r="E156" i="148"/>
  <c r="E138" i="148"/>
  <c r="E130" i="148"/>
  <c r="E126" i="148"/>
  <c r="E116" i="148"/>
  <c r="E114" i="148"/>
  <c r="E108" i="148"/>
  <c r="E94" i="148"/>
  <c r="E92" i="148"/>
  <c r="E90" i="148"/>
  <c r="E88" i="148"/>
  <c r="E82" i="148"/>
  <c r="E72" i="148"/>
  <c r="E64" i="148"/>
  <c r="E60" i="148"/>
  <c r="E45" i="148"/>
  <c r="E14" i="148"/>
  <c r="F212" i="148"/>
  <c r="F190" i="148"/>
  <c r="F21" i="148"/>
  <c r="N41" i="148"/>
  <c r="N25" i="148"/>
  <c r="N21" i="148"/>
  <c r="N19" i="148"/>
  <c r="M41" i="148"/>
  <c r="M25" i="148"/>
  <c r="M21" i="148"/>
  <c r="M19" i="148"/>
  <c r="L41" i="148"/>
  <c r="L25" i="148"/>
  <c r="L21" i="148"/>
  <c r="L19" i="148"/>
  <c r="K41" i="148"/>
  <c r="K25" i="148"/>
  <c r="K21" i="148"/>
  <c r="K19" i="148"/>
  <c r="J41" i="148"/>
  <c r="J25" i="148"/>
  <c r="J21" i="148"/>
  <c r="J19" i="148"/>
  <c r="I41" i="148"/>
  <c r="I25" i="148"/>
  <c r="I21" i="148"/>
  <c r="I19" i="148"/>
  <c r="I21" i="137"/>
  <c r="I19" i="137"/>
  <c r="F21" i="137"/>
  <c r="J29" i="148" l="1"/>
  <c r="K37" i="148"/>
  <c r="L37" i="148"/>
  <c r="M31" i="148"/>
  <c r="M29" i="148"/>
  <c r="E41" i="148"/>
  <c r="E19" i="148"/>
  <c r="E21" i="148"/>
  <c r="E25" i="148"/>
  <c r="I29" i="150"/>
  <c r="E29" i="150" s="1"/>
  <c r="I37" i="150"/>
  <c r="E37" i="150" s="1"/>
  <c r="I31" i="150"/>
  <c r="E31" i="150" s="1"/>
  <c r="N37" i="148"/>
  <c r="I31" i="148"/>
  <c r="K29" i="148"/>
  <c r="L29" i="148"/>
  <c r="N29" i="148"/>
  <c r="N31" i="148"/>
  <c r="M37" i="148"/>
  <c r="L31" i="148"/>
  <c r="K31" i="148"/>
  <c r="J31" i="148"/>
  <c r="J37" i="148"/>
  <c r="I37" i="148"/>
  <c r="I29" i="148"/>
  <c r="F198" i="137"/>
  <c r="F184" i="137"/>
  <c r="E29" i="148" l="1"/>
  <c r="E37" i="148"/>
  <c r="J19" i="137"/>
  <c r="J21" i="137"/>
  <c r="J25" i="137"/>
  <c r="J41" i="137"/>
  <c r="I41" i="137"/>
  <c r="I25" i="137"/>
  <c r="E21" i="137" l="1"/>
  <c r="E19" i="137"/>
  <c r="J31" i="137"/>
  <c r="J29" i="137"/>
  <c r="J37" i="137"/>
  <c r="I37" i="137"/>
  <c r="I29" i="137"/>
  <c r="I31" i="137"/>
  <c r="E29" i="137" l="1"/>
  <c r="B12" i="37"/>
  <c r="B10" i="37"/>
  <c r="E299" i="137"/>
  <c r="E297" i="137"/>
  <c r="E278" i="137"/>
  <c r="E272" i="137"/>
  <c r="E262" i="137"/>
  <c r="E258" i="137"/>
  <c r="E252" i="137"/>
  <c r="E250" i="137"/>
  <c r="E236" i="137"/>
  <c r="E234" i="137"/>
  <c r="E232" i="137"/>
  <c r="E230" i="137"/>
  <c r="E222" i="137"/>
  <c r="E218" i="137"/>
  <c r="E212" i="137"/>
  <c r="E210" i="137"/>
  <c r="E198" i="137"/>
  <c r="E194" i="137"/>
  <c r="E188" i="137"/>
  <c r="E186" i="137"/>
  <c r="E184" i="137"/>
  <c r="E180" i="137"/>
  <c r="E178" i="137"/>
  <c r="E176" i="137"/>
  <c r="E174" i="137"/>
  <c r="E168" i="137"/>
  <c r="E164" i="137"/>
  <c r="E148" i="137"/>
  <c r="E146" i="137"/>
  <c r="E144" i="137"/>
  <c r="E140" i="137"/>
  <c r="E128" i="137"/>
  <c r="E122" i="137"/>
  <c r="E118" i="137"/>
  <c r="E116" i="137"/>
  <c r="E110" i="137"/>
  <c r="E106" i="137"/>
  <c r="E96" i="137"/>
  <c r="E94" i="137"/>
  <c r="E92" i="137"/>
  <c r="E90" i="137"/>
  <c r="E84" i="137"/>
  <c r="E74" i="137"/>
  <c r="E66" i="137"/>
  <c r="E62" i="137"/>
  <c r="E45" i="137"/>
  <c r="E41" i="137"/>
  <c r="E37" i="137"/>
  <c r="E31" i="137"/>
  <c r="E25" i="137"/>
  <c r="G308" i="150"/>
  <c r="G306" i="150"/>
  <c r="G300" i="150"/>
  <c r="G294" i="150"/>
  <c r="G290" i="150"/>
  <c r="G284" i="150"/>
  <c r="G274" i="150"/>
  <c r="G268" i="150"/>
  <c r="G266" i="150"/>
  <c r="G258" i="150"/>
  <c r="G256" i="150"/>
  <c r="G254" i="150"/>
  <c r="G252" i="150"/>
  <c r="G244" i="150"/>
  <c r="G228" i="150"/>
  <c r="G222" i="150"/>
  <c r="G220" i="150"/>
  <c r="G214" i="150"/>
  <c r="G210" i="150"/>
  <c r="G204" i="150"/>
  <c r="G202" i="150"/>
  <c r="G200" i="150"/>
  <c r="G188" i="150"/>
  <c r="G186" i="150"/>
  <c r="G184" i="150"/>
  <c r="G182" i="150"/>
  <c r="G176" i="150"/>
  <c r="G172" i="150"/>
  <c r="G166" i="150"/>
  <c r="A166" i="150"/>
  <c r="A172" i="150" s="1"/>
  <c r="A176" i="150" s="1"/>
  <c r="A182" i="150" s="1"/>
  <c r="A184" i="150" s="1"/>
  <c r="A186" i="150" s="1"/>
  <c r="A200" i="150" s="1"/>
  <c r="A202" i="150" s="1"/>
  <c r="A204" i="150" s="1"/>
  <c r="A210" i="150" s="1"/>
  <c r="A214" i="150" s="1"/>
  <c r="A220" i="150" s="1"/>
  <c r="A222" i="150" s="1"/>
  <c r="A228" i="150" s="1"/>
  <c r="A244" i="150" s="1"/>
  <c r="A252" i="150" s="1"/>
  <c r="A254" i="150" s="1"/>
  <c r="A256" i="150" s="1"/>
  <c r="A258" i="150" s="1"/>
  <c r="A266" i="150" s="1"/>
  <c r="A268" i="150" s="1"/>
  <c r="A274" i="150" s="1"/>
  <c r="A284" i="150" s="1"/>
  <c r="G164" i="150"/>
  <c r="G162" i="150"/>
  <c r="G160" i="150"/>
  <c r="G158" i="150"/>
  <c r="G154" i="150"/>
  <c r="G137" i="150"/>
  <c r="G133" i="150"/>
  <c r="G127" i="150"/>
  <c r="A127" i="150"/>
  <c r="A133" i="150" s="1"/>
  <c r="A137" i="150" s="1"/>
  <c r="A154" i="150" s="1"/>
  <c r="A158" i="150" s="1"/>
  <c r="A160" i="150" s="1"/>
  <c r="G123" i="150"/>
  <c r="G121" i="150"/>
  <c r="G115" i="150"/>
  <c r="G111" i="150"/>
  <c r="G107" i="150"/>
  <c r="G105" i="150"/>
  <c r="G103" i="150"/>
  <c r="G101" i="150"/>
  <c r="G81" i="150"/>
  <c r="G71" i="150"/>
  <c r="G63" i="150"/>
  <c r="G59" i="150"/>
  <c r="G45" i="150"/>
  <c r="G41" i="150"/>
  <c r="G37" i="150"/>
  <c r="G31" i="150"/>
  <c r="G29" i="150"/>
  <c r="G25" i="150"/>
  <c r="G21" i="150"/>
  <c r="E19" i="150"/>
  <c r="G19" i="150" s="1"/>
  <c r="G4" i="150"/>
  <c r="A3" i="150"/>
  <c r="G2" i="150"/>
  <c r="A2" i="150"/>
  <c r="G47" i="150" l="1"/>
  <c r="G51" i="150" s="1"/>
  <c r="G91" i="150" l="1"/>
  <c r="G95" i="150" s="1"/>
  <c r="G142" i="150" s="1"/>
  <c r="G146" i="150" s="1"/>
  <c r="G313" i="148"/>
  <c r="G311" i="148"/>
  <c r="G305" i="148"/>
  <c r="G299" i="148"/>
  <c r="G280" i="148"/>
  <c r="G276" i="148"/>
  <c r="G270" i="148"/>
  <c r="G268" i="148"/>
  <c r="G260" i="148"/>
  <c r="G258" i="148"/>
  <c r="G256" i="148"/>
  <c r="G254" i="148"/>
  <c r="G230" i="148"/>
  <c r="G226" i="148"/>
  <c r="G220" i="148"/>
  <c r="G218" i="148"/>
  <c r="G212" i="148"/>
  <c r="G208" i="148"/>
  <c r="G194" i="148"/>
  <c r="G192" i="148"/>
  <c r="G190" i="148"/>
  <c r="G186" i="148"/>
  <c r="G184" i="148"/>
  <c r="G182" i="148"/>
  <c r="G180" i="148"/>
  <c r="G174" i="148"/>
  <c r="G170" i="148"/>
  <c r="G164" i="148"/>
  <c r="A164" i="148"/>
  <c r="A170" i="148" s="1"/>
  <c r="A174" i="148" s="1"/>
  <c r="A180" i="148" s="1"/>
  <c r="A182" i="148" s="1"/>
  <c r="A184" i="148" s="1"/>
  <c r="A190" i="148" s="1"/>
  <c r="A192" i="148" s="1"/>
  <c r="A194" i="148" s="1"/>
  <c r="A208" i="148" s="1"/>
  <c r="A212" i="148" s="1"/>
  <c r="A218" i="148" s="1"/>
  <c r="A220" i="148" s="1"/>
  <c r="A226" i="148" s="1"/>
  <c r="A230" i="148" s="1"/>
  <c r="A254" i="148" s="1"/>
  <c r="A256" i="148" s="1"/>
  <c r="A258" i="148" s="1"/>
  <c r="A260" i="148" s="1"/>
  <c r="A268" i="148" s="1"/>
  <c r="A270" i="148" s="1"/>
  <c r="A276" i="148" s="1"/>
  <c r="A280" i="148" s="1"/>
  <c r="G162" i="148"/>
  <c r="G160" i="148"/>
  <c r="G158" i="148"/>
  <c r="G156" i="148"/>
  <c r="G138" i="148"/>
  <c r="G130" i="148"/>
  <c r="G126" i="148"/>
  <c r="E120" i="148"/>
  <c r="G120" i="148" s="1"/>
  <c r="A120" i="148"/>
  <c r="A126" i="148" s="1"/>
  <c r="A130" i="148" s="1"/>
  <c r="A138" i="148" s="1"/>
  <c r="A156" i="148" s="1"/>
  <c r="A158" i="148" s="1"/>
  <c r="G116" i="148"/>
  <c r="G114" i="148"/>
  <c r="G108" i="148"/>
  <c r="G94" i="148"/>
  <c r="G92" i="148"/>
  <c r="G90" i="148"/>
  <c r="G88" i="148"/>
  <c r="G82" i="148"/>
  <c r="G72" i="148"/>
  <c r="G64" i="148"/>
  <c r="G60" i="148"/>
  <c r="G45" i="148"/>
  <c r="G41" i="148"/>
  <c r="G37" i="148"/>
  <c r="E31" i="148"/>
  <c r="G31" i="148" s="1"/>
  <c r="G29" i="148"/>
  <c r="G25" i="148"/>
  <c r="G21" i="148"/>
  <c r="G19" i="148"/>
  <c r="G14" i="148"/>
  <c r="E13" i="148"/>
  <c r="E12" i="148"/>
  <c r="E11" i="148"/>
  <c r="E10" i="148"/>
  <c r="G4" i="148"/>
  <c r="A3" i="148"/>
  <c r="G2" i="148"/>
  <c r="A2" i="148"/>
  <c r="G299" i="137"/>
  <c r="G297" i="137"/>
  <c r="G278" i="137"/>
  <c r="G272" i="137"/>
  <c r="G192" i="150" l="1"/>
  <c r="G48" i="148"/>
  <c r="G52" i="148" s="1"/>
  <c r="G196" i="150" l="1"/>
  <c r="G96" i="148"/>
  <c r="G100" i="148" s="1"/>
  <c r="G148" i="148" s="1"/>
  <c r="A168" i="137"/>
  <c r="A174" i="137" s="1"/>
  <c r="A176" i="137" s="1"/>
  <c r="A178" i="137" s="1"/>
  <c r="A184" i="137" s="1"/>
  <c r="A186" i="137" s="1"/>
  <c r="A188" i="137" s="1"/>
  <c r="A194" i="137" s="1"/>
  <c r="A198" i="137" s="1"/>
  <c r="A210" i="137" s="1"/>
  <c r="A212" i="137" s="1"/>
  <c r="A218" i="137" s="1"/>
  <c r="A222" i="137" s="1"/>
  <c r="A230" i="137" s="1"/>
  <c r="A232" i="137" s="1"/>
  <c r="A234" i="137" s="1"/>
  <c r="A236" i="137" s="1"/>
  <c r="A250" i="137" s="1"/>
  <c r="A252" i="137" s="1"/>
  <c r="A258" i="137" s="1"/>
  <c r="A262" i="137" s="1"/>
  <c r="A122" i="137"/>
  <c r="A128" i="137" s="1"/>
  <c r="A132" i="137" s="1"/>
  <c r="A140" i="137" s="1"/>
  <c r="A144" i="137" s="1"/>
  <c r="A146" i="137" s="1"/>
  <c r="G74" i="137"/>
  <c r="G62" i="137"/>
  <c r="G262" i="137"/>
  <c r="G180" i="137"/>
  <c r="G176" i="137"/>
  <c r="G45" i="137"/>
  <c r="G258" i="137"/>
  <c r="G252" i="137"/>
  <c r="G250" i="137"/>
  <c r="G236" i="137"/>
  <c r="G234" i="137"/>
  <c r="G232" i="137"/>
  <c r="G230" i="137"/>
  <c r="G222" i="137"/>
  <c r="G218" i="137"/>
  <c r="G198" i="137"/>
  <c r="G194" i="137"/>
  <c r="G188" i="137"/>
  <c r="G186" i="137"/>
  <c r="G184" i="137"/>
  <c r="G178" i="137"/>
  <c r="G174" i="137"/>
  <c r="G168" i="137"/>
  <c r="G132" i="137"/>
  <c r="G122" i="137"/>
  <c r="G118" i="137"/>
  <c r="G116" i="137"/>
  <c r="G66" i="137"/>
  <c r="E13" i="137"/>
  <c r="E12" i="137"/>
  <c r="E11" i="137"/>
  <c r="E10" i="137"/>
  <c r="G4" i="137"/>
  <c r="A3" i="137"/>
  <c r="G2" i="137"/>
  <c r="A2" i="137"/>
  <c r="G236" i="150" l="1"/>
  <c r="G240" i="150" s="1"/>
  <c r="G152" i="148"/>
  <c r="G84" i="137"/>
  <c r="G128" i="137"/>
  <c r="G148" i="137"/>
  <c r="G92" i="137"/>
  <c r="G146" i="137"/>
  <c r="G110" i="137"/>
  <c r="G106" i="137"/>
  <c r="G90" i="137"/>
  <c r="G94" i="137"/>
  <c r="G144" i="137"/>
  <c r="G96" i="137"/>
  <c r="G164" i="137"/>
  <c r="G140" i="137"/>
  <c r="G210" i="137"/>
  <c r="G276" i="150" l="1"/>
  <c r="G280" i="150" s="1"/>
  <c r="G327" i="150" s="1"/>
  <c r="C42" i="37" s="1"/>
  <c r="G198" i="148"/>
  <c r="G25" i="137"/>
  <c r="G212" i="137"/>
  <c r="G41" i="137"/>
  <c r="G21" i="137"/>
  <c r="G14" i="137"/>
  <c r="G202" i="148" l="1"/>
  <c r="G31" i="137"/>
  <c r="G29" i="137"/>
  <c r="G37" i="137"/>
  <c r="G19" i="137"/>
  <c r="G50" i="137" l="1"/>
  <c r="G54" i="137" s="1"/>
  <c r="G98" i="137" s="1"/>
  <c r="G102" i="137" s="1"/>
  <c r="G150" i="137" s="1"/>
  <c r="G242" i="148"/>
  <c r="G246" i="148" s="1"/>
  <c r="G285" i="148" s="1"/>
  <c r="G289" i="148" l="1"/>
  <c r="G335" i="148" s="1"/>
  <c r="G154" i="137"/>
  <c r="C12" i="37" l="1"/>
  <c r="G200" i="137"/>
  <c r="G204" i="137" s="1"/>
  <c r="G112" i="77"/>
  <c r="G19" i="77"/>
  <c r="G116" i="77"/>
  <c r="G114" i="77"/>
  <c r="G21" i="77"/>
  <c r="G155" i="77"/>
  <c r="G153" i="77"/>
  <c r="G102" i="77"/>
  <c r="G100" i="77"/>
  <c r="G51" i="77"/>
  <c r="G49" i="77"/>
  <c r="G43" i="77"/>
  <c r="G238" i="137" l="1"/>
  <c r="G242" i="137" s="1"/>
  <c r="G161" i="77"/>
  <c r="G151" i="77"/>
  <c r="G149" i="77"/>
  <c r="G147" i="77"/>
  <c r="G145" i="77"/>
  <c r="G143" i="77"/>
  <c r="G141" i="77"/>
  <c r="G139" i="77"/>
  <c r="G106" i="77"/>
  <c r="G98" i="77"/>
  <c r="G96" i="77"/>
  <c r="G94" i="77"/>
  <c r="G92" i="77"/>
  <c r="G90" i="77"/>
  <c r="G88" i="77"/>
  <c r="G86" i="77"/>
  <c r="G84" i="77"/>
  <c r="G82" i="77"/>
  <c r="G80" i="77"/>
  <c r="G78" i="77"/>
  <c r="G76" i="77"/>
  <c r="G55" i="77"/>
  <c r="G47" i="77"/>
  <c r="G45" i="77"/>
  <c r="G41" i="77"/>
  <c r="G39" i="77"/>
  <c r="G37" i="77"/>
  <c r="G35" i="77"/>
  <c r="G33" i="77"/>
  <c r="G31" i="77"/>
  <c r="G29" i="77"/>
  <c r="G27" i="77"/>
  <c r="G25" i="77"/>
  <c r="G13" i="77"/>
  <c r="G287" i="137" l="1"/>
  <c r="G291" i="137" s="1"/>
  <c r="G332" i="137" s="1"/>
  <c r="G60" i="77"/>
  <c r="G64" i="77" s="1"/>
  <c r="G119" i="77" l="1"/>
  <c r="G123" i="77" s="1"/>
  <c r="C10" i="37"/>
</calcChain>
</file>

<file path=xl/sharedStrings.xml><?xml version="1.0" encoding="utf-8"?>
<sst xmlns="http://schemas.openxmlformats.org/spreadsheetml/2006/main" count="5512" uniqueCount="319">
  <si>
    <t xml:space="preserve">Restricted excavation </t>
  </si>
  <si>
    <t>m</t>
  </si>
  <si>
    <t>t</t>
  </si>
  <si>
    <t xml:space="preserve">High Tensile Welded Mesh </t>
  </si>
  <si>
    <t xml:space="preserve">SCHEDULED CONCRETE ITEMS </t>
  </si>
  <si>
    <t xml:space="preserve">Blinding layer in: </t>
  </si>
  <si>
    <t>No</t>
  </si>
  <si>
    <t xml:space="preserve">Miscellaneous work </t>
  </si>
  <si>
    <t>ITEM NO</t>
  </si>
  <si>
    <t>PAY REF</t>
  </si>
  <si>
    <t>DESCRIPTION</t>
  </si>
  <si>
    <t>UNIT</t>
  </si>
  <si>
    <t>RATE</t>
  </si>
  <si>
    <t>AMOUNT</t>
  </si>
  <si>
    <t>Depth up to 2m</t>
  </si>
  <si>
    <t xml:space="preserve">SCHEDULED FORMWORK ITEMS </t>
  </si>
  <si>
    <t xml:space="preserve">Rough: </t>
  </si>
  <si>
    <t xml:space="preserve">Vertical formwork to: </t>
  </si>
  <si>
    <t xml:space="preserve">SCHEDULED REINFORCING ITEMS </t>
  </si>
  <si>
    <t xml:space="preserve">High-tensile steel bars in the following: </t>
  </si>
  <si>
    <t xml:space="preserve">JOINTS </t>
  </si>
  <si>
    <t xml:space="preserve">Horizontal </t>
  </si>
  <si>
    <t>SANS 1200F</t>
  </si>
  <si>
    <t>PSF 8.2.20</t>
  </si>
  <si>
    <t>50mm Thickness</t>
  </si>
  <si>
    <t>Importing of materials</t>
  </si>
  <si>
    <t>Smooth</t>
  </si>
  <si>
    <t>Surface beds including thickenings</t>
  </si>
  <si>
    <t>Bases</t>
  </si>
  <si>
    <t>Top of surface beds</t>
  </si>
  <si>
    <t xml:space="preserve">GROUTING </t>
  </si>
  <si>
    <t>Under bases (or beds):</t>
  </si>
  <si>
    <t>Non-shrink grout</t>
  </si>
  <si>
    <t>0m up to 10m</t>
  </si>
  <si>
    <t>10m up to 20m</t>
  </si>
  <si>
    <t>Strip / cut heads off:</t>
  </si>
  <si>
    <t>Box Out Holes / Form Voids:</t>
  </si>
  <si>
    <t>0m up to and including 0,5m</t>
  </si>
  <si>
    <t xml:space="preserve">Piles </t>
  </si>
  <si>
    <t xml:space="preserve">Sides of walls </t>
  </si>
  <si>
    <t>Hold Down Bolts, etc.:</t>
  </si>
  <si>
    <t xml:space="preserve">FIXED CHARGE ITEMS </t>
  </si>
  <si>
    <t>SUM</t>
  </si>
  <si>
    <t xml:space="preserve">Establishment of Facilities on the Site </t>
  </si>
  <si>
    <t xml:space="preserve">Facilities for Contractor </t>
  </si>
  <si>
    <t>Dealing with water</t>
  </si>
  <si>
    <t>Insurance</t>
  </si>
  <si>
    <t xml:space="preserve">TIME RELATED ITEMS </t>
  </si>
  <si>
    <t xml:space="preserve">Supervision for duration of construction. </t>
  </si>
  <si>
    <t xml:space="preserve">Company and head office overhead costs for duration of construction. </t>
  </si>
  <si>
    <t xml:space="preserve">TEMPORARY WORKS </t>
  </si>
  <si>
    <t>m3</t>
  </si>
  <si>
    <t>Plant</t>
  </si>
  <si>
    <t>Contractual requirements (excluding insurance and performance bond)</t>
  </si>
  <si>
    <t>Soilcrete backfill under structures as indicated on the drawings or directed by the Engineer</t>
  </si>
  <si>
    <t>Move equipment and setup:</t>
  </si>
  <si>
    <t>Concrete for cast-in-situ piles, under reams and sockets:</t>
  </si>
  <si>
    <t>(The aggregate of soilcrete shall be mixed with 5% cement of volume and shall consist of approved soil or gravel containing stones, obtained from commercial sources, not bigger than 38mm and with a plasticity index not exceeding 10)</t>
  </si>
  <si>
    <t>Hold Down Bolts, Commercial "Grade 4.6, Tensile Strength fu = 365Mpa":</t>
  </si>
  <si>
    <t>QTY</t>
  </si>
  <si>
    <t>m2</t>
  </si>
  <si>
    <t>Excavation for restricted foundations in all materials and dispose spoil material at a site provided by the Contractor</t>
  </si>
  <si>
    <t>Retaining walls</t>
  </si>
  <si>
    <t>HOLD DOWN BOLTS AND MISCELLANEOUS METALWORK (SUPPLIED BY THE CONTRACTOR):</t>
  </si>
  <si>
    <t/>
  </si>
  <si>
    <t>PRELIMINARY AND GENERAL</t>
  </si>
  <si>
    <t>CARRIED FORWARD</t>
  </si>
  <si>
    <t>BROUGHT FORWARD</t>
  </si>
  <si>
    <t>Damp-proof or Vapour Barrier:</t>
  </si>
  <si>
    <t>PILING (BORED PILES)</t>
  </si>
  <si>
    <t>SECTION</t>
  </si>
  <si>
    <t>Steel reinforcement in cast-in-situ piles:</t>
  </si>
  <si>
    <t>All diameters</t>
  </si>
  <si>
    <t>Ref.395 mesh reinforcement</t>
  </si>
  <si>
    <t xml:space="preserve">Class 15Mpa/19mm: </t>
  </si>
  <si>
    <t>Supply and spread a 75mm thick bitumen, cement and sand mix under all tank bases. (9% Non-toxic cut back bitumen / 10% Portland / Cement / 81% Clean dry washed sand)</t>
  </si>
  <si>
    <t>Forming of Bulbous bases:</t>
  </si>
  <si>
    <t>For DCS piles of 610mm diameter</t>
  </si>
  <si>
    <t>Steel door and frame:</t>
  </si>
  <si>
    <t>EARTHWORKS</t>
  </si>
  <si>
    <t>GEORGE BIOMASS POWER PLANT</t>
  </si>
  <si>
    <t xml:space="preserve">  </t>
  </si>
  <si>
    <t>8.2.1</t>
  </si>
  <si>
    <t>8.3.4</t>
  </si>
  <si>
    <t>8.3.1</t>
  </si>
  <si>
    <t>8.4.1</t>
  </si>
  <si>
    <t>8.2.2</t>
  </si>
  <si>
    <t>8.3.3</t>
  </si>
  <si>
    <t>8.2</t>
  </si>
  <si>
    <t>8.2.5</t>
  </si>
  <si>
    <t>8.2.6</t>
  </si>
  <si>
    <t>8.3</t>
  </si>
  <si>
    <t>8.3.2</t>
  </si>
  <si>
    <t>8.4</t>
  </si>
  <si>
    <t>8.4.2</t>
  </si>
  <si>
    <t>8.4.3</t>
  </si>
  <si>
    <t>8.4.4</t>
  </si>
  <si>
    <t>8.5</t>
  </si>
  <si>
    <t>8.7</t>
  </si>
  <si>
    <t>8.8</t>
  </si>
  <si>
    <t>SANS 1200D</t>
  </si>
  <si>
    <t>SANS 1200G</t>
  </si>
  <si>
    <t>PD.04</t>
  </si>
  <si>
    <t>PD.08</t>
  </si>
  <si>
    <t xml:space="preserve">Grooves, chases and splayes: </t>
  </si>
  <si>
    <t>SANS 1200HA</t>
  </si>
  <si>
    <t>25mm x 25mm Chamfers</t>
  </si>
  <si>
    <t>TOTAL AMOUNT CARRIED TO LETTER OF TENDER (VAT EXCLUDED)</t>
  </si>
  <si>
    <t>Backfill with G5 material compacted to 93% MOD AASHTO from commercial sources selected by the Contractor</t>
  </si>
  <si>
    <t>Extra over item for importation of materials from commercial sources:</t>
  </si>
  <si>
    <t>AMOUNT
(R)</t>
  </si>
  <si>
    <t>Extra overs on Item  above for:</t>
  </si>
  <si>
    <t xml:space="preserve">230mm thick, Non-facing: </t>
  </si>
  <si>
    <t>SUMMARY - BILL OF QUANTITIES</t>
  </si>
  <si>
    <t xml:space="preserve">Offices and storage sheds. </t>
  </si>
  <si>
    <t xml:space="preserve">Workshops. </t>
  </si>
  <si>
    <t xml:space="preserve">Laboratories. </t>
  </si>
  <si>
    <t xml:space="preserve">Living accommodation. </t>
  </si>
  <si>
    <t xml:space="preserve">Ablution and latrine facilities. </t>
  </si>
  <si>
    <t xml:space="preserve">Tools and equipment. </t>
  </si>
  <si>
    <t>Access</t>
  </si>
  <si>
    <t xml:space="preserve">Other fixed charge obligations. </t>
  </si>
  <si>
    <t xml:space="preserve">Removal of site establishment. </t>
  </si>
  <si>
    <t xml:space="preserve">VALUE RELATED ITEMS </t>
  </si>
  <si>
    <t xml:space="preserve">Other value related obligations. </t>
  </si>
  <si>
    <t xml:space="preserve">Other time related obligations. </t>
  </si>
  <si>
    <t>8.3.2.2</t>
  </si>
  <si>
    <t>8.3.2.2a</t>
  </si>
  <si>
    <t>8.3.2.2b</t>
  </si>
  <si>
    <t>8.3.2.2c</t>
  </si>
  <si>
    <t>8.3.2.2d</t>
  </si>
  <si>
    <t>8.3.2.2e</t>
  </si>
  <si>
    <t>8.3.2.2f</t>
  </si>
  <si>
    <t>8.3.2.2g</t>
  </si>
  <si>
    <t>8.3.2.2h</t>
  </si>
  <si>
    <t>8.3.2.2i</t>
  </si>
  <si>
    <t>8.3.2.2j</t>
  </si>
  <si>
    <t>8.4.2.2</t>
  </si>
  <si>
    <t>8.4.2.2a</t>
  </si>
  <si>
    <t>8.4.2.2b</t>
  </si>
  <si>
    <t>8.4.2.2c</t>
  </si>
  <si>
    <t>8.4.2.2d</t>
  </si>
  <si>
    <t>8.4.2.2e</t>
  </si>
  <si>
    <t>8.4.2.2f</t>
  </si>
  <si>
    <t>8.4.2.2g</t>
  </si>
  <si>
    <t>8.4.2.2h</t>
  </si>
  <si>
    <t>8.4.2.2i</t>
  </si>
  <si>
    <t>8.4.2.2j</t>
  </si>
  <si>
    <t>8.4.5</t>
  </si>
  <si>
    <t>SANS 1200A</t>
  </si>
  <si>
    <t xml:space="preserve"> (Applicable to the whole of the Works)</t>
  </si>
  <si>
    <t>Water supplies, electric power and  communications</t>
  </si>
  <si>
    <t xml:space="preserve">Operation and Maintenance of Facilities on Site, for Duration of Construction, (unless otherwise stated) </t>
  </si>
  <si>
    <t>Water supplies, electric power and communications</t>
  </si>
  <si>
    <t xml:space="preserve">SUMS STATED PROVISIONALLY BY ENGINEER </t>
  </si>
  <si>
    <t>CONCRETE (STRUCTURAL)</t>
  </si>
  <si>
    <t>Narrow Widths (up to 300mm wide):</t>
  </si>
  <si>
    <t>SECTION 1 - PRELIMINARY AND GENERAL</t>
  </si>
  <si>
    <t>Class 30Mpa/19mm in:</t>
  </si>
  <si>
    <t>Unformed Surface Finishes</t>
  </si>
  <si>
    <t>Wood-floated finish to:</t>
  </si>
  <si>
    <t>TOTAL AMOUNT FOR SECTION CARRIED TO SUMMARY</t>
  </si>
  <si>
    <t xml:space="preserve">8.3.3 </t>
  </si>
  <si>
    <t>Rip and scarify in-situ material for a depth of 150mm, breaking down oversize material, adding suitable material where necessary and compact to 93% Mod AASHTO density</t>
  </si>
  <si>
    <t>Brickwork:</t>
  </si>
  <si>
    <t>15 mm thick, steel-float finish</t>
  </si>
  <si>
    <t>Doors and windows:</t>
  </si>
  <si>
    <t xml:space="preserve">PD 10.8 </t>
  </si>
  <si>
    <t>Miscellaneous work:</t>
  </si>
  <si>
    <t xml:space="preserve">PD 10.8.1 </t>
  </si>
  <si>
    <t>Two coats Acrylic Emulsion Paint:</t>
  </si>
  <si>
    <t xml:space="preserve">PD 10.8.1a </t>
  </si>
  <si>
    <t>Plastered walls</t>
  </si>
  <si>
    <t>1200D</t>
  </si>
  <si>
    <t xml:space="preserve">Plant </t>
  </si>
  <si>
    <t>PSA 8.3.5</t>
  </si>
  <si>
    <t>Performance Bond</t>
  </si>
  <si>
    <t>Excavation by hand in soft material to expose existing services</t>
  </si>
  <si>
    <t>PSA 8.4.7</t>
  </si>
  <si>
    <t>PSA 8.4.6</t>
  </si>
  <si>
    <t>PSA 8.3.6</t>
  </si>
  <si>
    <t>8.3.2.1c</t>
  </si>
  <si>
    <t>Facilities for Engineer</t>
  </si>
  <si>
    <t>8.3.2.1a</t>
  </si>
  <si>
    <t>Survey assistants and material</t>
  </si>
  <si>
    <t>8.4.2.1</t>
  </si>
  <si>
    <t>8.4.2.1a</t>
  </si>
  <si>
    <t>8.4.2.1c</t>
  </si>
  <si>
    <t>8.4.2.1d</t>
  </si>
  <si>
    <t>8.3.2.1</t>
  </si>
  <si>
    <t>Furnished Office (1 No)</t>
  </si>
  <si>
    <t>Nameboard (1 No).</t>
  </si>
  <si>
    <t>SECTION 1 - BILL OF QUANTITIES</t>
  </si>
  <si>
    <t>PSG 8.11</t>
  </si>
  <si>
    <t>Plasterwork:</t>
  </si>
  <si>
    <t>PSG 8.12</t>
  </si>
  <si>
    <t xml:space="preserve">Power-floated finish to: </t>
  </si>
  <si>
    <t>250 Micron damp-proof sheeting (vapour barrier) under surface beds</t>
  </si>
  <si>
    <t>Joints in walls:</t>
  </si>
  <si>
    <t>Joint A (Expansion joint in wall)</t>
  </si>
  <si>
    <t>Joint E (Contraction joint in wall)</t>
  </si>
  <si>
    <t>Sides of stub-columns / columns</t>
  </si>
  <si>
    <t>Stub-columns / Columns</t>
  </si>
  <si>
    <t>Purpose made single door (type CV) suitable for 230mm thick walls including approved padlock. (Door size : 44mm x 813mm x 2032mm)</t>
  </si>
  <si>
    <t>STRUCTURAL STEELWORK (SUNDRY ITEMS)</t>
  </si>
  <si>
    <t>Handrails  (Hot-Dip Galvanised)</t>
  </si>
  <si>
    <t>8.3.2b</t>
  </si>
  <si>
    <t>Handrail assembly complete, angle section type galvanised mild steel system with side fixed stanchions to steel complete with bolts, etc.</t>
  </si>
  <si>
    <t>8.3.2b.1</t>
  </si>
  <si>
    <t>8.3.2b.3</t>
  </si>
  <si>
    <t xml:space="preserve">Shaped ends     </t>
  </si>
  <si>
    <t>Supply, deliver and install a galvanised industrial solid shutter chain operated roller door fixed to steelwork (5m x 5m high opening)</t>
  </si>
  <si>
    <t>Concrete Coatings:</t>
  </si>
  <si>
    <t>Joints in surface beds:</t>
  </si>
  <si>
    <t>Joint E1 (Contraction joint in wall)</t>
  </si>
  <si>
    <t>Ground Beams</t>
  </si>
  <si>
    <t>Paintwork (Refer to Manufacturer's Specifications for primers, undercoats etc):</t>
  </si>
  <si>
    <t>Sikafloor CureHard - 24 applied by specialist contractor strictly according to manufacturer's specifications</t>
  </si>
  <si>
    <t>Move equipment to and set up each pile position for heavy bored cast-in-situ piles (610mm diameter)</t>
  </si>
  <si>
    <t>Bored holes for cast-in-situ piles of 610mm diameter (heavy) through material situated in the following successive depth ranges:</t>
  </si>
  <si>
    <t>Compressive Strength 30Mpa/19mm</t>
  </si>
  <si>
    <t>Bore Holes for Piles:</t>
  </si>
  <si>
    <t>High yield stress steel</t>
  </si>
  <si>
    <t xml:space="preserve">Mild steel, Plain </t>
  </si>
  <si>
    <t>Sides of bases</t>
  </si>
  <si>
    <t>Small, other than circular, of area up to and including 0.15m2, and in the following depth ranges:</t>
  </si>
  <si>
    <t>Over 0.5m up to 1m</t>
  </si>
  <si>
    <t xml:space="preserve">48mm diameter x 1 125mm long holding down bolts cast 1 000mm deep into the concrete with 150mm x 150mm x 12mm plate welded 10mm from the one end and M48 x 150mm long thread on the other end </t>
  </si>
  <si>
    <t>Cast-in concrete wall a 200mm diameter puddle flange pipe</t>
  </si>
  <si>
    <t>Install puddle pipes (100 to 400 diameter)</t>
  </si>
  <si>
    <t>Cast in Items:</t>
  </si>
  <si>
    <t>Bitumen / Cement / Sand Mix:</t>
  </si>
  <si>
    <t>Supply, cut, bend, hoist or lower level, place and fix as follows:</t>
  </si>
  <si>
    <t>50 x 50 x 5mm Angle iron frame with 20 x 5mm (250mm long) lugs welded at 450mm centres with split and spread ends cast into concrete edges</t>
  </si>
  <si>
    <t>Mentis type RS40 or equal approved</t>
  </si>
  <si>
    <t>Open grid floors  non-skid galvanised mild steel grating in  suitable panel sizes with 40mm spacing  both ways and 40 x 4,5mm bearer bar sizes</t>
  </si>
  <si>
    <t>Flooring complete and installed with frames:</t>
  </si>
  <si>
    <t>Joints (B) - Expansion Joint and waterstop in floor or footing</t>
  </si>
  <si>
    <t>Joints (D) - Expansion Joint and waterstop in floor or footing</t>
  </si>
  <si>
    <t xml:space="preserve">Joints (D1) - Saw Cut Joint in floor </t>
  </si>
  <si>
    <t xml:space="preserve">16mm diameter x 520mm long holding down bolts cast 410mm deep into the concrete with 70mm x 70mm x 12mm plate welded 10mm from the one end and M20 x 110mm long thread on the other end </t>
  </si>
  <si>
    <t>Supply and install HDPE 160mm diameter cast in pipe</t>
  </si>
  <si>
    <t>Supply, and fix in position with all necessary templates (rates to include for the supply and fabrication of templates) and cast into concrete the following Hot-Dip Galvanized items:</t>
  </si>
  <si>
    <t>Joints (H) - Isolation Joint and waterstop in floor or footing</t>
  </si>
  <si>
    <t xml:space="preserve">Over 100mm and up to 200mm </t>
  </si>
  <si>
    <t>Surface Beds</t>
  </si>
  <si>
    <t>Pile Caps</t>
  </si>
  <si>
    <t>Elevated Slab</t>
  </si>
  <si>
    <t>Horisontal Formwork</t>
  </si>
  <si>
    <t>Soffits - 8m high</t>
  </si>
  <si>
    <t>Elevated Slabs</t>
  </si>
  <si>
    <t>SECTION 5 - BILL OF QUANTITIES</t>
  </si>
  <si>
    <t>SECTION 4 - BILL OF QUANTITIES</t>
  </si>
  <si>
    <t>SECTION 3 - BILL OF QUANTITIES</t>
  </si>
  <si>
    <t>SECTION 2 - BILL OF QUANTITIES</t>
  </si>
  <si>
    <t>Surface Bed</t>
  </si>
  <si>
    <t>Building Works</t>
  </si>
  <si>
    <t>Pump Plinths</t>
  </si>
  <si>
    <t>Move equipment to and set up each pile position for heavy bored cast-in-situ piles (610mm Pile diameter)</t>
  </si>
  <si>
    <t>610mm diameter bored pile</t>
  </si>
  <si>
    <t>Revision T1</t>
  </si>
  <si>
    <t>PILING AND CIVIL WORK</t>
  </si>
  <si>
    <t>SECTION 6 - BILL OF QUANTITIES</t>
  </si>
  <si>
    <t>NAFASI WATER - ARNOT WASTE TREATMENT PLANT</t>
  </si>
  <si>
    <t>RO BUILDING</t>
  </si>
  <si>
    <t>Foundations</t>
  </si>
  <si>
    <t>CHEMICAL STORE</t>
  </si>
  <si>
    <t>WORKSHOP BUILDING</t>
  </si>
  <si>
    <t>MCC 2 BUILDING FOUNDATIONS</t>
  </si>
  <si>
    <t>OZONE BUILDING FOUNDATIONS</t>
  </si>
  <si>
    <t>SECTION 7 - BILL OF QUANTITIES</t>
  </si>
  <si>
    <t>WATER TANKS FOUNDATIONS</t>
  </si>
  <si>
    <t>Sump</t>
  </si>
  <si>
    <t>SECTION 8 - BILL OF QUANTITIES</t>
  </si>
  <si>
    <t>SULPHERIC TANKS BUNDED AREA</t>
  </si>
  <si>
    <t>Retaining Wall</t>
  </si>
  <si>
    <t>Plinths</t>
  </si>
  <si>
    <t>SECTION 9 - BILL OF QUANTITIES</t>
  </si>
  <si>
    <t>CHEMICAL DOSING BUNDED AREA</t>
  </si>
  <si>
    <t>SECTION 10 - BILL OF QUANTITIES</t>
  </si>
  <si>
    <t>S1 TANK BUNDED AREA</t>
  </si>
  <si>
    <t>Tank Plints</t>
  </si>
  <si>
    <t>Pump Plints</t>
  </si>
  <si>
    <t>SECTION 11 - BILL OF QUANTITIES</t>
  </si>
  <si>
    <t>LIME SYSTEM BUNDED AREA</t>
  </si>
  <si>
    <t xml:space="preserve">Joints (C) - Construction Joint </t>
  </si>
  <si>
    <t>Supply, deliver and install a galvanised industrial solid shutter chain operated roller door fixed to steelwork (3.5m x 3.5m high opening)</t>
  </si>
  <si>
    <t>MIXED SLURRY BUNDED AREA</t>
  </si>
  <si>
    <t>SECTION 12 - BILL OF QUANTITIES</t>
  </si>
  <si>
    <t>SECTION 13 - BILL OF QUANTITIES</t>
  </si>
  <si>
    <t>CENTRIFUGE BUNDED AREA</t>
  </si>
  <si>
    <t>SECTION 14 - BILL OF QUANTITIES</t>
  </si>
  <si>
    <t>STOCKPILE AND CRANE HARDSTANDS</t>
  </si>
  <si>
    <t>SECTION 16 - BILL OF QUANTITIES</t>
  </si>
  <si>
    <t>STAGE 1 AND STAGE 2 CLARIFIERS</t>
  </si>
  <si>
    <t>Bund Walls</t>
  </si>
  <si>
    <t>Sumps</t>
  </si>
  <si>
    <t>BRINE TREATMENT PLANT</t>
  </si>
  <si>
    <t>SECTION 17 - BILL OF QUANTITIES</t>
  </si>
  <si>
    <t>TRANSFORMER BUNDED AREA</t>
  </si>
  <si>
    <t>Transformer Plinths</t>
  </si>
  <si>
    <t>SECTION 18 - BILL OF QUANTITIES</t>
  </si>
  <si>
    <t>WEIGH BRIDGE</t>
  </si>
  <si>
    <t>SECTION 19 - BILL OF QUANTITIES</t>
  </si>
  <si>
    <t>PIPERACKS AND STAIRCASES</t>
  </si>
  <si>
    <t>Piperacks</t>
  </si>
  <si>
    <t>Staircases</t>
  </si>
  <si>
    <t>SECTION 20 - BILL OF QUANTITIES</t>
  </si>
  <si>
    <t>GATEHOUSE</t>
  </si>
  <si>
    <t>Complete amount of works required to construct structure</t>
  </si>
  <si>
    <t>Complete works:</t>
  </si>
  <si>
    <t>SECTION 21 - BILL OF QUANTITIES</t>
  </si>
  <si>
    <t>CHANGEHOUSE AND ABLUTIONS</t>
  </si>
  <si>
    <t>SECTION 22 - BILL OF QUANTITIES</t>
  </si>
  <si>
    <t>COMPRESSED AIR BUILDING</t>
  </si>
  <si>
    <t>SECTION 23 - BILL OF QUANTITIES</t>
  </si>
  <si>
    <t>OFFICE BUILDING</t>
  </si>
  <si>
    <t>MCC 1 BUILDING</t>
  </si>
  <si>
    <t>SECTION 24 - BILL OF QUANTITIES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</si>
</sst>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 &quot;R&quot;\ * #,##0.00_ ;_ &quot;R&quot;\ * \-#,##0.00_ ;_ &quot;R&quot;\ * &quot;-&quot;??_ ;_ @_ "/>
    <numFmt numFmtId="166" formatCode="_ * #,##0.00_ ;_ * \-#,##0.00_ ;_ * &quot;-&quot;??_ ;_ @_ "/>
    <numFmt numFmtId="167" formatCode="&quot;Section&quot;\ General"/>
    <numFmt numFmtId="168" formatCode="0.0"/>
    <numFmt numFmtId="169" formatCode="&quot;R&quot;\ #,##0"/>
    <numFmt numFmtId="170" formatCode="yyyy/mm/dd;@"/>
    <numFmt numFmtId="171" formatCode="[$-1C09]dd\ mmm\ yyyy;@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0"/>
      <name val="Times New Roman"/>
      <family val="1"/>
    </font>
    <font>
      <sz val="10"/>
      <name val="Arial"/>
      <family val="2"/>
    </font>
    <font>
      <sz val="12"/>
      <name val="Arial MT"/>
    </font>
    <font>
      <b/>
      <i/>
      <sz val="9"/>
      <name val="Arial"/>
      <family val="2"/>
    </font>
    <font>
      <sz val="11"/>
      <color theme="1"/>
      <name val="Arial"/>
      <family val="2"/>
    </font>
    <font>
      <u/>
      <sz val="10"/>
      <name val="Times New Roman"/>
      <family val="1"/>
    </font>
    <font>
      <sz val="8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u/>
      <sz val="9"/>
      <name val="Calibri"/>
      <family val="2"/>
      <scheme val="minor"/>
    </font>
    <font>
      <u/>
      <sz val="9"/>
      <name val="Calibri"/>
      <family val="2"/>
      <scheme val="minor"/>
    </font>
    <font>
      <b/>
      <sz val="8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3" fontId="19" fillId="0" borderId="0" applyFont="0" applyFill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166" fontId="20" fillId="0" borderId="0" applyFon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19" fillId="0" borderId="0"/>
    <xf numFmtId="0" fontId="21" fillId="34" borderId="18" applyBorder="0" applyAlignment="0">
      <alignment horizontal="center" vertical="center" wrapText="1"/>
    </xf>
    <xf numFmtId="0" fontId="22" fillId="0" borderId="0"/>
    <xf numFmtId="0" fontId="23" fillId="0" borderId="0"/>
    <xf numFmtId="0" fontId="1" fillId="0" borderId="0"/>
    <xf numFmtId="0" fontId="25" fillId="0" borderId="0"/>
    <xf numFmtId="43" fontId="19" fillId="0" borderId="0" applyFont="0" applyFill="0" applyBorder="0" applyAlignment="0" applyProtection="0"/>
    <xf numFmtId="0" fontId="19" fillId="0" borderId="0"/>
  </cellStyleXfs>
  <cellXfs count="160">
    <xf numFmtId="0" fontId="0" fillId="0" borderId="0" xfId="0"/>
    <xf numFmtId="0" fontId="27" fillId="0" borderId="11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3" fontId="27" fillId="0" borderId="11" xfId="0" applyNumberFormat="1" applyFont="1" applyBorder="1" applyAlignment="1">
      <alignment horizontal="center" vertical="center" wrapText="1"/>
    </xf>
    <xf numFmtId="4" fontId="27" fillId="0" borderId="11" xfId="0" applyNumberFormat="1" applyFont="1" applyBorder="1" applyAlignment="1">
      <alignment horizontal="center" vertical="center" wrapText="1"/>
    </xf>
    <xf numFmtId="41" fontId="27" fillId="0" borderId="11" xfId="0" applyNumberFormat="1" applyFont="1" applyBorder="1" applyAlignment="1">
      <alignment horizontal="right" vertical="center" wrapText="1"/>
    </xf>
    <xf numFmtId="0" fontId="27" fillId="0" borderId="0" xfId="0" applyFont="1" applyAlignment="1">
      <alignment vertical="center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0" fontId="27" fillId="0" borderId="11" xfId="0" applyFont="1" applyBorder="1" applyAlignment="1">
      <alignment horizontal="center" vertical="center"/>
    </xf>
    <xf numFmtId="0" fontId="29" fillId="0" borderId="0" xfId="0" applyFont="1" applyAlignment="1">
      <alignment horizontal="left" vertical="center" wrapText="1"/>
    </xf>
    <xf numFmtId="0" fontId="28" fillId="0" borderId="0" xfId="0" applyFont="1" applyAlignment="1">
      <alignment vertical="center" wrapText="1"/>
    </xf>
    <xf numFmtId="0" fontId="27" fillId="33" borderId="11" xfId="0" applyFont="1" applyFill="1" applyBorder="1" applyAlignment="1">
      <alignment horizontal="center" vertical="center"/>
    </xf>
    <xf numFmtId="3" fontId="27" fillId="33" borderId="11" xfId="0" applyNumberFormat="1" applyFont="1" applyFill="1" applyBorder="1" applyAlignment="1">
      <alignment horizontal="center" vertical="center" wrapText="1"/>
    </xf>
    <xf numFmtId="4" fontId="27" fillId="33" borderId="11" xfId="0" applyNumberFormat="1" applyFont="1" applyFill="1" applyBorder="1" applyAlignment="1">
      <alignment horizontal="center" vertical="center" wrapText="1"/>
    </xf>
    <xf numFmtId="41" fontId="27" fillId="33" borderId="11" xfId="0" applyNumberFormat="1" applyFont="1" applyFill="1" applyBorder="1" applyAlignment="1">
      <alignment horizontal="right" vertical="center" wrapText="1"/>
    </xf>
    <xf numFmtId="0" fontId="27" fillId="33" borderId="11" xfId="0" applyFont="1" applyFill="1" applyBorder="1" applyAlignment="1">
      <alignment horizontal="center" vertical="center" wrapText="1"/>
    </xf>
    <xf numFmtId="0" fontId="27" fillId="33" borderId="0" xfId="0" applyFont="1" applyFill="1" applyAlignment="1">
      <alignment horizontal="left" vertical="center" wrapText="1"/>
    </xf>
    <xf numFmtId="0" fontId="27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0" fontId="27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/>
    </xf>
    <xf numFmtId="4" fontId="27" fillId="0" borderId="0" xfId="0" applyNumberFormat="1" applyFont="1" applyAlignment="1">
      <alignment horizontal="right" vertical="center"/>
    </xf>
    <xf numFmtId="4" fontId="26" fillId="0" borderId="0" xfId="0" applyNumberFormat="1" applyFont="1" applyAlignment="1">
      <alignment horizontal="center" vertical="center" wrapText="1"/>
    </xf>
    <xf numFmtId="4" fontId="27" fillId="0" borderId="0" xfId="0" applyNumberFormat="1" applyFont="1" applyAlignment="1">
      <alignment vertical="center"/>
    </xf>
    <xf numFmtId="0" fontId="26" fillId="0" borderId="0" xfId="0" applyFont="1" applyAlignment="1">
      <alignment horizontal="centerContinuous" vertical="center" wrapText="1"/>
    </xf>
    <xf numFmtId="0" fontId="27" fillId="0" borderId="0" xfId="0" applyFont="1" applyAlignment="1">
      <alignment horizontal="centerContinuous" vertical="center" wrapText="1"/>
    </xf>
    <xf numFmtId="0" fontId="26" fillId="0" borderId="0" xfId="0" applyFont="1" applyAlignment="1">
      <alignment horizontal="center" vertical="center"/>
    </xf>
    <xf numFmtId="4" fontId="26" fillId="0" borderId="0" xfId="0" applyNumberFormat="1" applyFont="1" applyAlignment="1">
      <alignment horizontal="center" vertical="center"/>
    </xf>
    <xf numFmtId="0" fontId="28" fillId="0" borderId="0" xfId="42" applyFont="1" applyAlignment="1">
      <alignment horizontal="left" vertical="center" wrapText="1"/>
    </xf>
    <xf numFmtId="0" fontId="26" fillId="0" borderId="11" xfId="0" applyFont="1" applyBorder="1" applyAlignment="1">
      <alignment vertical="center" wrapText="1"/>
    </xf>
    <xf numFmtId="0" fontId="27" fillId="0" borderId="11" xfId="0" applyFont="1" applyBorder="1" applyAlignment="1">
      <alignment vertical="center" wrapText="1"/>
    </xf>
    <xf numFmtId="0" fontId="28" fillId="0" borderId="11" xfId="0" applyFont="1" applyBorder="1" applyAlignment="1">
      <alignment vertical="center" wrapText="1"/>
    </xf>
    <xf numFmtId="0" fontId="27" fillId="0" borderId="12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9" fillId="0" borderId="11" xfId="0" applyFont="1" applyBorder="1" applyAlignment="1">
      <alignment vertical="center" wrapText="1"/>
    </xf>
    <xf numFmtId="0" fontId="27" fillId="0" borderId="14" xfId="0" applyFont="1" applyBorder="1" applyAlignment="1">
      <alignment vertical="center" wrapText="1"/>
    </xf>
    <xf numFmtId="0" fontId="26" fillId="0" borderId="0" xfId="0" applyFont="1" applyAlignment="1">
      <alignment vertical="center" wrapText="1"/>
    </xf>
    <xf numFmtId="0" fontId="26" fillId="0" borderId="11" xfId="0" applyFont="1" applyBorder="1" applyAlignment="1">
      <alignment horizontal="center" vertical="center"/>
    </xf>
    <xf numFmtId="0" fontId="27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4" fontId="27" fillId="0" borderId="11" xfId="0" applyNumberFormat="1" applyFont="1" applyBorder="1" applyAlignment="1">
      <alignment vertical="center"/>
    </xf>
    <xf numFmtId="0" fontId="26" fillId="0" borderId="10" xfId="0" applyFont="1" applyBorder="1" applyAlignment="1">
      <alignment horizontal="center" vertical="center" wrapText="1"/>
    </xf>
    <xf numFmtId="3" fontId="27" fillId="0" borderId="11" xfId="0" applyNumberFormat="1" applyFont="1" applyBorder="1" applyAlignment="1">
      <alignment horizontal="center" vertical="center"/>
    </xf>
    <xf numFmtId="0" fontId="26" fillId="33" borderId="11" xfId="0" applyFont="1" applyFill="1" applyBorder="1" applyAlignment="1">
      <alignment vertical="center" wrapText="1"/>
    </xf>
    <xf numFmtId="0" fontId="27" fillId="33" borderId="11" xfId="0" applyFont="1" applyFill="1" applyBorder="1" applyAlignment="1">
      <alignment vertical="center" wrapText="1"/>
    </xf>
    <xf numFmtId="0" fontId="26" fillId="0" borderId="10" xfId="0" applyFont="1" applyBorder="1" applyAlignment="1">
      <alignment horizontal="center" vertical="center"/>
    </xf>
    <xf numFmtId="4" fontId="26" fillId="0" borderId="10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7" fillId="0" borderId="11" xfId="57" applyFont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27" fillId="0" borderId="14" xfId="0" applyFont="1" applyBorder="1" applyAlignment="1">
      <alignment horizontal="center" vertical="center"/>
    </xf>
    <xf numFmtId="4" fontId="26" fillId="0" borderId="11" xfId="0" applyNumberFormat="1" applyFont="1" applyBorder="1" applyAlignment="1">
      <alignment horizontal="center" vertical="center"/>
    </xf>
    <xf numFmtId="0" fontId="27" fillId="33" borderId="11" xfId="0" applyFont="1" applyFill="1" applyBorder="1" applyAlignment="1">
      <alignment horizontal="left" vertical="center" wrapText="1"/>
    </xf>
    <xf numFmtId="0" fontId="26" fillId="0" borderId="11" xfId="0" applyFont="1" applyBorder="1" applyAlignment="1">
      <alignment vertical="center"/>
    </xf>
    <xf numFmtId="0" fontId="27" fillId="0" borderId="11" xfId="0" applyFont="1" applyBorder="1" applyAlignment="1">
      <alignment vertical="center"/>
    </xf>
    <xf numFmtId="0" fontId="27" fillId="33" borderId="12" xfId="0" applyFont="1" applyFill="1" applyBorder="1" applyAlignment="1">
      <alignment horizontal="center" vertical="center" wrapText="1"/>
    </xf>
    <xf numFmtId="0" fontId="26" fillId="33" borderId="0" xfId="0" applyFont="1" applyFill="1" applyAlignment="1">
      <alignment horizontal="left" vertical="center"/>
    </xf>
    <xf numFmtId="0" fontId="27" fillId="33" borderId="0" xfId="0" applyFont="1" applyFill="1" applyAlignment="1">
      <alignment horizontal="center" vertical="center" wrapText="1"/>
    </xf>
    <xf numFmtId="0" fontId="27" fillId="33" borderId="0" xfId="0" applyFont="1" applyFill="1" applyAlignment="1">
      <alignment horizontal="center" vertical="center"/>
    </xf>
    <xf numFmtId="0" fontId="27" fillId="33" borderId="0" xfId="0" applyFont="1" applyFill="1" applyAlignment="1">
      <alignment vertical="center"/>
    </xf>
    <xf numFmtId="0" fontId="26" fillId="33" borderId="0" xfId="0" applyFont="1" applyFill="1" applyAlignment="1">
      <alignment horizontal="left" vertical="top"/>
    </xf>
    <xf numFmtId="0" fontId="27" fillId="33" borderId="0" xfId="0" applyFont="1" applyFill="1" applyAlignment="1">
      <alignment horizontal="center" vertical="top" wrapText="1"/>
    </xf>
    <xf numFmtId="0" fontId="27" fillId="33" borderId="0" xfId="0" applyFont="1" applyFill="1" applyAlignment="1">
      <alignment horizontal="center" vertical="top"/>
    </xf>
    <xf numFmtId="4" fontId="27" fillId="33" borderId="0" xfId="0" applyNumberFormat="1" applyFont="1" applyFill="1" applyAlignment="1">
      <alignment horizontal="center" vertical="top"/>
    </xf>
    <xf numFmtId="4" fontId="26" fillId="33" borderId="0" xfId="0" applyNumberFormat="1" applyFont="1" applyFill="1" applyAlignment="1">
      <alignment horizontal="center" vertical="top" wrapText="1"/>
    </xf>
    <xf numFmtId="4" fontId="27" fillId="33" borderId="0" xfId="0" applyNumberFormat="1" applyFont="1" applyFill="1" applyAlignment="1">
      <alignment vertical="top"/>
    </xf>
    <xf numFmtId="0" fontId="26" fillId="33" borderId="10" xfId="0" applyFont="1" applyFill="1" applyBorder="1" applyAlignment="1">
      <alignment horizontal="center" vertical="center" wrapText="1"/>
    </xf>
    <xf numFmtId="0" fontId="26" fillId="33" borderId="0" xfId="0" applyFont="1" applyFill="1" applyAlignment="1">
      <alignment vertical="center"/>
    </xf>
    <xf numFmtId="0" fontId="26" fillId="33" borderId="0" xfId="0" applyFont="1" applyFill="1" applyAlignment="1">
      <alignment horizontal="center" vertical="center" wrapText="1"/>
    </xf>
    <xf numFmtId="0" fontId="27" fillId="33" borderId="14" xfId="0" applyFont="1" applyFill="1" applyBorder="1" applyAlignment="1">
      <alignment horizontal="center" vertical="center"/>
    </xf>
    <xf numFmtId="0" fontId="26" fillId="33" borderId="11" xfId="0" applyFont="1" applyFill="1" applyBorder="1" applyAlignment="1">
      <alignment horizontal="center" vertical="center"/>
    </xf>
    <xf numFmtId="0" fontId="26" fillId="33" borderId="11" xfId="0" applyFont="1" applyFill="1" applyBorder="1" applyAlignment="1">
      <alignment vertical="center"/>
    </xf>
    <xf numFmtId="0" fontId="27" fillId="33" borderId="11" xfId="0" applyFont="1" applyFill="1" applyBorder="1" applyAlignment="1">
      <alignment vertical="center"/>
    </xf>
    <xf numFmtId="0" fontId="27" fillId="33" borderId="11" xfId="0" applyFont="1" applyFill="1" applyBorder="1" applyAlignment="1">
      <alignment horizontal="left" vertical="center"/>
    </xf>
    <xf numFmtId="41" fontId="27" fillId="33" borderId="11" xfId="0" applyNumberFormat="1" applyFont="1" applyFill="1" applyBorder="1" applyAlignment="1">
      <alignment vertical="center"/>
    </xf>
    <xf numFmtId="41" fontId="26" fillId="33" borderId="10" xfId="0" applyNumberFormat="1" applyFont="1" applyFill="1" applyBorder="1" applyAlignment="1">
      <alignment vertical="center"/>
    </xf>
    <xf numFmtId="167" fontId="28" fillId="33" borderId="0" xfId="0" applyNumberFormat="1" applyFont="1" applyFill="1" applyAlignment="1">
      <alignment horizontal="center" wrapText="1"/>
    </xf>
    <xf numFmtId="0" fontId="28" fillId="33" borderId="0" xfId="0" applyFont="1" applyFill="1" applyAlignment="1">
      <alignment wrapText="1"/>
    </xf>
    <xf numFmtId="166" fontId="27" fillId="33" borderId="0" xfId="0" applyNumberFormat="1" applyFont="1" applyFill="1" applyAlignment="1">
      <alignment vertical="center" wrapText="1"/>
    </xf>
    <xf numFmtId="166" fontId="27" fillId="33" borderId="0" xfId="0" applyNumberFormat="1" applyFont="1" applyFill="1" applyAlignment="1">
      <alignment horizontal="center" vertical="center" wrapText="1"/>
    </xf>
    <xf numFmtId="0" fontId="27" fillId="33" borderId="0" xfId="0" applyFont="1" applyFill="1"/>
    <xf numFmtId="0" fontId="26" fillId="33" borderId="16" xfId="0" applyFont="1" applyFill="1" applyBorder="1" applyAlignment="1">
      <alignment horizontal="center" vertical="center" wrapText="1"/>
    </xf>
    <xf numFmtId="0" fontId="26" fillId="33" borderId="19" xfId="0" applyFont="1" applyFill="1" applyBorder="1" applyAlignment="1">
      <alignment horizontal="center" vertical="center" wrapText="1"/>
    </xf>
    <xf numFmtId="41" fontId="26" fillId="33" borderId="19" xfId="0" applyNumberFormat="1" applyFont="1" applyFill="1" applyBorder="1" applyAlignment="1">
      <alignment vertical="center" wrapText="1"/>
    </xf>
    <xf numFmtId="41" fontId="27" fillId="33" borderId="13" xfId="0" applyNumberFormat="1" applyFont="1" applyFill="1" applyBorder="1" applyAlignment="1">
      <alignment vertical="center"/>
    </xf>
    <xf numFmtId="169" fontId="27" fillId="33" borderId="0" xfId="0" applyNumberFormat="1" applyFont="1" applyFill="1" applyAlignment="1">
      <alignment horizontal="center" vertical="center"/>
    </xf>
    <xf numFmtId="168" fontId="27" fillId="33" borderId="0" xfId="0" applyNumberFormat="1" applyFont="1" applyFill="1" applyAlignment="1">
      <alignment horizontal="center" vertical="center" textRotation="90" wrapText="1"/>
    </xf>
    <xf numFmtId="0" fontId="27" fillId="33" borderId="0" xfId="0" applyFont="1" applyFill="1" applyAlignment="1">
      <alignment wrapText="1"/>
    </xf>
    <xf numFmtId="0" fontId="27" fillId="33" borderId="0" xfId="0" applyFont="1" applyFill="1" applyAlignment="1">
      <alignment horizontal="center"/>
    </xf>
    <xf numFmtId="4" fontId="26" fillId="0" borderId="0" xfId="0" applyNumberFormat="1" applyFont="1" applyAlignment="1">
      <alignment vertical="center"/>
    </xf>
    <xf numFmtId="0" fontId="27" fillId="33" borderId="12" xfId="0" applyFont="1" applyFill="1" applyBorder="1" applyAlignment="1">
      <alignment horizontal="center" vertical="center"/>
    </xf>
    <xf numFmtId="3" fontId="27" fillId="33" borderId="11" xfId="0" applyNumberFormat="1" applyFont="1" applyFill="1" applyBorder="1" applyAlignment="1">
      <alignment horizontal="center" vertical="center"/>
    </xf>
    <xf numFmtId="0" fontId="29" fillId="33" borderId="11" xfId="0" applyFont="1" applyFill="1" applyBorder="1" applyAlignment="1">
      <alignment vertical="center"/>
    </xf>
    <xf numFmtId="164" fontId="26" fillId="0" borderId="0" xfId="0" applyNumberFormat="1" applyFont="1" applyAlignment="1">
      <alignment horizontal="center" vertical="center" wrapText="1"/>
    </xf>
    <xf numFmtId="164" fontId="27" fillId="0" borderId="0" xfId="0" applyNumberFormat="1" applyFont="1" applyAlignment="1">
      <alignment vertical="center"/>
    </xf>
    <xf numFmtId="164" fontId="27" fillId="0" borderId="11" xfId="0" applyNumberFormat="1" applyFont="1" applyBorder="1" applyAlignment="1">
      <alignment horizontal="right" vertical="center" wrapText="1"/>
    </xf>
    <xf numFmtId="164" fontId="27" fillId="0" borderId="11" xfId="0" applyNumberFormat="1" applyFont="1" applyBorder="1" applyAlignment="1">
      <alignment vertical="center"/>
    </xf>
    <xf numFmtId="0" fontId="30" fillId="0" borderId="10" xfId="0" applyFont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1" fontId="27" fillId="0" borderId="12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10" fontId="27" fillId="33" borderId="0" xfId="0" applyNumberFormat="1" applyFont="1" applyFill="1" applyAlignment="1">
      <alignment horizontal="right" vertical="center"/>
    </xf>
    <xf numFmtId="41" fontId="26" fillId="0" borderId="10" xfId="0" applyNumberFormat="1" applyFont="1" applyBorder="1" applyAlignment="1">
      <alignment horizontal="center" vertical="center"/>
    </xf>
    <xf numFmtId="41" fontId="26" fillId="0" borderId="0" xfId="0" applyNumberFormat="1" applyFont="1" applyAlignment="1">
      <alignment horizontal="center" vertical="center"/>
    </xf>
    <xf numFmtId="41" fontId="26" fillId="0" borderId="0" xfId="0" applyNumberFormat="1" applyFont="1" applyAlignment="1">
      <alignment vertical="center"/>
    </xf>
    <xf numFmtId="0" fontId="27" fillId="0" borderId="11" xfId="0" applyFont="1" applyBorder="1" applyAlignment="1">
      <alignment horizontal="left" vertical="center"/>
    </xf>
    <xf numFmtId="41" fontId="27" fillId="0" borderId="11" xfId="0" applyNumberFormat="1" applyFont="1" applyBorder="1" applyAlignment="1">
      <alignment vertical="center"/>
    </xf>
    <xf numFmtId="41" fontId="26" fillId="0" borderId="10" xfId="0" applyNumberFormat="1" applyFont="1" applyBorder="1" applyAlignment="1">
      <alignment vertical="center"/>
    </xf>
    <xf numFmtId="0" fontId="27" fillId="0" borderId="14" xfId="0" applyFont="1" applyBorder="1" applyAlignment="1">
      <alignment horizontal="left" vertical="center"/>
    </xf>
    <xf numFmtId="4" fontId="27" fillId="0" borderId="14" xfId="0" applyNumberFormat="1" applyFont="1" applyBorder="1" applyAlignment="1">
      <alignment vertical="center"/>
    </xf>
    <xf numFmtId="41" fontId="27" fillId="0" borderId="14" xfId="0" applyNumberFormat="1" applyFont="1" applyBorder="1" applyAlignment="1">
      <alignment vertical="center"/>
    </xf>
    <xf numFmtId="0" fontId="26" fillId="0" borderId="19" xfId="0" applyFont="1" applyBorder="1" applyAlignment="1">
      <alignment vertical="center" wrapText="1"/>
    </xf>
    <xf numFmtId="41" fontId="26" fillId="0" borderId="11" xfId="0" applyNumberFormat="1" applyFont="1" applyBorder="1" applyAlignment="1">
      <alignment horizontal="center" vertical="center"/>
    </xf>
    <xf numFmtId="1" fontId="27" fillId="0" borderId="11" xfId="0" applyNumberFormat="1" applyFont="1" applyBorder="1" applyAlignment="1">
      <alignment vertical="center"/>
    </xf>
    <xf numFmtId="0" fontId="26" fillId="0" borderId="0" xfId="0" applyFont="1"/>
    <xf numFmtId="0" fontId="27" fillId="0" borderId="0" xfId="0" applyFont="1"/>
    <xf numFmtId="0" fontId="27" fillId="0" borderId="0" xfId="0" applyFont="1" applyAlignment="1">
      <alignment wrapText="1"/>
    </xf>
    <xf numFmtId="164" fontId="26" fillId="0" borderId="10" xfId="0" applyNumberFormat="1" applyFont="1" applyBorder="1" applyAlignment="1">
      <alignment horizontal="center" vertical="center"/>
    </xf>
    <xf numFmtId="164" fontId="26" fillId="0" borderId="10" xfId="0" applyNumberFormat="1" applyFont="1" applyBorder="1" applyAlignment="1">
      <alignment horizontal="left" vertical="center"/>
    </xf>
    <xf numFmtId="164" fontId="26" fillId="0" borderId="0" xfId="0" applyNumberFormat="1" applyFont="1" applyAlignment="1">
      <alignment horizontal="left" vertical="center"/>
    </xf>
    <xf numFmtId="4" fontId="26" fillId="0" borderId="0" xfId="0" applyNumberFormat="1" applyFont="1" applyAlignment="1">
      <alignment horizontal="left" vertical="center"/>
    </xf>
    <xf numFmtId="164" fontId="26" fillId="0" borderId="10" xfId="0" applyNumberFormat="1" applyFont="1" applyBorder="1" applyAlignment="1">
      <alignment vertical="center"/>
    </xf>
    <xf numFmtId="164" fontId="26" fillId="0" borderId="0" xfId="0" applyNumberFormat="1" applyFont="1" applyAlignment="1">
      <alignment vertical="center"/>
    </xf>
    <xf numFmtId="164" fontId="27" fillId="0" borderId="0" xfId="0" applyNumberFormat="1" applyFont="1" applyAlignment="1">
      <alignment horizontal="center" vertical="center"/>
    </xf>
    <xf numFmtId="3" fontId="27" fillId="33" borderId="11" xfId="0" applyNumberFormat="1" applyFont="1" applyFill="1" applyBorder="1" applyAlignment="1">
      <alignment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7" fillId="35" borderId="11" xfId="0" applyFont="1" applyFill="1" applyBorder="1" applyAlignment="1">
      <alignment horizontal="center" vertical="center"/>
    </xf>
    <xf numFmtId="3" fontId="31" fillId="35" borderId="11" xfId="0" applyNumberFormat="1" applyFont="1" applyFill="1" applyBorder="1" applyAlignment="1">
      <alignment horizontal="center" vertical="center" wrapText="1"/>
    </xf>
    <xf numFmtId="3" fontId="27" fillId="36" borderId="11" xfId="0" applyNumberFormat="1" applyFont="1" applyFill="1" applyBorder="1" applyAlignment="1">
      <alignment horizontal="center" vertical="center" wrapText="1"/>
    </xf>
    <xf numFmtId="4" fontId="27" fillId="36" borderId="11" xfId="0" applyNumberFormat="1" applyFont="1" applyFill="1" applyBorder="1" applyAlignment="1">
      <alignment horizontal="center" vertical="center" wrapText="1"/>
    </xf>
    <xf numFmtId="0" fontId="32" fillId="35" borderId="11" xfId="0" applyFont="1" applyFill="1" applyBorder="1" applyAlignment="1">
      <alignment horizontal="center" vertical="center"/>
    </xf>
    <xf numFmtId="0" fontId="31" fillId="35" borderId="11" xfId="0" applyFont="1" applyFill="1" applyBorder="1" applyAlignment="1">
      <alignment horizontal="center" vertical="center"/>
    </xf>
    <xf numFmtId="170" fontId="26" fillId="0" borderId="0" xfId="0" applyNumberFormat="1" applyFont="1" applyAlignment="1">
      <alignment horizontal="center" vertical="center"/>
    </xf>
    <xf numFmtId="171" fontId="26" fillId="0" borderId="0" xfId="0" applyNumberFormat="1" applyFont="1" applyAlignment="1">
      <alignment horizontal="center" vertical="center"/>
    </xf>
    <xf numFmtId="1" fontId="27" fillId="33" borderId="11" xfId="0" applyNumberFormat="1" applyFont="1" applyFill="1" applyBorder="1" applyAlignment="1">
      <alignment horizontal="center" vertical="center"/>
    </xf>
    <xf numFmtId="4" fontId="27" fillId="33" borderId="11" xfId="0" applyNumberFormat="1" applyFont="1" applyFill="1" applyBorder="1" applyAlignment="1">
      <alignment horizontal="center" vertical="center"/>
    </xf>
    <xf numFmtId="0" fontId="27" fillId="37" borderId="0" xfId="0" applyFont="1" applyFill="1" applyAlignment="1">
      <alignment horizontal="center" vertical="center"/>
    </xf>
    <xf numFmtId="3" fontId="31" fillId="0" borderId="11" xfId="0" applyNumberFormat="1" applyFont="1" applyBorder="1" applyAlignment="1">
      <alignment horizontal="center" vertical="center" wrapText="1"/>
    </xf>
    <xf numFmtId="41" fontId="27" fillId="33" borderId="0" xfId="0" applyNumberFormat="1" applyFont="1" applyFill="1" applyAlignment="1">
      <alignment vertical="center"/>
    </xf>
    <xf numFmtId="0" fontId="26" fillId="0" borderId="15" xfId="0" applyFont="1" applyBorder="1" applyAlignment="1">
      <alignment vertical="center" wrapText="1"/>
    </xf>
    <xf numFmtId="0" fontId="26" fillId="0" borderId="17" xfId="0" applyFont="1" applyBorder="1" applyAlignment="1">
      <alignment vertical="center" wrapText="1"/>
    </xf>
    <xf numFmtId="0" fontId="26" fillId="0" borderId="16" xfId="0" applyFont="1" applyBorder="1" applyAlignment="1">
      <alignment vertical="center" wrapText="1"/>
    </xf>
    <xf numFmtId="0" fontId="26" fillId="0" borderId="11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left" vertical="center" wrapText="1"/>
    </xf>
    <xf numFmtId="0" fontId="26" fillId="0" borderId="17" xfId="0" applyFont="1" applyBorder="1" applyAlignment="1">
      <alignment horizontal="left" vertical="center" wrapText="1"/>
    </xf>
    <xf numFmtId="0" fontId="26" fillId="0" borderId="16" xfId="0" applyFont="1" applyBorder="1" applyAlignment="1">
      <alignment horizontal="left" vertical="center" wrapText="1"/>
    </xf>
    <xf numFmtId="0" fontId="26" fillId="33" borderId="15" xfId="0" applyFont="1" applyFill="1" applyBorder="1" applyAlignment="1">
      <alignment vertical="center" wrapText="1"/>
    </xf>
    <xf numFmtId="0" fontId="26" fillId="33" borderId="17" xfId="0" applyFont="1" applyFill="1" applyBorder="1" applyAlignment="1">
      <alignment vertical="center" wrapText="1"/>
    </xf>
    <xf numFmtId="0" fontId="26" fillId="33" borderId="16" xfId="0" applyFont="1" applyFill="1" applyBorder="1" applyAlignment="1">
      <alignment vertical="center" wrapText="1"/>
    </xf>
    <xf numFmtId="0" fontId="26" fillId="33" borderId="10" xfId="0" applyFont="1" applyFill="1" applyBorder="1" applyAlignment="1">
      <alignment vertical="center"/>
    </xf>
  </cellXfs>
  <cellStyles count="5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6" xr:uid="{00000000-0005-0000-0000-00001B000000}"/>
    <cellStyle name="Comma 3" xfId="56" xr:uid="{00000000-0005-0000-0000-00001C000000}"/>
    <cellStyle name="Comma0" xfId="43" xr:uid="{00000000-0005-0000-0000-00001D000000}"/>
    <cellStyle name="Currency 2" xfId="49" xr:uid="{00000000-0005-0000-0000-00001E000000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7" xr:uid="{00000000-0005-0000-0000-000029000000}"/>
    <cellStyle name="Normal 3" xfId="44" xr:uid="{00000000-0005-0000-0000-00002A000000}"/>
    <cellStyle name="Normal 4" xfId="50" xr:uid="{00000000-0005-0000-0000-00002B000000}"/>
    <cellStyle name="Normal 5" xfId="54" xr:uid="{00000000-0005-0000-0000-00002C000000}"/>
    <cellStyle name="Normal 6" xfId="52" xr:uid="{00000000-0005-0000-0000-00002D000000}"/>
    <cellStyle name="Normal 7" xfId="55" xr:uid="{00000000-0005-0000-0000-00002E000000}"/>
    <cellStyle name="Normal_Bill of quantities" xfId="57" xr:uid="{E42E80ED-2B51-4B96-82ED-9BD6A03D6D31}"/>
    <cellStyle name="Note" xfId="15" builtinId="10" customBuiltin="1"/>
    <cellStyle name="OPSKRIF" xfId="42" xr:uid="{00000000-0005-0000-0000-000030000000}"/>
    <cellStyle name="OPSKRIFTE" xfId="53" xr:uid="{00000000-0005-0000-0000-000031000000}"/>
    <cellStyle name="Output" xfId="10" builtinId="21" customBuiltin="1"/>
    <cellStyle name="Percent 2" xfId="48" xr:uid="{00000000-0005-0000-0000-000034000000}"/>
    <cellStyle name="Percent 3" xfId="45" xr:uid="{00000000-0005-0000-0000-000035000000}"/>
    <cellStyle name="Title" xfId="1" builtinId="15" customBuiltin="1"/>
    <cellStyle name="Total" xfId="17" builtinId="25" customBuiltin="1"/>
    <cellStyle name="TR1" xfId="51" xr:uid="{00000000-0005-0000-0000-000038000000}"/>
    <cellStyle name="Warning Text" xfId="14" builtinId="11" customBuiltin="1"/>
  </cellStyles>
  <dxfs count="0"/>
  <tableStyles count="0" defaultTableStyle="TableStyleMedium2" defaultPivotStyle="PivotStyleLight16"/>
  <colors>
    <mruColors>
      <color rgb="FF66FF99"/>
      <color rgb="FF99FF99"/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8"/>
  <sheetViews>
    <sheetView showGridLines="0" showZeros="0" view="pageBreakPreview" topLeftCell="A163" zoomScaleNormal="100" zoomScaleSheetLayoutView="100" workbookViewId="0">
      <selection activeCell="G175" sqref="G175"/>
    </sheetView>
  </sheetViews>
  <sheetFormatPr defaultColWidth="9.109375" defaultRowHeight="12"/>
  <cols>
    <col min="1" max="1" width="4.88671875" style="22" customWidth="1"/>
    <col min="2" max="2" width="8.33203125" style="22" customWidth="1"/>
    <col min="3" max="3" width="40.6640625" style="21" customWidth="1"/>
    <col min="4" max="4" width="5.109375" style="22" customWidth="1"/>
    <col min="5" max="5" width="7.6640625" style="22" customWidth="1"/>
    <col min="6" max="6" width="8.6640625" style="26" customWidth="1"/>
    <col min="7" max="7" width="11.6640625" style="97" customWidth="1"/>
    <col min="8" max="16384" width="9.109375" style="6"/>
  </cols>
  <sheetData>
    <row r="1" spans="1:7" hidden="1">
      <c r="A1" s="6"/>
    </row>
    <row r="2" spans="1:7" ht="15" customHeight="1">
      <c r="A2" s="42" t="str">
        <f>Summary!A2</f>
        <v>NAFASI WATER - ARNOT WASTE TREATMENT PLANT</v>
      </c>
      <c r="C2" s="6"/>
      <c r="F2" s="23"/>
      <c r="G2" s="96" t="str">
        <f>Summary!C2</f>
        <v>Revision T1</v>
      </c>
    </row>
    <row r="3" spans="1:7" ht="15" customHeight="1">
      <c r="A3" s="19" t="s">
        <v>65</v>
      </c>
      <c r="B3" s="20"/>
      <c r="F3" s="23"/>
    </row>
    <row r="4" spans="1:7" ht="15" customHeight="1">
      <c r="A4" s="19" t="s">
        <v>192</v>
      </c>
      <c r="B4" s="20"/>
      <c r="F4" s="23"/>
      <c r="G4" s="143">
        <f>+Summary!C4</f>
        <v>45183</v>
      </c>
    </row>
    <row r="5" spans="1:7" ht="10.5" customHeight="1"/>
    <row r="6" spans="1:7" s="22" customFormat="1" ht="22.5" customHeight="1">
      <c r="A6" s="44" t="s">
        <v>8</v>
      </c>
      <c r="B6" s="48" t="s">
        <v>9</v>
      </c>
      <c r="C6" s="44" t="s">
        <v>10</v>
      </c>
      <c r="D6" s="48" t="s">
        <v>11</v>
      </c>
      <c r="E6" s="48" t="s">
        <v>59</v>
      </c>
      <c r="F6" s="49" t="s">
        <v>12</v>
      </c>
      <c r="G6" s="126" t="s">
        <v>13</v>
      </c>
    </row>
    <row r="7" spans="1:7">
      <c r="A7" s="9"/>
      <c r="B7" s="9"/>
      <c r="C7" s="33"/>
      <c r="D7" s="9"/>
      <c r="E7" s="9"/>
      <c r="F7" s="43"/>
      <c r="G7" s="99"/>
    </row>
    <row r="8" spans="1:7">
      <c r="A8" s="9"/>
      <c r="B8" s="152" t="s">
        <v>149</v>
      </c>
      <c r="C8" s="34" t="s">
        <v>157</v>
      </c>
      <c r="D8" s="9"/>
      <c r="E8" s="9"/>
      <c r="F8" s="43"/>
      <c r="G8" s="99"/>
    </row>
    <row r="9" spans="1:7">
      <c r="A9" s="9"/>
      <c r="B9" s="152"/>
      <c r="C9" s="33" t="s">
        <v>150</v>
      </c>
      <c r="D9" s="9"/>
      <c r="E9" s="9"/>
      <c r="F9" s="43"/>
      <c r="G9" s="99"/>
    </row>
    <row r="10" spans="1:7" ht="9" customHeight="1">
      <c r="A10" s="9"/>
      <c r="B10" s="9"/>
      <c r="C10" s="33"/>
      <c r="D10" s="9"/>
      <c r="E10" s="9"/>
      <c r="F10" s="43"/>
      <c r="G10" s="99"/>
    </row>
    <row r="11" spans="1:7">
      <c r="A11" s="9"/>
      <c r="B11" s="9" t="s">
        <v>91</v>
      </c>
      <c r="C11" s="34" t="s">
        <v>41</v>
      </c>
      <c r="D11" s="9"/>
      <c r="E11" s="9"/>
      <c r="F11" s="43"/>
      <c r="G11" s="99"/>
    </row>
    <row r="12" spans="1:7">
      <c r="A12" s="9"/>
      <c r="B12" s="9"/>
      <c r="C12" s="33"/>
      <c r="D12" s="9"/>
      <c r="E12" s="9"/>
      <c r="F12" s="43"/>
      <c r="G12" s="99"/>
    </row>
    <row r="13" spans="1:7" ht="24">
      <c r="A13" s="9">
        <v>1</v>
      </c>
      <c r="B13" s="9" t="s">
        <v>84</v>
      </c>
      <c r="C13" s="33" t="s">
        <v>53</v>
      </c>
      <c r="D13" s="9" t="s">
        <v>42</v>
      </c>
      <c r="E13" s="9">
        <v>1</v>
      </c>
      <c r="F13" s="43"/>
      <c r="G13" s="98">
        <f>+E13*F13</f>
        <v>0</v>
      </c>
    </row>
    <row r="14" spans="1:7">
      <c r="A14" s="9"/>
      <c r="B14" s="9"/>
      <c r="C14" s="33"/>
      <c r="D14" s="9"/>
      <c r="E14" s="9"/>
      <c r="F14" s="43"/>
      <c r="G14" s="99"/>
    </row>
    <row r="15" spans="1:7">
      <c r="A15" s="9"/>
      <c r="B15" s="9" t="s">
        <v>92</v>
      </c>
      <c r="C15" s="37" t="s">
        <v>43</v>
      </c>
      <c r="D15" s="9"/>
      <c r="E15" s="9"/>
      <c r="F15" s="43"/>
      <c r="G15" s="99"/>
    </row>
    <row r="16" spans="1:7">
      <c r="A16" s="9"/>
      <c r="B16" s="9"/>
      <c r="C16" s="33"/>
      <c r="D16" s="9"/>
      <c r="E16" s="9"/>
      <c r="F16" s="43"/>
      <c r="G16" s="99"/>
    </row>
    <row r="17" spans="1:7">
      <c r="A17" s="9"/>
      <c r="B17" s="9" t="s">
        <v>189</v>
      </c>
      <c r="C17" s="37" t="s">
        <v>182</v>
      </c>
      <c r="D17" s="9"/>
      <c r="E17" s="9"/>
      <c r="F17" s="43"/>
      <c r="G17" s="99"/>
    </row>
    <row r="18" spans="1:7">
      <c r="A18" s="9"/>
      <c r="B18" s="9"/>
      <c r="C18" s="33"/>
      <c r="D18" s="9"/>
      <c r="E18" s="9"/>
      <c r="F18" s="43"/>
      <c r="G18" s="99"/>
    </row>
    <row r="19" spans="1:7">
      <c r="A19" s="9"/>
      <c r="B19" s="9" t="s">
        <v>183</v>
      </c>
      <c r="C19" s="33" t="s">
        <v>190</v>
      </c>
      <c r="D19" s="9" t="s">
        <v>42</v>
      </c>
      <c r="E19" s="9">
        <v>1</v>
      </c>
      <c r="F19" s="43"/>
      <c r="G19" s="99">
        <f>+E19*F19</f>
        <v>0</v>
      </c>
    </row>
    <row r="20" spans="1:7">
      <c r="A20" s="9"/>
      <c r="B20" s="9"/>
      <c r="C20" s="33"/>
      <c r="D20" s="9"/>
      <c r="E20" s="9"/>
      <c r="F20" s="43"/>
      <c r="G20" s="99"/>
    </row>
    <row r="21" spans="1:7">
      <c r="A21" s="9"/>
      <c r="B21" s="9" t="s">
        <v>181</v>
      </c>
      <c r="C21" s="33" t="s">
        <v>191</v>
      </c>
      <c r="D21" s="9" t="s">
        <v>42</v>
      </c>
      <c r="E21" s="9">
        <v>1</v>
      </c>
      <c r="F21" s="43"/>
      <c r="G21" s="99">
        <f>+E21*F21</f>
        <v>0</v>
      </c>
    </row>
    <row r="22" spans="1:7">
      <c r="A22" s="9"/>
      <c r="B22" s="9"/>
      <c r="C22" s="33"/>
      <c r="D22" s="9"/>
      <c r="E22" s="9"/>
      <c r="F22" s="43"/>
      <c r="G22" s="99"/>
    </row>
    <row r="23" spans="1:7">
      <c r="A23" s="9"/>
      <c r="B23" s="9" t="s">
        <v>126</v>
      </c>
      <c r="C23" s="37" t="s">
        <v>44</v>
      </c>
      <c r="D23" s="9"/>
      <c r="E23" s="9"/>
      <c r="F23" s="43"/>
      <c r="G23" s="99"/>
    </row>
    <row r="24" spans="1:7">
      <c r="A24" s="9"/>
      <c r="B24" s="9"/>
      <c r="C24" s="33"/>
      <c r="D24" s="9"/>
      <c r="E24" s="9"/>
      <c r="F24" s="43"/>
      <c r="G24" s="99"/>
    </row>
    <row r="25" spans="1:7">
      <c r="A25" s="9">
        <v>2</v>
      </c>
      <c r="B25" s="9" t="s">
        <v>127</v>
      </c>
      <c r="C25" s="33" t="s">
        <v>114</v>
      </c>
      <c r="D25" s="9" t="s">
        <v>42</v>
      </c>
      <c r="E25" s="9">
        <v>1</v>
      </c>
      <c r="F25" s="43"/>
      <c r="G25" s="99">
        <f>+E25*F25</f>
        <v>0</v>
      </c>
    </row>
    <row r="26" spans="1:7">
      <c r="A26" s="9"/>
      <c r="B26" s="9"/>
      <c r="C26" s="33"/>
      <c r="D26" s="9"/>
      <c r="E26" s="9"/>
      <c r="F26" s="43"/>
      <c r="G26" s="99"/>
    </row>
    <row r="27" spans="1:7">
      <c r="A27" s="9">
        <v>3</v>
      </c>
      <c r="B27" s="9" t="s">
        <v>128</v>
      </c>
      <c r="C27" s="33" t="s">
        <v>115</v>
      </c>
      <c r="D27" s="9" t="s">
        <v>42</v>
      </c>
      <c r="E27" s="9">
        <v>1</v>
      </c>
      <c r="F27" s="43"/>
      <c r="G27" s="99">
        <f>+E27*F27</f>
        <v>0</v>
      </c>
    </row>
    <row r="28" spans="1:7">
      <c r="A28" s="9"/>
      <c r="B28" s="9"/>
      <c r="C28" s="33"/>
      <c r="D28" s="9"/>
      <c r="E28" s="9"/>
      <c r="F28" s="43"/>
      <c r="G28" s="99"/>
    </row>
    <row r="29" spans="1:7">
      <c r="A29" s="9">
        <v>4</v>
      </c>
      <c r="B29" s="9" t="s">
        <v>129</v>
      </c>
      <c r="C29" s="33" t="s">
        <v>116</v>
      </c>
      <c r="D29" s="9" t="s">
        <v>42</v>
      </c>
      <c r="E29" s="9">
        <v>1</v>
      </c>
      <c r="F29" s="43"/>
      <c r="G29" s="99">
        <f>+E29*F29</f>
        <v>0</v>
      </c>
    </row>
    <row r="30" spans="1:7">
      <c r="A30" s="9"/>
      <c r="B30" s="9"/>
      <c r="C30" s="33"/>
      <c r="D30" s="9"/>
      <c r="E30" s="9"/>
      <c r="F30" s="43"/>
      <c r="G30" s="99"/>
    </row>
    <row r="31" spans="1:7">
      <c r="A31" s="9">
        <v>5</v>
      </c>
      <c r="B31" s="9" t="s">
        <v>130</v>
      </c>
      <c r="C31" s="33" t="s">
        <v>117</v>
      </c>
      <c r="D31" s="9" t="s">
        <v>42</v>
      </c>
      <c r="E31" s="9">
        <v>1</v>
      </c>
      <c r="F31" s="43"/>
      <c r="G31" s="99">
        <f>+E31*F31</f>
        <v>0</v>
      </c>
    </row>
    <row r="32" spans="1:7">
      <c r="A32" s="9"/>
      <c r="B32" s="9"/>
      <c r="C32" s="33"/>
      <c r="D32" s="9"/>
      <c r="E32" s="9"/>
      <c r="F32" s="43"/>
      <c r="G32" s="99"/>
    </row>
    <row r="33" spans="1:7">
      <c r="A33" s="9">
        <v>6</v>
      </c>
      <c r="B33" s="9" t="s">
        <v>131</v>
      </c>
      <c r="C33" s="33" t="s">
        <v>118</v>
      </c>
      <c r="D33" s="9" t="s">
        <v>42</v>
      </c>
      <c r="E33" s="9">
        <v>1</v>
      </c>
      <c r="F33" s="43"/>
      <c r="G33" s="99">
        <f>+E33*F33</f>
        <v>0</v>
      </c>
    </row>
    <row r="34" spans="1:7">
      <c r="A34" s="9"/>
      <c r="B34" s="9"/>
      <c r="C34" s="33"/>
      <c r="D34" s="9"/>
      <c r="E34" s="9"/>
      <c r="F34" s="43"/>
      <c r="G34" s="99"/>
    </row>
    <row r="35" spans="1:7">
      <c r="A35" s="9">
        <v>7</v>
      </c>
      <c r="B35" s="9" t="s">
        <v>132</v>
      </c>
      <c r="C35" s="33" t="s">
        <v>119</v>
      </c>
      <c r="D35" s="9" t="s">
        <v>42</v>
      </c>
      <c r="E35" s="9">
        <v>1</v>
      </c>
      <c r="F35" s="43"/>
      <c r="G35" s="99">
        <f>+E35*F35</f>
        <v>0</v>
      </c>
    </row>
    <row r="36" spans="1:7">
      <c r="A36" s="9"/>
      <c r="B36" s="9"/>
      <c r="C36" s="33"/>
      <c r="D36" s="9"/>
      <c r="E36" s="9"/>
      <c r="F36" s="43"/>
      <c r="G36" s="99"/>
    </row>
    <row r="37" spans="1:7">
      <c r="A37" s="9">
        <v>8</v>
      </c>
      <c r="B37" s="9" t="s">
        <v>133</v>
      </c>
      <c r="C37" s="33" t="s">
        <v>151</v>
      </c>
      <c r="D37" s="9" t="s">
        <v>42</v>
      </c>
      <c r="E37" s="9">
        <v>1</v>
      </c>
      <c r="F37" s="43"/>
      <c r="G37" s="99">
        <f>+E37*F37</f>
        <v>0</v>
      </c>
    </row>
    <row r="38" spans="1:7">
      <c r="A38" s="9"/>
      <c r="B38" s="9"/>
      <c r="C38" s="33"/>
      <c r="D38" s="9"/>
      <c r="E38" s="9"/>
      <c r="F38" s="43"/>
      <c r="G38" s="99"/>
    </row>
    <row r="39" spans="1:7">
      <c r="A39" s="9">
        <v>9</v>
      </c>
      <c r="B39" s="9" t="s">
        <v>134</v>
      </c>
      <c r="C39" s="33" t="s">
        <v>45</v>
      </c>
      <c r="D39" s="9" t="s">
        <v>42</v>
      </c>
      <c r="E39" s="9">
        <v>1</v>
      </c>
      <c r="F39" s="43"/>
      <c r="G39" s="99">
        <f>+E39*F39</f>
        <v>0</v>
      </c>
    </row>
    <row r="40" spans="1:7">
      <c r="A40" s="9"/>
      <c r="B40" s="9"/>
      <c r="C40" s="33"/>
      <c r="D40" s="9"/>
      <c r="E40" s="9"/>
      <c r="F40" s="43"/>
      <c r="G40" s="99"/>
    </row>
    <row r="41" spans="1:7">
      <c r="A41" s="9">
        <v>10</v>
      </c>
      <c r="B41" s="9" t="s">
        <v>135</v>
      </c>
      <c r="C41" s="33" t="s">
        <v>120</v>
      </c>
      <c r="D41" s="9" t="s">
        <v>42</v>
      </c>
      <c r="E41" s="9">
        <v>1</v>
      </c>
      <c r="F41" s="43"/>
      <c r="G41" s="99">
        <f>+E41*F41</f>
        <v>0</v>
      </c>
    </row>
    <row r="42" spans="1:7">
      <c r="A42" s="9"/>
      <c r="B42" s="9"/>
      <c r="C42" s="33"/>
      <c r="D42" s="9"/>
      <c r="E42" s="9"/>
      <c r="F42" s="43"/>
      <c r="G42" s="99"/>
    </row>
    <row r="43" spans="1:7">
      <c r="A43" s="9">
        <v>11</v>
      </c>
      <c r="B43" s="9" t="s">
        <v>136</v>
      </c>
      <c r="C43" s="33" t="s">
        <v>52</v>
      </c>
      <c r="D43" s="9" t="s">
        <v>42</v>
      </c>
      <c r="E43" s="9">
        <v>1</v>
      </c>
      <c r="F43" s="43"/>
      <c r="G43" s="99">
        <f>+E43*F43</f>
        <v>0</v>
      </c>
    </row>
    <row r="44" spans="1:7">
      <c r="A44" s="9"/>
      <c r="B44" s="9"/>
      <c r="C44" s="33"/>
      <c r="D44" s="9"/>
      <c r="E44" s="9"/>
      <c r="F44" s="43"/>
      <c r="G44" s="99"/>
    </row>
    <row r="45" spans="1:7">
      <c r="A45" s="9">
        <v>12</v>
      </c>
      <c r="B45" s="9" t="s">
        <v>87</v>
      </c>
      <c r="C45" s="33" t="s">
        <v>121</v>
      </c>
      <c r="D45" s="9" t="s">
        <v>42</v>
      </c>
      <c r="E45" s="9">
        <v>1</v>
      </c>
      <c r="F45" s="43"/>
      <c r="G45" s="99">
        <f>+E45*F45</f>
        <v>0</v>
      </c>
    </row>
    <row r="46" spans="1:7">
      <c r="A46" s="9"/>
      <c r="B46" s="9"/>
      <c r="C46" s="33"/>
      <c r="D46" s="9"/>
      <c r="E46" s="9"/>
      <c r="F46" s="43"/>
      <c r="G46" s="99"/>
    </row>
    <row r="47" spans="1:7">
      <c r="A47" s="9">
        <v>13</v>
      </c>
      <c r="B47" s="9" t="s">
        <v>83</v>
      </c>
      <c r="C47" s="33" t="s">
        <v>122</v>
      </c>
      <c r="D47" s="9" t="s">
        <v>42</v>
      </c>
      <c r="E47" s="9">
        <v>1</v>
      </c>
      <c r="F47" s="43"/>
      <c r="G47" s="99">
        <f>+E47*F47</f>
        <v>0</v>
      </c>
    </row>
    <row r="48" spans="1:7">
      <c r="A48" s="9"/>
      <c r="B48" s="9"/>
      <c r="C48" s="33"/>
      <c r="D48" s="9"/>
      <c r="E48" s="9"/>
      <c r="F48" s="43"/>
      <c r="G48" s="99"/>
    </row>
    <row r="49" spans="1:7">
      <c r="A49" s="9">
        <v>14</v>
      </c>
      <c r="B49" s="9" t="s">
        <v>175</v>
      </c>
      <c r="C49" s="33" t="s">
        <v>46</v>
      </c>
      <c r="D49" s="9" t="s">
        <v>42</v>
      </c>
      <c r="E49" s="9">
        <v>1</v>
      </c>
      <c r="F49" s="43"/>
      <c r="G49" s="99">
        <f>+E49*F49</f>
        <v>0</v>
      </c>
    </row>
    <row r="50" spans="1:7">
      <c r="A50" s="9"/>
      <c r="B50" s="9"/>
      <c r="C50" s="33"/>
      <c r="D50" s="9"/>
      <c r="E50" s="9"/>
      <c r="F50" s="43"/>
      <c r="G50" s="99"/>
    </row>
    <row r="51" spans="1:7">
      <c r="A51" s="9">
        <v>15</v>
      </c>
      <c r="B51" s="9" t="s">
        <v>180</v>
      </c>
      <c r="C51" s="33" t="s">
        <v>176</v>
      </c>
      <c r="D51" s="9" t="s">
        <v>42</v>
      </c>
      <c r="E51" s="9">
        <v>1</v>
      </c>
      <c r="F51" s="43"/>
      <c r="G51" s="99">
        <f>+E51*F51</f>
        <v>0</v>
      </c>
    </row>
    <row r="52" spans="1:7">
      <c r="A52" s="9"/>
      <c r="B52" s="9"/>
      <c r="C52" s="33"/>
      <c r="D52" s="9"/>
      <c r="E52" s="9"/>
      <c r="F52" s="43"/>
      <c r="G52" s="99"/>
    </row>
    <row r="53" spans="1:7">
      <c r="A53" s="9"/>
      <c r="B53" s="9" t="s">
        <v>91</v>
      </c>
      <c r="C53" s="32" t="s">
        <v>123</v>
      </c>
      <c r="D53" s="9"/>
      <c r="E53" s="9"/>
      <c r="F53" s="43"/>
      <c r="G53" s="99"/>
    </row>
    <row r="54" spans="1:7">
      <c r="A54" s="9"/>
      <c r="B54" s="9"/>
      <c r="C54" s="33"/>
      <c r="D54" s="9"/>
      <c r="E54" s="9"/>
      <c r="F54" s="43"/>
      <c r="G54" s="99"/>
    </row>
    <row r="55" spans="1:7" ht="24">
      <c r="A55" s="9">
        <v>16</v>
      </c>
      <c r="B55" s="9" t="s">
        <v>84</v>
      </c>
      <c r="C55" s="33" t="s">
        <v>53</v>
      </c>
      <c r="D55" s="9" t="s">
        <v>42</v>
      </c>
      <c r="E55" s="9">
        <v>1</v>
      </c>
      <c r="F55" s="43"/>
      <c r="G55" s="99">
        <f>+E55*F55</f>
        <v>0</v>
      </c>
    </row>
    <row r="56" spans="1:7">
      <c r="A56" s="9"/>
      <c r="B56" s="9"/>
      <c r="C56" s="33"/>
      <c r="D56" s="9"/>
      <c r="E56" s="9"/>
      <c r="F56" s="43"/>
      <c r="G56" s="99"/>
    </row>
    <row r="57" spans="1:7">
      <c r="A57" s="9"/>
      <c r="B57" s="9"/>
      <c r="C57" s="33"/>
      <c r="D57" s="9"/>
      <c r="E57" s="9"/>
      <c r="F57" s="43"/>
      <c r="G57" s="99"/>
    </row>
    <row r="58" spans="1:7">
      <c r="A58" s="9"/>
      <c r="B58" s="9"/>
      <c r="C58" s="33"/>
      <c r="D58" s="9"/>
      <c r="E58" s="9"/>
      <c r="F58" s="43"/>
      <c r="G58" s="99"/>
    </row>
    <row r="59" spans="1:7">
      <c r="A59" s="9"/>
      <c r="B59" s="9"/>
      <c r="C59" s="33"/>
      <c r="D59" s="9"/>
      <c r="E59" s="9"/>
      <c r="F59" s="43"/>
      <c r="G59" s="99"/>
    </row>
    <row r="60" spans="1:7" s="19" customFormat="1" ht="22.5" customHeight="1">
      <c r="A60" s="153" t="s">
        <v>66</v>
      </c>
      <c r="B60" s="154"/>
      <c r="C60" s="154"/>
      <c r="D60" s="154"/>
      <c r="E60" s="154"/>
      <c r="F60" s="155"/>
      <c r="G60" s="127">
        <f>SUM(G7:G59)</f>
        <v>0</v>
      </c>
    </row>
    <row r="61" spans="1:7" s="19" customFormat="1">
      <c r="A61" s="7"/>
      <c r="B61" s="7"/>
      <c r="C61" s="7"/>
      <c r="D61" s="7"/>
      <c r="E61" s="7"/>
      <c r="F61" s="7"/>
      <c r="G61" s="128"/>
    </row>
    <row r="62" spans="1:7" s="19" customFormat="1">
      <c r="C62" s="7"/>
      <c r="F62" s="129"/>
      <c r="G62" s="128"/>
    </row>
    <row r="63" spans="1:7" s="29" customFormat="1" ht="24">
      <c r="A63" s="44" t="s">
        <v>8</v>
      </c>
      <c r="B63" s="48" t="s">
        <v>9</v>
      </c>
      <c r="C63" s="44" t="s">
        <v>10</v>
      </c>
      <c r="D63" s="48" t="s">
        <v>11</v>
      </c>
      <c r="E63" s="48" t="s">
        <v>59</v>
      </c>
      <c r="F63" s="49" t="s">
        <v>12</v>
      </c>
      <c r="G63" s="126" t="s">
        <v>13</v>
      </c>
    </row>
    <row r="64" spans="1:7" s="19" customFormat="1" ht="22.5" customHeight="1">
      <c r="A64" s="153" t="s">
        <v>67</v>
      </c>
      <c r="B64" s="154"/>
      <c r="C64" s="154"/>
      <c r="D64" s="154"/>
      <c r="E64" s="154"/>
      <c r="F64" s="155"/>
      <c r="G64" s="127">
        <f>+G60</f>
        <v>0</v>
      </c>
    </row>
    <row r="65" spans="1:7">
      <c r="A65" s="9"/>
      <c r="B65" s="9"/>
      <c r="C65" s="33"/>
      <c r="D65" s="9"/>
      <c r="E65" s="9"/>
      <c r="F65" s="43"/>
      <c r="G65" s="99"/>
    </row>
    <row r="66" spans="1:7">
      <c r="A66" s="9"/>
      <c r="B66" s="9" t="s">
        <v>92</v>
      </c>
      <c r="C66" s="37" t="s">
        <v>43</v>
      </c>
      <c r="D66" s="9"/>
      <c r="E66" s="9"/>
      <c r="F66" s="43"/>
      <c r="G66" s="99"/>
    </row>
    <row r="67" spans="1:7">
      <c r="A67" s="9"/>
      <c r="B67" s="9"/>
      <c r="C67" s="33"/>
      <c r="D67" s="9"/>
      <c r="E67" s="9"/>
      <c r="F67" s="43"/>
      <c r="G67" s="99"/>
    </row>
    <row r="68" spans="1:7">
      <c r="A68" s="9"/>
      <c r="B68" s="9" t="s">
        <v>189</v>
      </c>
      <c r="C68" s="37" t="s">
        <v>182</v>
      </c>
      <c r="D68" s="9"/>
      <c r="E68" s="9"/>
      <c r="F68" s="43"/>
      <c r="G68" s="99"/>
    </row>
    <row r="69" spans="1:7">
      <c r="A69" s="9"/>
      <c r="B69" s="9"/>
      <c r="C69" s="33"/>
      <c r="D69" s="9"/>
      <c r="E69" s="9"/>
      <c r="F69" s="43"/>
      <c r="G69" s="99"/>
    </row>
    <row r="70" spans="1:7">
      <c r="A70" s="9">
        <v>17</v>
      </c>
      <c r="B70" s="9" t="s">
        <v>183</v>
      </c>
      <c r="C70" s="33" t="s">
        <v>190</v>
      </c>
      <c r="D70" s="9" t="s">
        <v>42</v>
      </c>
      <c r="E70" s="9">
        <v>1</v>
      </c>
      <c r="F70" s="43"/>
      <c r="G70" s="99">
        <f>+E70*F70</f>
        <v>0</v>
      </c>
    </row>
    <row r="71" spans="1:7">
      <c r="A71" s="9"/>
      <c r="B71" s="9"/>
      <c r="C71" s="33"/>
      <c r="D71" s="9"/>
      <c r="E71" s="9"/>
      <c r="F71" s="43"/>
      <c r="G71" s="99"/>
    </row>
    <row r="72" spans="1:7">
      <c r="A72" s="9">
        <v>18</v>
      </c>
      <c r="B72" s="9" t="s">
        <v>181</v>
      </c>
      <c r="C72" s="33" t="s">
        <v>191</v>
      </c>
      <c r="D72" s="9" t="s">
        <v>42</v>
      </c>
      <c r="E72" s="9">
        <v>1</v>
      </c>
      <c r="F72" s="43"/>
      <c r="G72" s="99">
        <f>+E72*F72</f>
        <v>0</v>
      </c>
    </row>
    <row r="73" spans="1:7">
      <c r="A73" s="9"/>
      <c r="B73" s="9"/>
      <c r="C73" s="33"/>
      <c r="D73" s="9"/>
      <c r="E73" s="9"/>
      <c r="F73" s="43"/>
      <c r="G73" s="99"/>
    </row>
    <row r="74" spans="1:7">
      <c r="A74" s="9"/>
      <c r="B74" s="9" t="s">
        <v>126</v>
      </c>
      <c r="C74" s="37" t="s">
        <v>44</v>
      </c>
      <c r="D74" s="9"/>
      <c r="E74" s="9"/>
      <c r="F74" s="43"/>
      <c r="G74" s="99"/>
    </row>
    <row r="75" spans="1:7">
      <c r="A75" s="9"/>
      <c r="B75" s="9"/>
      <c r="C75" s="33"/>
      <c r="D75" s="9"/>
      <c r="E75" s="9"/>
      <c r="F75" s="43"/>
      <c r="G75" s="99"/>
    </row>
    <row r="76" spans="1:7">
      <c r="A76" s="9">
        <v>19</v>
      </c>
      <c r="B76" s="9" t="s">
        <v>127</v>
      </c>
      <c r="C76" s="33" t="s">
        <v>114</v>
      </c>
      <c r="D76" s="9" t="s">
        <v>42</v>
      </c>
      <c r="E76" s="9">
        <v>1</v>
      </c>
      <c r="F76" s="43"/>
      <c r="G76" s="99">
        <f>+E76*F76</f>
        <v>0</v>
      </c>
    </row>
    <row r="77" spans="1:7">
      <c r="A77" s="9"/>
      <c r="B77" s="9"/>
      <c r="C77" s="33"/>
      <c r="D77" s="9"/>
      <c r="E77" s="9"/>
      <c r="F77" s="43"/>
      <c r="G77" s="99"/>
    </row>
    <row r="78" spans="1:7">
      <c r="A78" s="9">
        <v>20</v>
      </c>
      <c r="B78" s="9" t="s">
        <v>128</v>
      </c>
      <c r="C78" s="33" t="s">
        <v>115</v>
      </c>
      <c r="D78" s="9" t="s">
        <v>42</v>
      </c>
      <c r="E78" s="9">
        <v>1</v>
      </c>
      <c r="F78" s="43"/>
      <c r="G78" s="99">
        <f>+E78*F78</f>
        <v>0</v>
      </c>
    </row>
    <row r="79" spans="1:7">
      <c r="A79" s="9"/>
      <c r="B79" s="9"/>
      <c r="C79" s="33"/>
      <c r="D79" s="9"/>
      <c r="E79" s="9"/>
      <c r="F79" s="43"/>
      <c r="G79" s="99"/>
    </row>
    <row r="80" spans="1:7">
      <c r="A80" s="9">
        <v>21</v>
      </c>
      <c r="B80" s="9" t="s">
        <v>129</v>
      </c>
      <c r="C80" s="33" t="s">
        <v>116</v>
      </c>
      <c r="D80" s="9" t="s">
        <v>42</v>
      </c>
      <c r="E80" s="9">
        <v>1</v>
      </c>
      <c r="F80" s="43"/>
      <c r="G80" s="99">
        <f>+E80*F80</f>
        <v>0</v>
      </c>
    </row>
    <row r="81" spans="1:7">
      <c r="A81" s="9"/>
      <c r="B81" s="9"/>
      <c r="C81" s="33"/>
      <c r="D81" s="9"/>
      <c r="E81" s="9"/>
      <c r="F81" s="43"/>
      <c r="G81" s="99"/>
    </row>
    <row r="82" spans="1:7">
      <c r="A82" s="9">
        <v>22</v>
      </c>
      <c r="B82" s="9" t="s">
        <v>130</v>
      </c>
      <c r="C82" s="33" t="s">
        <v>117</v>
      </c>
      <c r="D82" s="9" t="s">
        <v>42</v>
      </c>
      <c r="E82" s="9">
        <v>1</v>
      </c>
      <c r="F82" s="43"/>
      <c r="G82" s="99">
        <f>+E82*F82</f>
        <v>0</v>
      </c>
    </row>
    <row r="83" spans="1:7">
      <c r="A83" s="9"/>
      <c r="B83" s="9"/>
      <c r="C83" s="33"/>
      <c r="D83" s="9"/>
      <c r="E83" s="9"/>
      <c r="F83" s="43"/>
      <c r="G83" s="99"/>
    </row>
    <row r="84" spans="1:7">
      <c r="A84" s="9">
        <v>23</v>
      </c>
      <c r="B84" s="9" t="s">
        <v>131</v>
      </c>
      <c r="C84" s="33" t="s">
        <v>118</v>
      </c>
      <c r="D84" s="9" t="s">
        <v>42</v>
      </c>
      <c r="E84" s="9">
        <v>1</v>
      </c>
      <c r="F84" s="43"/>
      <c r="G84" s="99">
        <f>+E84*F84</f>
        <v>0</v>
      </c>
    </row>
    <row r="85" spans="1:7">
      <c r="A85" s="9"/>
      <c r="B85" s="9"/>
      <c r="C85" s="33"/>
      <c r="D85" s="9"/>
      <c r="E85" s="9"/>
      <c r="F85" s="43"/>
      <c r="G85" s="99"/>
    </row>
    <row r="86" spans="1:7">
      <c r="A86" s="9">
        <v>24</v>
      </c>
      <c r="B86" s="9" t="s">
        <v>132</v>
      </c>
      <c r="C86" s="33" t="s">
        <v>119</v>
      </c>
      <c r="D86" s="9" t="s">
        <v>42</v>
      </c>
      <c r="E86" s="9">
        <v>1</v>
      </c>
      <c r="F86" s="43"/>
      <c r="G86" s="99">
        <f>+E86*F86</f>
        <v>0</v>
      </c>
    </row>
    <row r="87" spans="1:7">
      <c r="A87" s="9"/>
      <c r="B87" s="9"/>
      <c r="C87" s="33"/>
      <c r="D87" s="9"/>
      <c r="E87" s="9"/>
      <c r="F87" s="43"/>
      <c r="G87" s="99"/>
    </row>
    <row r="88" spans="1:7">
      <c r="A88" s="9">
        <v>25</v>
      </c>
      <c r="B88" s="9" t="s">
        <v>133</v>
      </c>
      <c r="C88" s="33" t="s">
        <v>153</v>
      </c>
      <c r="D88" s="9" t="s">
        <v>42</v>
      </c>
      <c r="E88" s="9">
        <v>1</v>
      </c>
      <c r="F88" s="43"/>
      <c r="G88" s="99">
        <f>+E88*F88</f>
        <v>0</v>
      </c>
    </row>
    <row r="89" spans="1:7">
      <c r="A89" s="9"/>
      <c r="B89" s="9"/>
      <c r="C89" s="33"/>
      <c r="D89" s="9"/>
      <c r="E89" s="9"/>
      <c r="F89" s="43"/>
      <c r="G89" s="99"/>
    </row>
    <row r="90" spans="1:7">
      <c r="A90" s="9">
        <v>26</v>
      </c>
      <c r="B90" s="9" t="s">
        <v>134</v>
      </c>
      <c r="C90" s="33" t="s">
        <v>45</v>
      </c>
      <c r="D90" s="9" t="s">
        <v>42</v>
      </c>
      <c r="E90" s="9">
        <v>1</v>
      </c>
      <c r="F90" s="43"/>
      <c r="G90" s="99">
        <f>+E90*F90</f>
        <v>0</v>
      </c>
    </row>
    <row r="91" spans="1:7">
      <c r="A91" s="9"/>
      <c r="B91" s="9"/>
      <c r="C91" s="33"/>
      <c r="D91" s="9"/>
      <c r="E91" s="9"/>
      <c r="F91" s="43"/>
      <c r="G91" s="99"/>
    </row>
    <row r="92" spans="1:7">
      <c r="A92" s="9">
        <v>27</v>
      </c>
      <c r="B92" s="9" t="s">
        <v>135</v>
      </c>
      <c r="C92" s="33" t="s">
        <v>120</v>
      </c>
      <c r="D92" s="9" t="s">
        <v>42</v>
      </c>
      <c r="E92" s="9">
        <v>1</v>
      </c>
      <c r="F92" s="43"/>
      <c r="G92" s="99">
        <f>+E92*F92</f>
        <v>0</v>
      </c>
    </row>
    <row r="93" spans="1:7">
      <c r="A93" s="9"/>
      <c r="B93" s="9"/>
      <c r="C93" s="33"/>
      <c r="D93" s="9"/>
      <c r="E93" s="9"/>
      <c r="F93" s="43"/>
      <c r="G93" s="99"/>
    </row>
    <row r="94" spans="1:7">
      <c r="A94" s="9">
        <v>28</v>
      </c>
      <c r="B94" s="9" t="s">
        <v>136</v>
      </c>
      <c r="C94" s="33" t="s">
        <v>174</v>
      </c>
      <c r="D94" s="9" t="s">
        <v>42</v>
      </c>
      <c r="E94" s="9">
        <v>1</v>
      </c>
      <c r="F94" s="43"/>
      <c r="G94" s="99">
        <f>+E94*F94</f>
        <v>0</v>
      </c>
    </row>
    <row r="95" spans="1:7">
      <c r="A95" s="9"/>
      <c r="B95" s="9"/>
      <c r="C95" s="33"/>
      <c r="D95" s="9"/>
      <c r="E95" s="9"/>
      <c r="F95" s="43"/>
      <c r="G95" s="99"/>
    </row>
    <row r="96" spans="1:7">
      <c r="A96" s="9">
        <v>29</v>
      </c>
      <c r="B96" s="9" t="s">
        <v>87</v>
      </c>
      <c r="C96" s="33" t="s">
        <v>124</v>
      </c>
      <c r="D96" s="9" t="s">
        <v>42</v>
      </c>
      <c r="E96" s="9">
        <v>1</v>
      </c>
      <c r="F96" s="43"/>
      <c r="G96" s="99">
        <f>+E96*F96</f>
        <v>0</v>
      </c>
    </row>
    <row r="97" spans="1:7">
      <c r="A97" s="9"/>
      <c r="B97" s="9"/>
      <c r="C97" s="33"/>
      <c r="D97" s="9"/>
      <c r="E97" s="9"/>
      <c r="F97" s="43"/>
      <c r="G97" s="99"/>
    </row>
    <row r="98" spans="1:7">
      <c r="A98" s="9">
        <v>30</v>
      </c>
      <c r="B98" s="9" t="s">
        <v>83</v>
      </c>
      <c r="C98" s="33" t="s">
        <v>122</v>
      </c>
      <c r="D98" s="9" t="s">
        <v>42</v>
      </c>
      <c r="E98" s="9">
        <v>1</v>
      </c>
      <c r="F98" s="43"/>
      <c r="G98" s="99">
        <f>+E98*F98</f>
        <v>0</v>
      </c>
    </row>
    <row r="99" spans="1:7">
      <c r="A99" s="9"/>
      <c r="B99" s="9"/>
      <c r="C99" s="33"/>
      <c r="D99" s="9"/>
      <c r="E99" s="9"/>
      <c r="F99" s="43"/>
      <c r="G99" s="99"/>
    </row>
    <row r="100" spans="1:7">
      <c r="A100" s="9">
        <v>31</v>
      </c>
      <c r="B100" s="9" t="s">
        <v>175</v>
      </c>
      <c r="C100" s="33" t="s">
        <v>46</v>
      </c>
      <c r="D100" s="9" t="s">
        <v>42</v>
      </c>
      <c r="E100" s="9">
        <v>1</v>
      </c>
      <c r="F100" s="43"/>
      <c r="G100" s="99">
        <f>+E100*F100</f>
        <v>0</v>
      </c>
    </row>
    <row r="101" spans="1:7">
      <c r="A101" s="9"/>
      <c r="B101" s="9"/>
      <c r="C101" s="33"/>
      <c r="D101" s="9"/>
      <c r="E101" s="9"/>
      <c r="F101" s="43"/>
      <c r="G101" s="99"/>
    </row>
    <row r="102" spans="1:7">
      <c r="A102" s="9">
        <v>32</v>
      </c>
      <c r="B102" s="9" t="s">
        <v>180</v>
      </c>
      <c r="C102" s="33" t="s">
        <v>176</v>
      </c>
      <c r="D102" s="9" t="s">
        <v>42</v>
      </c>
      <c r="E102" s="9">
        <v>1</v>
      </c>
      <c r="F102" s="43"/>
      <c r="G102" s="99">
        <f>+E102*F102</f>
        <v>0</v>
      </c>
    </row>
    <row r="103" spans="1:7">
      <c r="A103" s="9"/>
      <c r="B103" s="9"/>
      <c r="C103" s="33"/>
      <c r="D103" s="9"/>
      <c r="E103" s="9"/>
      <c r="F103" s="43"/>
      <c r="G103" s="99"/>
    </row>
    <row r="104" spans="1:7">
      <c r="A104" s="9"/>
      <c r="B104" s="9" t="s">
        <v>93</v>
      </c>
      <c r="C104" s="34" t="s">
        <v>47</v>
      </c>
      <c r="D104" s="9"/>
      <c r="E104" s="9"/>
      <c r="F104" s="43"/>
      <c r="G104" s="99"/>
    </row>
    <row r="105" spans="1:7">
      <c r="A105" s="9"/>
      <c r="B105" s="9"/>
      <c r="C105" s="33"/>
      <c r="D105" s="9"/>
      <c r="E105" s="9"/>
      <c r="F105" s="43"/>
      <c r="G105" s="99"/>
    </row>
    <row r="106" spans="1:7" ht="24">
      <c r="A106" s="9">
        <v>33</v>
      </c>
      <c r="B106" s="9" t="s">
        <v>85</v>
      </c>
      <c r="C106" s="33" t="s">
        <v>53</v>
      </c>
      <c r="D106" s="9" t="s">
        <v>42</v>
      </c>
      <c r="E106" s="9">
        <v>1</v>
      </c>
      <c r="F106" s="43"/>
      <c r="G106" s="99">
        <f>+E106*F106</f>
        <v>0</v>
      </c>
    </row>
    <row r="107" spans="1:7">
      <c r="A107" s="9"/>
      <c r="B107" s="9"/>
      <c r="C107" s="33"/>
      <c r="D107" s="9"/>
      <c r="E107" s="9"/>
      <c r="F107" s="43"/>
      <c r="G107" s="99"/>
    </row>
    <row r="108" spans="1:7" ht="24">
      <c r="A108" s="9"/>
      <c r="B108" s="9" t="s">
        <v>94</v>
      </c>
      <c r="C108" s="21" t="s">
        <v>152</v>
      </c>
      <c r="D108" s="9"/>
      <c r="E108" s="9"/>
      <c r="F108" s="43"/>
      <c r="G108" s="99"/>
    </row>
    <row r="109" spans="1:7">
      <c r="A109" s="9"/>
      <c r="B109" s="9"/>
      <c r="D109" s="9"/>
      <c r="E109" s="9"/>
      <c r="F109" s="43"/>
      <c r="G109" s="99"/>
    </row>
    <row r="110" spans="1:7">
      <c r="A110" s="9"/>
      <c r="B110" s="9" t="s">
        <v>185</v>
      </c>
      <c r="C110" s="37" t="s">
        <v>182</v>
      </c>
      <c r="D110" s="9"/>
      <c r="E110" s="9"/>
      <c r="F110" s="43"/>
      <c r="G110" s="99"/>
    </row>
    <row r="111" spans="1:7" ht="10.5" customHeight="1">
      <c r="A111" s="9"/>
      <c r="B111" s="9"/>
      <c r="C111" s="33"/>
      <c r="D111" s="9"/>
      <c r="E111" s="9"/>
      <c r="F111" s="43"/>
      <c r="G111" s="99"/>
    </row>
    <row r="112" spans="1:7" ht="10.5" customHeight="1">
      <c r="A112" s="9">
        <v>34</v>
      </c>
      <c r="B112" s="9" t="s">
        <v>186</v>
      </c>
      <c r="C112" s="33" t="s">
        <v>190</v>
      </c>
      <c r="D112" s="9" t="s">
        <v>42</v>
      </c>
      <c r="E112" s="9">
        <v>1</v>
      </c>
      <c r="F112" s="43"/>
      <c r="G112" s="99">
        <f>+E112*F112</f>
        <v>0</v>
      </c>
    </row>
    <row r="113" spans="1:7" ht="10.5" customHeight="1">
      <c r="A113" s="9"/>
      <c r="B113" s="9"/>
      <c r="C113" s="33"/>
      <c r="D113" s="9"/>
      <c r="E113" s="9"/>
      <c r="F113" s="43"/>
      <c r="G113" s="99"/>
    </row>
    <row r="114" spans="1:7">
      <c r="A114" s="9">
        <v>35</v>
      </c>
      <c r="B114" s="9" t="s">
        <v>187</v>
      </c>
      <c r="C114" s="33" t="s">
        <v>191</v>
      </c>
      <c r="D114" s="9" t="s">
        <v>42</v>
      </c>
      <c r="E114" s="9">
        <v>1</v>
      </c>
      <c r="F114" s="43"/>
      <c r="G114" s="99">
        <f>+E114*F114</f>
        <v>0</v>
      </c>
    </row>
    <row r="115" spans="1:7">
      <c r="A115" s="9"/>
      <c r="B115" s="9"/>
      <c r="C115" s="33"/>
      <c r="D115" s="9"/>
      <c r="E115" s="9"/>
      <c r="F115" s="43"/>
      <c r="G115" s="99"/>
    </row>
    <row r="116" spans="1:7">
      <c r="A116" s="9">
        <v>36</v>
      </c>
      <c r="B116" s="9" t="s">
        <v>188</v>
      </c>
      <c r="C116" s="33" t="s">
        <v>184</v>
      </c>
      <c r="D116" s="9" t="s">
        <v>42</v>
      </c>
      <c r="E116" s="9">
        <v>1</v>
      </c>
      <c r="F116" s="43"/>
      <c r="G116" s="99">
        <f>+E116*F116</f>
        <v>0</v>
      </c>
    </row>
    <row r="117" spans="1:7">
      <c r="A117" s="9"/>
      <c r="B117" s="9"/>
      <c r="C117" s="33"/>
      <c r="D117" s="9"/>
      <c r="E117" s="9"/>
      <c r="F117" s="43"/>
      <c r="G117" s="99"/>
    </row>
    <row r="118" spans="1:7">
      <c r="A118" s="9"/>
      <c r="B118" s="9"/>
      <c r="C118" s="33"/>
      <c r="D118" s="9"/>
      <c r="E118" s="9"/>
      <c r="F118" s="43"/>
      <c r="G118" s="99"/>
    </row>
    <row r="119" spans="1:7" s="42" customFormat="1" ht="22.5" customHeight="1">
      <c r="A119" s="149" t="s">
        <v>66</v>
      </c>
      <c r="B119" s="150"/>
      <c r="C119" s="150"/>
      <c r="D119" s="150"/>
      <c r="E119" s="150"/>
      <c r="F119" s="151"/>
      <c r="G119" s="130">
        <f>SUM(G64:G117)</f>
        <v>0</v>
      </c>
    </row>
    <row r="120" spans="1:7" s="42" customFormat="1">
      <c r="A120" s="39"/>
      <c r="B120" s="39"/>
      <c r="C120" s="39"/>
      <c r="D120" s="39"/>
      <c r="E120" s="39"/>
      <c r="F120" s="39"/>
      <c r="G120" s="131"/>
    </row>
    <row r="121" spans="1:7" s="42" customFormat="1">
      <c r="C121" s="39"/>
      <c r="F121" s="92"/>
      <c r="G121" s="131"/>
    </row>
    <row r="122" spans="1:7" s="42" customFormat="1" ht="24">
      <c r="A122" s="44" t="s">
        <v>8</v>
      </c>
      <c r="B122" s="48" t="s">
        <v>9</v>
      </c>
      <c r="C122" s="44" t="s">
        <v>10</v>
      </c>
      <c r="D122" s="48" t="s">
        <v>11</v>
      </c>
      <c r="E122" s="48" t="s">
        <v>59</v>
      </c>
      <c r="F122" s="49" t="s">
        <v>12</v>
      </c>
      <c r="G122" s="126" t="s">
        <v>13</v>
      </c>
    </row>
    <row r="123" spans="1:7" s="42" customFormat="1" ht="22.5" customHeight="1">
      <c r="A123" s="149" t="s">
        <v>67</v>
      </c>
      <c r="B123" s="150"/>
      <c r="C123" s="150"/>
      <c r="D123" s="150"/>
      <c r="E123" s="150"/>
      <c r="F123" s="151"/>
      <c r="G123" s="130">
        <f>+G119</f>
        <v>0</v>
      </c>
    </row>
    <row r="124" spans="1:7">
      <c r="A124" s="9"/>
      <c r="B124" s="9"/>
      <c r="C124" s="33"/>
      <c r="D124" s="9"/>
      <c r="E124" s="9"/>
      <c r="F124" s="43"/>
      <c r="G124" s="99"/>
    </row>
    <row r="125" spans="1:7">
      <c r="A125" s="9"/>
      <c r="B125" s="9" t="s">
        <v>137</v>
      </c>
      <c r="C125" s="37" t="s">
        <v>44</v>
      </c>
      <c r="D125" s="9"/>
      <c r="E125" s="9"/>
      <c r="F125" s="43"/>
      <c r="G125" s="99"/>
    </row>
    <row r="126" spans="1:7">
      <c r="A126" s="9"/>
      <c r="B126" s="9"/>
      <c r="C126" s="33"/>
      <c r="D126" s="9"/>
      <c r="E126" s="9"/>
      <c r="F126" s="43"/>
      <c r="G126" s="99"/>
    </row>
    <row r="127" spans="1:7">
      <c r="A127" s="9">
        <v>37</v>
      </c>
      <c r="B127" s="9" t="s">
        <v>138</v>
      </c>
      <c r="C127" s="33" t="s">
        <v>114</v>
      </c>
      <c r="D127" s="9" t="s">
        <v>42</v>
      </c>
      <c r="E127" s="9">
        <v>1</v>
      </c>
      <c r="F127" s="43"/>
      <c r="G127" s="99">
        <f>+E127*F127</f>
        <v>0</v>
      </c>
    </row>
    <row r="128" spans="1:7">
      <c r="A128" s="9"/>
      <c r="B128" s="9"/>
      <c r="C128" s="33"/>
      <c r="D128" s="9"/>
      <c r="E128" s="9"/>
      <c r="F128" s="43"/>
      <c r="G128" s="99"/>
    </row>
    <row r="129" spans="1:7">
      <c r="A129" s="9">
        <v>38</v>
      </c>
      <c r="B129" s="9" t="s">
        <v>139</v>
      </c>
      <c r="C129" s="33" t="s">
        <v>115</v>
      </c>
      <c r="D129" s="9" t="s">
        <v>42</v>
      </c>
      <c r="E129" s="9">
        <v>1</v>
      </c>
      <c r="F129" s="43"/>
      <c r="G129" s="99">
        <f>+E129*F129</f>
        <v>0</v>
      </c>
    </row>
    <row r="130" spans="1:7">
      <c r="A130" s="9"/>
      <c r="B130" s="9"/>
      <c r="C130" s="33"/>
      <c r="D130" s="9"/>
      <c r="E130" s="9"/>
      <c r="F130" s="43"/>
      <c r="G130" s="99"/>
    </row>
    <row r="131" spans="1:7">
      <c r="A131" s="9">
        <v>39</v>
      </c>
      <c r="B131" s="9" t="s">
        <v>140</v>
      </c>
      <c r="C131" s="33" t="s">
        <v>116</v>
      </c>
      <c r="D131" s="9" t="s">
        <v>42</v>
      </c>
      <c r="E131" s="9">
        <v>1</v>
      </c>
      <c r="F131" s="43"/>
      <c r="G131" s="99">
        <f>+E131*F131</f>
        <v>0</v>
      </c>
    </row>
    <row r="132" spans="1:7">
      <c r="A132" s="9"/>
      <c r="B132" s="9"/>
      <c r="C132" s="33"/>
      <c r="D132" s="9"/>
      <c r="E132" s="9"/>
      <c r="F132" s="43"/>
      <c r="G132" s="99"/>
    </row>
    <row r="133" spans="1:7">
      <c r="A133" s="9">
        <v>40</v>
      </c>
      <c r="B133" s="9" t="s">
        <v>141</v>
      </c>
      <c r="C133" s="33" t="s">
        <v>117</v>
      </c>
      <c r="D133" s="9" t="s">
        <v>42</v>
      </c>
      <c r="E133" s="9">
        <v>1</v>
      </c>
      <c r="F133" s="43"/>
      <c r="G133" s="99">
        <f>+E133*F133</f>
        <v>0</v>
      </c>
    </row>
    <row r="134" spans="1:7">
      <c r="A134" s="9"/>
      <c r="B134" s="9"/>
      <c r="C134" s="33"/>
      <c r="D134" s="9"/>
      <c r="E134" s="9"/>
      <c r="F134" s="43"/>
      <c r="G134" s="99"/>
    </row>
    <row r="135" spans="1:7">
      <c r="A135" s="9">
        <v>41</v>
      </c>
      <c r="B135" s="9" t="s">
        <v>142</v>
      </c>
      <c r="C135" s="33" t="s">
        <v>118</v>
      </c>
      <c r="D135" s="9" t="s">
        <v>42</v>
      </c>
      <c r="E135" s="9">
        <v>1</v>
      </c>
      <c r="F135" s="43"/>
      <c r="G135" s="99">
        <f>+E135*F135</f>
        <v>0</v>
      </c>
    </row>
    <row r="136" spans="1:7">
      <c r="A136" s="9"/>
      <c r="B136" s="9"/>
      <c r="C136" s="33"/>
      <c r="D136" s="9"/>
      <c r="E136" s="9"/>
      <c r="F136" s="43"/>
      <c r="G136" s="99"/>
    </row>
    <row r="137" spans="1:7">
      <c r="A137" s="9">
        <v>42</v>
      </c>
      <c r="B137" s="9" t="s">
        <v>143</v>
      </c>
      <c r="C137" s="33" t="s">
        <v>119</v>
      </c>
      <c r="D137" s="9" t="s">
        <v>42</v>
      </c>
      <c r="E137" s="9">
        <v>1</v>
      </c>
      <c r="F137" s="43"/>
      <c r="G137" s="99">
        <f>+E137*F137</f>
        <v>0</v>
      </c>
    </row>
    <row r="138" spans="1:7">
      <c r="A138" s="9"/>
      <c r="B138" s="9"/>
      <c r="C138" s="33"/>
      <c r="D138" s="9"/>
      <c r="E138" s="9"/>
      <c r="F138" s="43"/>
      <c r="G138" s="99"/>
    </row>
    <row r="139" spans="1:7">
      <c r="A139" s="9">
        <v>43</v>
      </c>
      <c r="B139" s="9" t="s">
        <v>144</v>
      </c>
      <c r="C139" s="33" t="s">
        <v>153</v>
      </c>
      <c r="D139" s="9" t="s">
        <v>42</v>
      </c>
      <c r="E139" s="9">
        <v>1</v>
      </c>
      <c r="F139" s="43"/>
      <c r="G139" s="99">
        <f>+E139*F139</f>
        <v>0</v>
      </c>
    </row>
    <row r="140" spans="1:7">
      <c r="A140" s="9"/>
      <c r="B140" s="9"/>
      <c r="C140" s="33"/>
      <c r="D140" s="9"/>
      <c r="E140" s="9"/>
      <c r="F140" s="43"/>
      <c r="G140" s="99"/>
    </row>
    <row r="141" spans="1:7">
      <c r="A141" s="9">
        <v>44</v>
      </c>
      <c r="B141" s="9" t="s">
        <v>145</v>
      </c>
      <c r="C141" s="33" t="s">
        <v>45</v>
      </c>
      <c r="D141" s="9" t="s">
        <v>42</v>
      </c>
      <c r="E141" s="9">
        <v>1</v>
      </c>
      <c r="F141" s="43"/>
      <c r="G141" s="99">
        <f>+E141*F141</f>
        <v>0</v>
      </c>
    </row>
    <row r="142" spans="1:7">
      <c r="A142" s="9"/>
      <c r="B142" s="9"/>
      <c r="C142" s="33"/>
      <c r="D142" s="9"/>
      <c r="E142" s="9"/>
      <c r="F142" s="43"/>
      <c r="G142" s="99"/>
    </row>
    <row r="143" spans="1:7">
      <c r="A143" s="9">
        <v>45</v>
      </c>
      <c r="B143" s="9" t="s">
        <v>146</v>
      </c>
      <c r="C143" s="33" t="s">
        <v>120</v>
      </c>
      <c r="D143" s="9" t="s">
        <v>42</v>
      </c>
      <c r="E143" s="9">
        <v>1</v>
      </c>
      <c r="F143" s="43"/>
      <c r="G143" s="99">
        <f>+E143*F143</f>
        <v>0</v>
      </c>
    </row>
    <row r="144" spans="1:7">
      <c r="A144" s="9"/>
      <c r="B144" s="9"/>
      <c r="C144" s="33"/>
      <c r="D144" s="9"/>
      <c r="E144" s="9"/>
      <c r="F144" s="43"/>
      <c r="G144" s="99"/>
    </row>
    <row r="145" spans="1:7">
      <c r="A145" s="9">
        <v>46</v>
      </c>
      <c r="B145" s="9" t="s">
        <v>147</v>
      </c>
      <c r="C145" s="33" t="s">
        <v>52</v>
      </c>
      <c r="D145" s="9" t="s">
        <v>42</v>
      </c>
      <c r="E145" s="9">
        <v>1</v>
      </c>
      <c r="F145" s="43"/>
      <c r="G145" s="99">
        <f>+E145*F145</f>
        <v>0</v>
      </c>
    </row>
    <row r="146" spans="1:7">
      <c r="A146" s="9"/>
      <c r="B146" s="9"/>
      <c r="C146" s="33"/>
      <c r="D146" s="9"/>
      <c r="E146" s="9"/>
      <c r="F146" s="43"/>
      <c r="G146" s="99"/>
    </row>
    <row r="147" spans="1:7">
      <c r="A147" s="9">
        <v>47</v>
      </c>
      <c r="B147" s="9" t="s">
        <v>95</v>
      </c>
      <c r="C147" s="33" t="s">
        <v>48</v>
      </c>
      <c r="D147" s="9" t="s">
        <v>42</v>
      </c>
      <c r="E147" s="9">
        <v>1</v>
      </c>
      <c r="F147" s="43"/>
      <c r="G147" s="99">
        <f>+E147*F147</f>
        <v>0</v>
      </c>
    </row>
    <row r="148" spans="1:7">
      <c r="A148" s="9"/>
      <c r="B148" s="9"/>
      <c r="C148" s="33"/>
      <c r="D148" s="9"/>
      <c r="E148" s="9"/>
      <c r="F148" s="43"/>
      <c r="G148" s="99"/>
    </row>
    <row r="149" spans="1:7" ht="24">
      <c r="A149" s="9">
        <v>48</v>
      </c>
      <c r="B149" s="9" t="s">
        <v>96</v>
      </c>
      <c r="C149" s="33" t="s">
        <v>49</v>
      </c>
      <c r="D149" s="9" t="s">
        <v>42</v>
      </c>
      <c r="E149" s="9">
        <v>1</v>
      </c>
      <c r="F149" s="43"/>
      <c r="G149" s="99">
        <f>+E149*F149</f>
        <v>0</v>
      </c>
    </row>
    <row r="150" spans="1:7">
      <c r="A150" s="9"/>
      <c r="B150" s="9"/>
      <c r="C150" s="33"/>
      <c r="D150" s="9"/>
      <c r="E150" s="9"/>
      <c r="F150" s="43"/>
      <c r="G150" s="99"/>
    </row>
    <row r="151" spans="1:7">
      <c r="A151" s="9">
        <v>49</v>
      </c>
      <c r="B151" s="9" t="s">
        <v>148</v>
      </c>
      <c r="C151" s="33" t="s">
        <v>125</v>
      </c>
      <c r="D151" s="9" t="s">
        <v>42</v>
      </c>
      <c r="E151" s="9">
        <v>1</v>
      </c>
      <c r="F151" s="43"/>
      <c r="G151" s="99">
        <f>+E151*F151</f>
        <v>0</v>
      </c>
    </row>
    <row r="152" spans="1:7">
      <c r="A152" s="9"/>
      <c r="B152" s="9"/>
      <c r="C152" s="33"/>
      <c r="D152" s="9"/>
      <c r="E152" s="9"/>
      <c r="F152" s="43"/>
      <c r="G152" s="99"/>
    </row>
    <row r="153" spans="1:7">
      <c r="A153" s="9">
        <v>50</v>
      </c>
      <c r="B153" s="9" t="s">
        <v>179</v>
      </c>
      <c r="C153" s="33" t="s">
        <v>46</v>
      </c>
      <c r="D153" s="9" t="s">
        <v>42</v>
      </c>
      <c r="E153" s="9">
        <v>1</v>
      </c>
      <c r="F153" s="43"/>
      <c r="G153" s="99">
        <f>+E153*F153</f>
        <v>0</v>
      </c>
    </row>
    <row r="154" spans="1:7">
      <c r="A154" s="9"/>
      <c r="B154" s="9"/>
      <c r="C154" s="33"/>
      <c r="D154" s="9"/>
      <c r="E154" s="9"/>
      <c r="F154" s="43"/>
      <c r="G154" s="99"/>
    </row>
    <row r="155" spans="1:7">
      <c r="A155" s="9">
        <v>51</v>
      </c>
      <c r="B155" s="9" t="s">
        <v>178</v>
      </c>
      <c r="C155" s="33" t="s">
        <v>176</v>
      </c>
      <c r="D155" s="9" t="s">
        <v>42</v>
      </c>
      <c r="E155" s="9">
        <v>1</v>
      </c>
      <c r="F155" s="43"/>
      <c r="G155" s="99">
        <f>+E155*F155</f>
        <v>0</v>
      </c>
    </row>
    <row r="156" spans="1:7">
      <c r="A156" s="9"/>
      <c r="B156" s="9"/>
      <c r="C156" s="33"/>
      <c r="D156" s="9"/>
      <c r="E156" s="9"/>
      <c r="F156" s="43"/>
      <c r="G156" s="99"/>
    </row>
    <row r="157" spans="1:7">
      <c r="A157" s="9"/>
      <c r="B157" s="9" t="s">
        <v>149</v>
      </c>
      <c r="C157" s="34" t="s">
        <v>154</v>
      </c>
      <c r="D157" s="9"/>
      <c r="E157" s="9"/>
      <c r="F157" s="43"/>
      <c r="G157" s="99"/>
    </row>
    <row r="158" spans="1:7">
      <c r="A158" s="9"/>
      <c r="B158" s="9"/>
      <c r="C158" s="33"/>
      <c r="D158" s="9"/>
      <c r="E158" s="9"/>
      <c r="F158" s="43"/>
      <c r="G158" s="99"/>
    </row>
    <row r="159" spans="1:7">
      <c r="A159" s="9"/>
      <c r="B159" s="9" t="s">
        <v>99</v>
      </c>
      <c r="C159" s="34" t="s">
        <v>50</v>
      </c>
      <c r="D159" s="9"/>
      <c r="E159" s="9"/>
      <c r="F159" s="43"/>
      <c r="G159" s="99"/>
    </row>
    <row r="160" spans="1:7">
      <c r="A160" s="9"/>
      <c r="B160" s="9"/>
      <c r="C160" s="33"/>
      <c r="D160" s="9"/>
      <c r="E160" s="9"/>
      <c r="F160" s="43"/>
      <c r="G160" s="99"/>
    </row>
    <row r="161" spans="1:7" ht="24">
      <c r="A161" s="9">
        <v>52</v>
      </c>
      <c r="B161" s="9"/>
      <c r="C161" s="33" t="s">
        <v>177</v>
      </c>
      <c r="D161" s="9" t="s">
        <v>51</v>
      </c>
      <c r="E161" s="9">
        <v>25</v>
      </c>
      <c r="F161" s="43"/>
      <c r="G161" s="99">
        <f>+F161*E161</f>
        <v>0</v>
      </c>
    </row>
    <row r="162" spans="1:7">
      <c r="A162" s="9"/>
      <c r="B162" s="9"/>
      <c r="C162" s="33"/>
      <c r="D162" s="9"/>
      <c r="E162" s="9"/>
      <c r="F162" s="43"/>
      <c r="G162" s="99"/>
    </row>
    <row r="163" spans="1:7">
      <c r="A163" s="9"/>
      <c r="B163" s="9"/>
      <c r="C163" s="33"/>
      <c r="D163" s="9"/>
      <c r="E163" s="9"/>
      <c r="F163" s="43"/>
      <c r="G163" s="99"/>
    </row>
    <row r="164" spans="1:7">
      <c r="A164" s="9"/>
      <c r="B164" s="9"/>
      <c r="C164" s="33"/>
      <c r="D164" s="9"/>
      <c r="E164" s="9"/>
      <c r="F164" s="43"/>
      <c r="G164" s="99"/>
    </row>
    <row r="165" spans="1:7">
      <c r="A165" s="9"/>
      <c r="B165" s="9"/>
      <c r="C165" s="33"/>
      <c r="D165" s="9"/>
      <c r="E165" s="9"/>
      <c r="F165" s="43"/>
      <c r="G165" s="99"/>
    </row>
    <row r="166" spans="1:7">
      <c r="A166" s="9"/>
      <c r="B166" s="9"/>
      <c r="C166" s="33"/>
      <c r="D166" s="9"/>
      <c r="E166" s="9"/>
      <c r="F166" s="43"/>
      <c r="G166" s="99"/>
    </row>
    <row r="167" spans="1:7">
      <c r="A167" s="9"/>
      <c r="B167" s="9"/>
      <c r="C167" s="33"/>
      <c r="D167" s="9"/>
      <c r="E167" s="9"/>
      <c r="F167" s="43"/>
      <c r="G167" s="99"/>
    </row>
    <row r="168" spans="1:7">
      <c r="A168" s="9"/>
      <c r="B168" s="9"/>
      <c r="C168" s="33"/>
      <c r="D168" s="9"/>
      <c r="E168" s="9"/>
      <c r="F168" s="43"/>
      <c r="G168" s="99"/>
    </row>
    <row r="169" spans="1:7">
      <c r="A169" s="9"/>
      <c r="B169" s="9"/>
      <c r="C169" s="33"/>
      <c r="D169" s="9"/>
      <c r="E169" s="9"/>
      <c r="F169" s="43"/>
      <c r="G169" s="99"/>
    </row>
    <row r="170" spans="1:7">
      <c r="A170" s="9"/>
      <c r="B170" s="9"/>
      <c r="C170" s="33"/>
      <c r="D170" s="9"/>
      <c r="E170" s="9"/>
      <c r="F170" s="43"/>
      <c r="G170" s="99"/>
    </row>
    <row r="171" spans="1:7">
      <c r="A171" s="9"/>
      <c r="B171" s="9"/>
      <c r="C171" s="33"/>
      <c r="D171" s="9"/>
      <c r="E171" s="9"/>
      <c r="F171" s="43"/>
      <c r="G171" s="99"/>
    </row>
    <row r="172" spans="1:7">
      <c r="A172" s="9"/>
      <c r="B172" s="9"/>
      <c r="C172" s="33"/>
      <c r="D172" s="9"/>
      <c r="E172" s="9"/>
      <c r="F172" s="43"/>
      <c r="G172" s="99"/>
    </row>
    <row r="173" spans="1:7">
      <c r="A173" s="9"/>
      <c r="B173" s="9"/>
      <c r="C173" s="33"/>
      <c r="D173" s="9"/>
      <c r="E173" s="9"/>
      <c r="F173" s="43"/>
      <c r="G173" s="99"/>
    </row>
    <row r="174" spans="1:7">
      <c r="A174" s="9"/>
      <c r="B174" s="9"/>
      <c r="C174" s="33"/>
      <c r="D174" s="9"/>
      <c r="E174" s="9"/>
      <c r="F174" s="43"/>
      <c r="G174" s="99"/>
    </row>
    <row r="175" spans="1:7" ht="22.5" customHeight="1">
      <c r="A175" s="149" t="s">
        <v>161</v>
      </c>
      <c r="B175" s="150"/>
      <c r="C175" s="150"/>
      <c r="D175" s="150"/>
      <c r="E175" s="150"/>
      <c r="F175" s="151"/>
      <c r="G175" s="130">
        <f>0.35*Summary!F54</f>
        <v>19004796.357749995</v>
      </c>
    </row>
    <row r="176" spans="1:7">
      <c r="A176" s="20"/>
      <c r="B176" s="20"/>
      <c r="C176" s="20"/>
      <c r="D176" s="20"/>
      <c r="E176" s="20"/>
      <c r="F176" s="20"/>
      <c r="G176" s="132"/>
    </row>
    <row r="178" spans="1:7" s="42" customFormat="1">
      <c r="A178" s="29"/>
      <c r="B178" s="29"/>
      <c r="C178" s="39"/>
      <c r="D178" s="29"/>
      <c r="E178" s="29"/>
      <c r="F178" s="92"/>
      <c r="G178" s="131"/>
    </row>
  </sheetData>
  <mergeCells count="6">
    <mergeCell ref="A175:F175"/>
    <mergeCell ref="B8:B9"/>
    <mergeCell ref="A60:F60"/>
    <mergeCell ref="A64:F64"/>
    <mergeCell ref="A119:F119"/>
    <mergeCell ref="A123:F123"/>
  </mergeCells>
  <pageMargins left="0.78740157480314965" right="0.39370078740157483" top="0.59055118110236227" bottom="0.59055118110236227" header="0.39370078740157483" footer="0.39370078740157483"/>
  <pageSetup paperSize="9" scale="98" orientation="portrait" r:id="rId1"/>
  <headerFooter>
    <oddFooter xml:space="preserve">&amp;R&amp;"Arial,Regular"&amp;8Page 6.&amp;P+5 </oddFooter>
  </headerFooter>
  <rowBreaks count="1" manualBreakCount="1">
    <brk id="6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76F3F-D5C6-4864-977F-000028ACC695}">
  <dimension ref="A1:T332"/>
  <sheetViews>
    <sheetView showGridLines="0" view="pageBreakPreview" topLeftCell="A2" zoomScaleNormal="100" zoomScaleSheetLayoutView="100" workbookViewId="0">
      <selection activeCell="H54" sqref="H1:T1048576"/>
    </sheetView>
  </sheetViews>
  <sheetFormatPr defaultColWidth="13.109375" defaultRowHeight="12"/>
  <cols>
    <col min="1" max="1" width="4.88671875" style="22" customWidth="1"/>
    <col min="2" max="2" width="8.33203125" style="20" customWidth="1"/>
    <col min="3" max="3" width="40.6640625" style="21" customWidth="1"/>
    <col min="4" max="4" width="5.109375" style="22" customWidth="1"/>
    <col min="5" max="5" width="7.6640625" style="22" customWidth="1"/>
    <col min="6" max="6" width="8.6640625" style="23" customWidth="1"/>
    <col min="7" max="7" width="11.6640625" style="24" customWidth="1"/>
    <col min="8" max="8" width="4.33203125" style="6" hidden="1" customWidth="1"/>
    <col min="9" max="9" width="11.6640625" style="146" hidden="1" customWidth="1"/>
    <col min="10" max="12" width="11.6640625" style="22" hidden="1" customWidth="1"/>
    <col min="13" max="13" width="13.109375" style="106" hidden="1" customWidth="1"/>
    <col min="14" max="14" width="13.109375" style="22" hidden="1" customWidth="1"/>
    <col min="15" max="15" width="13.109375" style="106" hidden="1" customWidth="1"/>
    <col min="16" max="18" width="13.109375" style="22" hidden="1" customWidth="1"/>
    <col min="19" max="19" width="13.33203125" style="22" hidden="1" customWidth="1"/>
    <col min="20" max="20" width="0" style="6" hidden="1" customWidth="1"/>
    <col min="21" max="16384" width="13.109375" style="6"/>
  </cols>
  <sheetData>
    <row r="1" spans="1:19" ht="20.399999999999999" hidden="1" customHeight="1">
      <c r="A1" s="19" t="s">
        <v>80</v>
      </c>
    </row>
    <row r="2" spans="1:19" ht="15" customHeight="1">
      <c r="A2" s="19" t="str">
        <f>Summary!A2</f>
        <v>NAFASI WATER - ARNOT WASTE TREATMENT PLANT</v>
      </c>
      <c r="G2" s="25" t="str">
        <f>Summary!C2</f>
        <v>Revision T1</v>
      </c>
      <c r="I2" s="22"/>
    </row>
    <row r="3" spans="1:19" ht="15" customHeight="1">
      <c r="A3" s="19" t="str">
        <f>Summary!A3</f>
        <v>PILING AND CIVIL WORK</v>
      </c>
      <c r="G3" s="26"/>
      <c r="I3" s="22"/>
    </row>
    <row r="4" spans="1:19" ht="15" customHeight="1">
      <c r="A4" s="19" t="s">
        <v>254</v>
      </c>
      <c r="G4" s="143">
        <f>Summary!C4</f>
        <v>45183</v>
      </c>
      <c r="I4" s="22"/>
    </row>
    <row r="5" spans="1:19" ht="15" customHeight="1">
      <c r="A5" s="27"/>
      <c r="B5" s="28"/>
      <c r="C5" s="28"/>
      <c r="E5" s="29"/>
      <c r="G5" s="30"/>
      <c r="I5" s="22"/>
    </row>
    <row r="6" spans="1:19" s="42" customFormat="1" ht="24.9" customHeight="1">
      <c r="A6" s="44" t="s">
        <v>8</v>
      </c>
      <c r="B6" s="48" t="s">
        <v>9</v>
      </c>
      <c r="C6" s="44" t="s">
        <v>10</v>
      </c>
      <c r="D6" s="48" t="s">
        <v>11</v>
      </c>
      <c r="E6" s="48" t="s">
        <v>59</v>
      </c>
      <c r="F6" s="49" t="s">
        <v>12</v>
      </c>
      <c r="G6" s="49" t="s">
        <v>13</v>
      </c>
      <c r="I6" s="100" t="s">
        <v>265</v>
      </c>
      <c r="J6" s="100" t="s">
        <v>255</v>
      </c>
      <c r="K6" s="100" t="s">
        <v>256</v>
      </c>
      <c r="L6" s="101" t="s">
        <v>257</v>
      </c>
      <c r="M6" s="100"/>
      <c r="N6" s="100"/>
      <c r="O6" s="100"/>
      <c r="P6" s="100"/>
      <c r="Q6" s="100"/>
      <c r="R6" s="100"/>
      <c r="S6" s="48"/>
    </row>
    <row r="7" spans="1:19" s="42" customFormat="1" ht="4.95" customHeight="1">
      <c r="A7" s="2"/>
      <c r="B7" s="40"/>
      <c r="C7" s="50"/>
      <c r="D7" s="40"/>
      <c r="E7" s="40"/>
      <c r="F7" s="54"/>
      <c r="G7" s="54"/>
      <c r="I7" s="40"/>
      <c r="J7" s="40"/>
      <c r="K7" s="40"/>
      <c r="L7" s="102"/>
      <c r="M7" s="107"/>
      <c r="N7" s="40"/>
      <c r="O7" s="107"/>
      <c r="P7" s="40"/>
      <c r="Q7" s="40"/>
      <c r="R7" s="40"/>
      <c r="S7" s="109"/>
    </row>
    <row r="8" spans="1:19" ht="19.2" customHeight="1">
      <c r="A8" s="1"/>
      <c r="B8" s="2"/>
      <c r="C8" s="11" t="s">
        <v>264</v>
      </c>
      <c r="D8" s="1"/>
      <c r="E8" s="1"/>
      <c r="F8" s="4"/>
      <c r="G8" s="5"/>
      <c r="I8" s="9"/>
      <c r="J8" s="9"/>
      <c r="K8" s="9"/>
      <c r="L8" s="103"/>
      <c r="M8" s="108"/>
      <c r="N8" s="9"/>
      <c r="O8" s="108"/>
      <c r="P8" s="9"/>
      <c r="Q8" s="9"/>
      <c r="R8" s="9"/>
      <c r="S8" s="9"/>
    </row>
    <row r="9" spans="1:19" ht="10.95" customHeight="1">
      <c r="A9" s="1"/>
      <c r="B9" s="2"/>
      <c r="C9" s="11"/>
      <c r="D9" s="1"/>
      <c r="E9" s="1"/>
      <c r="F9" s="4"/>
      <c r="G9" s="5"/>
      <c r="I9" s="9"/>
      <c r="J9" s="9"/>
      <c r="K9" s="9"/>
      <c r="L9" s="103"/>
      <c r="M9" s="108"/>
      <c r="N9" s="9"/>
      <c r="O9" s="108"/>
      <c r="P9" s="9"/>
      <c r="Q9" s="9"/>
      <c r="R9" s="9"/>
      <c r="S9" s="9"/>
    </row>
    <row r="10" spans="1:19" ht="22.2" customHeight="1">
      <c r="A10" s="1"/>
      <c r="B10" s="1" t="s">
        <v>22</v>
      </c>
      <c r="C10" s="34" t="s">
        <v>69</v>
      </c>
      <c r="D10" s="1"/>
      <c r="E10" s="3" t="str">
        <f>IF(SUM(H10:R10)&gt;0,SUM(H10:R10),"")</f>
        <v/>
      </c>
      <c r="F10" s="4"/>
      <c r="G10" s="5"/>
      <c r="I10" s="9"/>
      <c r="J10" s="9"/>
      <c r="K10" s="9"/>
      <c r="L10" s="103"/>
      <c r="M10" s="108"/>
      <c r="N10" s="9"/>
      <c r="O10" s="108"/>
      <c r="P10" s="9"/>
      <c r="Q10" s="9"/>
      <c r="R10" s="9"/>
      <c r="S10" s="9"/>
    </row>
    <row r="11" spans="1:19" ht="13.95" customHeight="1">
      <c r="A11" s="1"/>
      <c r="B11" s="1"/>
      <c r="C11" s="34"/>
      <c r="D11" s="1"/>
      <c r="E11" s="3" t="str">
        <f>IF(SUM(H11:R11)&gt;0,SUM(H11:R11),"")</f>
        <v/>
      </c>
      <c r="F11" s="4"/>
      <c r="G11" s="5"/>
      <c r="I11" s="9"/>
      <c r="J11" s="9"/>
      <c r="K11" s="9"/>
      <c r="L11" s="103"/>
      <c r="M11" s="108"/>
      <c r="N11" s="9"/>
      <c r="O11" s="108"/>
      <c r="P11" s="9"/>
      <c r="Q11" s="9"/>
      <c r="R11" s="9"/>
      <c r="S11" s="9"/>
    </row>
    <row r="12" spans="1:19" ht="13.95" customHeight="1">
      <c r="A12" s="1"/>
      <c r="B12" s="1"/>
      <c r="C12" s="32" t="s">
        <v>55</v>
      </c>
      <c r="D12" s="1"/>
      <c r="E12" s="3" t="str">
        <f>IF(SUM(H12:R12)&gt;0,SUM(H12:R12),"")</f>
        <v/>
      </c>
      <c r="F12" s="4"/>
      <c r="G12" s="5"/>
      <c r="I12" s="9"/>
      <c r="J12" s="9"/>
      <c r="K12" s="9"/>
      <c r="L12" s="103"/>
      <c r="M12" s="108"/>
      <c r="N12" s="9"/>
      <c r="O12" s="108"/>
      <c r="P12" s="9"/>
      <c r="Q12" s="9"/>
      <c r="R12" s="9"/>
      <c r="S12" s="9"/>
    </row>
    <row r="13" spans="1:19" ht="13.95" customHeight="1">
      <c r="A13" s="1"/>
      <c r="B13" s="1"/>
      <c r="C13" s="32"/>
      <c r="D13" s="1"/>
      <c r="E13" s="3" t="str">
        <f>IF(SUM(H13:R13)&gt;0,SUM(H13:R13),"")</f>
        <v/>
      </c>
      <c r="F13" s="4"/>
      <c r="G13" s="5"/>
      <c r="I13" s="9"/>
      <c r="J13" s="9"/>
      <c r="K13" s="9"/>
      <c r="L13" s="103"/>
      <c r="M13" s="108"/>
      <c r="N13" s="9"/>
      <c r="O13" s="108"/>
      <c r="P13" s="9"/>
      <c r="Q13" s="9"/>
      <c r="R13" s="9"/>
      <c r="S13" s="9"/>
    </row>
    <row r="14" spans="1:19" ht="22.2" customHeight="1">
      <c r="A14" s="1">
        <v>1</v>
      </c>
      <c r="B14" s="1"/>
      <c r="C14" s="33" t="s">
        <v>258</v>
      </c>
      <c r="D14" s="1" t="s">
        <v>6</v>
      </c>
      <c r="E14" s="3">
        <f>SUM(I14:S14)</f>
        <v>0</v>
      </c>
      <c r="F14" s="13">
        <v>1150</v>
      </c>
      <c r="G14" s="5">
        <f t="shared" ref="G14" si="0">+E14*F14</f>
        <v>0</v>
      </c>
      <c r="I14" s="147">
        <v>0</v>
      </c>
      <c r="J14" s="147">
        <v>0</v>
      </c>
      <c r="K14" s="147">
        <v>0</v>
      </c>
      <c r="L14" s="147">
        <v>0</v>
      </c>
      <c r="M14" s="140"/>
      <c r="N14" s="136"/>
      <c r="O14" s="140"/>
      <c r="P14" s="141"/>
      <c r="Q14" s="137"/>
      <c r="R14" s="141"/>
      <c r="S14" s="136"/>
    </row>
    <row r="15" spans="1:19" ht="13.95" customHeight="1">
      <c r="A15" s="1"/>
      <c r="B15" s="1"/>
      <c r="C15" s="32"/>
      <c r="D15" s="1"/>
      <c r="E15" s="3"/>
      <c r="F15" s="14"/>
      <c r="G15" s="5"/>
      <c r="I15" s="3"/>
      <c r="J15" s="3"/>
      <c r="K15" s="3"/>
      <c r="L15" s="103"/>
      <c r="M15" s="108"/>
      <c r="N15" s="9"/>
      <c r="O15" s="108"/>
      <c r="P15" s="9"/>
      <c r="Q15" s="3"/>
      <c r="R15" s="9"/>
      <c r="S15" s="9"/>
    </row>
    <row r="16" spans="1:19" ht="13.95" customHeight="1">
      <c r="A16" s="1"/>
      <c r="B16" s="1"/>
      <c r="C16" s="32" t="s">
        <v>221</v>
      </c>
      <c r="D16" s="1"/>
      <c r="E16" s="3"/>
      <c r="F16" s="14"/>
      <c r="G16" s="5"/>
      <c r="I16" s="3"/>
      <c r="J16" s="3"/>
      <c r="K16" s="3"/>
      <c r="L16" s="103"/>
      <c r="M16" s="108"/>
      <c r="N16" s="9"/>
      <c r="O16" s="108"/>
      <c r="P16" s="9"/>
      <c r="Q16" s="3"/>
      <c r="R16" s="9"/>
      <c r="S16" s="9"/>
    </row>
    <row r="17" spans="1:19" ht="34.950000000000003" customHeight="1">
      <c r="A17" s="1"/>
      <c r="B17" s="1"/>
      <c r="C17" s="33" t="s">
        <v>219</v>
      </c>
      <c r="D17" s="1"/>
      <c r="E17" s="3"/>
      <c r="F17" s="14"/>
      <c r="G17" s="5"/>
      <c r="I17" s="3"/>
      <c r="J17" s="3"/>
      <c r="K17" s="3"/>
      <c r="L17" s="103"/>
      <c r="M17" s="108"/>
      <c r="N17" s="9"/>
      <c r="O17" s="108"/>
      <c r="P17" s="9"/>
      <c r="Q17" s="3"/>
      <c r="R17" s="9"/>
      <c r="S17" s="9"/>
    </row>
    <row r="18" spans="1:19" ht="10.95" customHeight="1">
      <c r="A18" s="1"/>
      <c r="B18" s="1"/>
      <c r="C18" s="32"/>
      <c r="D18" s="1"/>
      <c r="E18" s="3"/>
      <c r="F18" s="13"/>
      <c r="G18" s="5"/>
      <c r="I18" s="3"/>
      <c r="J18" s="3"/>
      <c r="K18" s="3"/>
      <c r="L18" s="103"/>
      <c r="M18" s="108"/>
      <c r="N18" s="9"/>
      <c r="O18" s="108"/>
      <c r="P18" s="9"/>
      <c r="Q18" s="3"/>
      <c r="R18" s="9"/>
      <c r="S18" s="9"/>
    </row>
    <row r="19" spans="1:19" ht="13.2" customHeight="1">
      <c r="A19" s="1">
        <v>2</v>
      </c>
      <c r="B19" s="1"/>
      <c r="C19" s="33" t="s">
        <v>33</v>
      </c>
      <c r="D19" s="1" t="s">
        <v>1</v>
      </c>
      <c r="E19" s="3">
        <f>SUM(I19:S19)</f>
        <v>0</v>
      </c>
      <c r="F19" s="13">
        <v>1850</v>
      </c>
      <c r="G19" s="5">
        <f t="shared" ref="G19" si="1">+E19*F19</f>
        <v>0</v>
      </c>
      <c r="I19" s="3">
        <f>I14*10</f>
        <v>0</v>
      </c>
      <c r="J19" s="3">
        <f t="shared" ref="J19:L19" si="2">J14*10</f>
        <v>0</v>
      </c>
      <c r="K19" s="3">
        <f t="shared" si="2"/>
        <v>0</v>
      </c>
      <c r="L19" s="3">
        <f t="shared" si="2"/>
        <v>0</v>
      </c>
      <c r="M19" s="138"/>
      <c r="N19" s="138"/>
      <c r="O19" s="138"/>
      <c r="P19" s="138"/>
      <c r="Q19" s="138"/>
      <c r="R19" s="138"/>
      <c r="S19" s="138"/>
    </row>
    <row r="20" spans="1:19" ht="13.2" customHeight="1">
      <c r="A20" s="1"/>
      <c r="B20" s="1"/>
      <c r="C20" s="32"/>
      <c r="D20" s="1"/>
      <c r="E20" s="3"/>
      <c r="F20" s="13"/>
      <c r="G20" s="5"/>
      <c r="I20" s="3"/>
      <c r="J20" s="3"/>
      <c r="K20" s="3"/>
      <c r="L20" s="3"/>
      <c r="M20" s="138"/>
      <c r="N20" s="138"/>
      <c r="O20" s="138"/>
      <c r="P20" s="138"/>
      <c r="Q20" s="138"/>
      <c r="R20" s="138"/>
      <c r="S20" s="138"/>
    </row>
    <row r="21" spans="1:19" ht="13.2" customHeight="1">
      <c r="A21" s="1">
        <v>3</v>
      </c>
      <c r="B21" s="1"/>
      <c r="C21" s="33" t="s">
        <v>34</v>
      </c>
      <c r="D21" s="1" t="s">
        <v>1</v>
      </c>
      <c r="E21" s="3">
        <f>SUM(I21:S21)</f>
        <v>0</v>
      </c>
      <c r="F21" s="13">
        <f>F19</f>
        <v>1850</v>
      </c>
      <c r="G21" s="5">
        <f t="shared" ref="G21" si="3">+E21*F21</f>
        <v>0</v>
      </c>
      <c r="I21" s="3">
        <f>I14*5</f>
        <v>0</v>
      </c>
      <c r="J21" s="3">
        <f t="shared" ref="J21:L21" si="4">J14*5</f>
        <v>0</v>
      </c>
      <c r="K21" s="3">
        <f t="shared" si="4"/>
        <v>0</v>
      </c>
      <c r="L21" s="3">
        <f t="shared" si="4"/>
        <v>0</v>
      </c>
      <c r="M21" s="138"/>
      <c r="N21" s="138"/>
      <c r="O21" s="138"/>
      <c r="P21" s="138"/>
      <c r="Q21" s="138"/>
      <c r="R21" s="138"/>
      <c r="S21" s="138"/>
    </row>
    <row r="22" spans="1:19" ht="13.2" customHeight="1">
      <c r="A22" s="1"/>
      <c r="B22" s="1"/>
      <c r="C22" s="32"/>
      <c r="D22" s="1"/>
      <c r="E22" s="3"/>
      <c r="F22" s="13"/>
      <c r="G22" s="5"/>
      <c r="I22" s="3"/>
      <c r="J22" s="3"/>
      <c r="K22" s="3"/>
      <c r="L22" s="3"/>
      <c r="M22" s="138"/>
      <c r="N22" s="138"/>
      <c r="O22" s="138"/>
      <c r="P22" s="138"/>
      <c r="Q22" s="138"/>
      <c r="R22" s="138"/>
      <c r="S22" s="138"/>
    </row>
    <row r="23" spans="1:19" ht="13.2" customHeight="1">
      <c r="A23" s="1"/>
      <c r="B23" s="1"/>
      <c r="C23" s="32" t="s">
        <v>76</v>
      </c>
      <c r="D23" s="1"/>
      <c r="E23" s="3"/>
      <c r="F23" s="13"/>
      <c r="G23" s="5"/>
      <c r="I23" s="3"/>
      <c r="J23" s="3"/>
      <c r="K23" s="3"/>
      <c r="L23" s="3"/>
      <c r="M23" s="138"/>
      <c r="N23" s="138"/>
      <c r="O23" s="138"/>
      <c r="P23" s="138"/>
      <c r="Q23" s="138"/>
      <c r="R23" s="138"/>
      <c r="S23" s="138"/>
    </row>
    <row r="24" spans="1:19" ht="13.2" customHeight="1">
      <c r="A24" s="1"/>
      <c r="B24" s="1"/>
      <c r="C24" s="32"/>
      <c r="D24" s="1"/>
      <c r="E24" s="3"/>
      <c r="F24" s="13"/>
      <c r="G24" s="5"/>
      <c r="I24" s="3"/>
      <c r="J24" s="3"/>
      <c r="K24" s="3"/>
      <c r="L24" s="3"/>
      <c r="M24" s="138"/>
      <c r="N24" s="138"/>
      <c r="O24" s="138"/>
      <c r="P24" s="138"/>
      <c r="Q24" s="138"/>
      <c r="R24" s="138"/>
      <c r="S24" s="138"/>
    </row>
    <row r="25" spans="1:19" ht="13.2" customHeight="1">
      <c r="A25" s="1">
        <v>4</v>
      </c>
      <c r="B25" s="1"/>
      <c r="C25" s="47" t="s">
        <v>77</v>
      </c>
      <c r="D25" s="1" t="s">
        <v>6</v>
      </c>
      <c r="E25" s="3">
        <f>SUM(I25:S25)</f>
        <v>0</v>
      </c>
      <c r="F25" s="13">
        <v>1250</v>
      </c>
      <c r="G25" s="5">
        <f t="shared" ref="G25" si="5">+E25*F25</f>
        <v>0</v>
      </c>
      <c r="I25" s="3">
        <f>I14</f>
        <v>0</v>
      </c>
      <c r="J25" s="3">
        <f t="shared" ref="J25:L25" si="6">J14</f>
        <v>0</v>
      </c>
      <c r="K25" s="3">
        <f t="shared" si="6"/>
        <v>0</v>
      </c>
      <c r="L25" s="3">
        <f t="shared" si="6"/>
        <v>0</v>
      </c>
      <c r="M25" s="138"/>
      <c r="N25" s="138"/>
      <c r="O25" s="138"/>
      <c r="P25" s="138"/>
      <c r="Q25" s="138"/>
      <c r="R25" s="138"/>
      <c r="S25" s="138"/>
    </row>
    <row r="26" spans="1:19" ht="13.2" customHeight="1">
      <c r="A26" s="1"/>
      <c r="B26" s="1"/>
      <c r="C26" s="32"/>
      <c r="D26" s="1"/>
      <c r="E26" s="3"/>
      <c r="F26" s="13"/>
      <c r="G26" s="5"/>
      <c r="I26" s="3"/>
      <c r="J26" s="3"/>
      <c r="K26" s="3"/>
      <c r="L26" s="3"/>
      <c r="M26" s="138"/>
      <c r="N26" s="138"/>
      <c r="O26" s="138"/>
      <c r="P26" s="138"/>
      <c r="Q26" s="138"/>
      <c r="R26" s="138"/>
      <c r="S26" s="138"/>
    </row>
    <row r="27" spans="1:19" ht="12.6" customHeight="1">
      <c r="A27" s="1"/>
      <c r="B27" s="1"/>
      <c r="C27" s="32" t="s">
        <v>71</v>
      </c>
      <c r="D27" s="1"/>
      <c r="E27" s="3"/>
      <c r="F27" s="13"/>
      <c r="G27" s="5"/>
      <c r="I27" s="3"/>
      <c r="J27" s="3"/>
      <c r="K27" s="3"/>
      <c r="L27" s="3"/>
      <c r="M27" s="138"/>
      <c r="N27" s="138"/>
      <c r="O27" s="138"/>
      <c r="P27" s="138"/>
      <c r="Q27" s="138"/>
      <c r="R27" s="138"/>
      <c r="S27" s="138"/>
    </row>
    <row r="28" spans="1:19" ht="12.6" customHeight="1">
      <c r="A28" s="1"/>
      <c r="B28" s="1"/>
      <c r="C28" s="33"/>
      <c r="D28" s="1"/>
      <c r="E28" s="3"/>
      <c r="F28" s="13"/>
      <c r="G28" s="5"/>
      <c r="I28" s="3"/>
      <c r="J28" s="3"/>
      <c r="K28" s="3"/>
      <c r="L28" s="3"/>
      <c r="M28" s="138"/>
      <c r="N28" s="138"/>
      <c r="O28" s="138"/>
      <c r="P28" s="138"/>
      <c r="Q28" s="138"/>
      <c r="R28" s="138"/>
      <c r="S28" s="138"/>
    </row>
    <row r="29" spans="1:19" ht="12.6" customHeight="1">
      <c r="A29" s="1">
        <v>5</v>
      </c>
      <c r="B29" s="1"/>
      <c r="C29" s="33" t="s">
        <v>223</v>
      </c>
      <c r="D29" s="1" t="s">
        <v>2</v>
      </c>
      <c r="E29" s="4">
        <f>SUM(I29:S29)</f>
        <v>0</v>
      </c>
      <c r="F29" s="13">
        <v>29500</v>
      </c>
      <c r="G29" s="5">
        <f t="shared" ref="G29" si="7">+E29*F29</f>
        <v>0</v>
      </c>
      <c r="I29" s="4">
        <f>(I19+I21)*0.00325</f>
        <v>0</v>
      </c>
      <c r="J29" s="4">
        <f t="shared" ref="J29:L29" si="8">(J19+J21)*0.00325</f>
        <v>0</v>
      </c>
      <c r="K29" s="4">
        <f t="shared" si="8"/>
        <v>0</v>
      </c>
      <c r="L29" s="4">
        <f t="shared" si="8"/>
        <v>0</v>
      </c>
      <c r="M29" s="139"/>
      <c r="N29" s="139"/>
      <c r="O29" s="139"/>
      <c r="P29" s="139"/>
      <c r="Q29" s="139"/>
      <c r="R29" s="139"/>
      <c r="S29" s="139"/>
    </row>
    <row r="30" spans="1:19" ht="12.6" customHeight="1">
      <c r="A30" s="1"/>
      <c r="B30" s="1"/>
      <c r="C30" s="33"/>
      <c r="D30" s="1"/>
      <c r="E30" s="4"/>
      <c r="F30" s="13"/>
      <c r="G30" s="5"/>
      <c r="I30" s="3"/>
      <c r="J30" s="3"/>
      <c r="K30" s="3"/>
      <c r="L30" s="3"/>
      <c r="M30" s="138"/>
      <c r="N30" s="138"/>
      <c r="O30" s="138"/>
      <c r="P30" s="138"/>
      <c r="Q30" s="138"/>
      <c r="R30" s="138"/>
      <c r="S30" s="138"/>
    </row>
    <row r="31" spans="1:19" ht="12.6" customHeight="1">
      <c r="A31" s="1">
        <v>6</v>
      </c>
      <c r="B31" s="1"/>
      <c r="C31" s="33" t="s">
        <v>222</v>
      </c>
      <c r="D31" s="1" t="s">
        <v>2</v>
      </c>
      <c r="E31" s="4">
        <f>SUM(I31:S31)</f>
        <v>0</v>
      </c>
      <c r="F31" s="13">
        <v>28000</v>
      </c>
      <c r="G31" s="5">
        <f t="shared" ref="G31" si="9">+E31*F31</f>
        <v>0</v>
      </c>
      <c r="I31" s="4">
        <f>(I19+I21)*0.0215</f>
        <v>0</v>
      </c>
      <c r="J31" s="4">
        <f t="shared" ref="J31:L31" si="10">(J19+J21)*0.0215</f>
        <v>0</v>
      </c>
      <c r="K31" s="4">
        <f t="shared" si="10"/>
        <v>0</v>
      </c>
      <c r="L31" s="4">
        <f t="shared" si="10"/>
        <v>0</v>
      </c>
      <c r="M31" s="139"/>
      <c r="N31" s="139"/>
      <c r="O31" s="139"/>
      <c r="P31" s="139"/>
      <c r="Q31" s="139"/>
      <c r="R31" s="139"/>
      <c r="S31" s="139"/>
    </row>
    <row r="32" spans="1:19" ht="12.6" customHeight="1">
      <c r="A32" s="1"/>
      <c r="B32" s="1"/>
      <c r="C32" s="33"/>
      <c r="D32" s="1"/>
      <c r="E32" s="3"/>
      <c r="F32" s="13"/>
      <c r="G32" s="5"/>
      <c r="I32" s="3"/>
      <c r="J32" s="3"/>
      <c r="K32" s="3"/>
      <c r="L32" s="3"/>
      <c r="M32" s="138"/>
      <c r="N32" s="138"/>
      <c r="O32" s="138"/>
      <c r="P32" s="138"/>
      <c r="Q32" s="138"/>
      <c r="R32" s="138"/>
      <c r="S32" s="138"/>
    </row>
    <row r="33" spans="1:19" ht="12.6" customHeight="1">
      <c r="A33" s="1"/>
      <c r="B33" s="1"/>
      <c r="C33" s="32" t="s">
        <v>56</v>
      </c>
      <c r="D33" s="1"/>
      <c r="E33" s="3"/>
      <c r="F33" s="13"/>
      <c r="G33" s="5"/>
      <c r="I33" s="3"/>
      <c r="J33" s="3"/>
      <c r="K33" s="3"/>
      <c r="L33" s="3"/>
      <c r="M33" s="138"/>
      <c r="N33" s="138"/>
      <c r="O33" s="138"/>
      <c r="P33" s="138"/>
      <c r="Q33" s="138"/>
      <c r="R33" s="138"/>
      <c r="S33" s="138"/>
    </row>
    <row r="34" spans="1:19" ht="13.2" customHeight="1">
      <c r="A34" s="1"/>
      <c r="B34" s="1"/>
      <c r="C34" s="33"/>
      <c r="D34" s="1"/>
      <c r="E34" s="3"/>
      <c r="F34" s="13"/>
      <c r="G34" s="5"/>
      <c r="I34" s="3"/>
      <c r="J34" s="3"/>
      <c r="K34" s="3"/>
      <c r="L34" s="3"/>
      <c r="M34" s="138"/>
      <c r="N34" s="138"/>
      <c r="O34" s="138"/>
      <c r="P34" s="138"/>
      <c r="Q34" s="138"/>
      <c r="R34" s="138"/>
      <c r="S34" s="138"/>
    </row>
    <row r="35" spans="1:19" ht="13.2" customHeight="1">
      <c r="A35" s="1">
        <v>7</v>
      </c>
      <c r="B35" s="1"/>
      <c r="C35" s="33" t="s">
        <v>220</v>
      </c>
      <c r="D35" s="1"/>
      <c r="E35" s="3"/>
      <c r="F35" s="13"/>
      <c r="G35" s="5"/>
      <c r="I35" s="3"/>
      <c r="J35" s="3"/>
      <c r="K35" s="3"/>
      <c r="L35" s="3"/>
      <c r="M35" s="138"/>
      <c r="N35" s="138"/>
      <c r="O35" s="138"/>
      <c r="P35" s="138"/>
      <c r="Q35" s="138"/>
      <c r="R35" s="138"/>
      <c r="S35" s="138"/>
    </row>
    <row r="36" spans="1:19" ht="13.2" customHeight="1">
      <c r="A36" s="1"/>
      <c r="B36" s="1"/>
      <c r="C36" s="1"/>
      <c r="D36" s="1"/>
      <c r="E36" s="3"/>
      <c r="F36" s="13"/>
      <c r="G36" s="5"/>
      <c r="I36" s="3"/>
      <c r="J36" s="3"/>
      <c r="K36" s="3"/>
      <c r="L36" s="3"/>
      <c r="M36" s="138"/>
      <c r="N36" s="138"/>
      <c r="O36" s="138"/>
      <c r="P36" s="138"/>
      <c r="Q36" s="138"/>
      <c r="R36" s="138"/>
      <c r="S36" s="138"/>
    </row>
    <row r="37" spans="1:19" ht="13.2" customHeight="1">
      <c r="A37" s="1"/>
      <c r="B37" s="1"/>
      <c r="C37" s="33" t="s">
        <v>38</v>
      </c>
      <c r="D37" s="1" t="s">
        <v>51</v>
      </c>
      <c r="E37" s="3">
        <f>SUM(I37:S37)</f>
        <v>0</v>
      </c>
      <c r="F37" s="13">
        <v>3500</v>
      </c>
      <c r="G37" s="5">
        <f t="shared" ref="G37" si="11">+E37*F37</f>
        <v>0</v>
      </c>
      <c r="I37" s="4">
        <f>((I19+I21)*0.292)+(I14*0.75)</f>
        <v>0</v>
      </c>
      <c r="J37" s="4">
        <f t="shared" ref="J37:L37" si="12">((J19+J21)*0.292)+(J14*0.75)</f>
        <v>0</v>
      </c>
      <c r="K37" s="4">
        <f t="shared" si="12"/>
        <v>0</v>
      </c>
      <c r="L37" s="4">
        <f t="shared" si="12"/>
        <v>0</v>
      </c>
      <c r="M37" s="139"/>
      <c r="N37" s="139"/>
      <c r="O37" s="139"/>
      <c r="P37" s="139"/>
      <c r="Q37" s="139"/>
      <c r="R37" s="139"/>
      <c r="S37" s="139"/>
    </row>
    <row r="38" spans="1:19" ht="13.2" customHeight="1">
      <c r="A38" s="1"/>
      <c r="B38" s="1"/>
      <c r="C38" s="33"/>
      <c r="D38" s="1"/>
      <c r="E38" s="3"/>
      <c r="F38" s="13"/>
      <c r="G38" s="5"/>
      <c r="I38" s="3"/>
      <c r="J38" s="3"/>
      <c r="K38" s="3"/>
      <c r="L38" s="3"/>
      <c r="M38" s="138"/>
      <c r="N38" s="138"/>
      <c r="O38" s="138"/>
      <c r="P38" s="138"/>
      <c r="Q38" s="138"/>
      <c r="R38" s="138"/>
      <c r="S38" s="138"/>
    </row>
    <row r="39" spans="1:19" ht="13.2" customHeight="1">
      <c r="A39" s="1"/>
      <c r="B39" s="1" t="s">
        <v>23</v>
      </c>
      <c r="C39" s="32" t="s">
        <v>35</v>
      </c>
      <c r="D39" s="1"/>
      <c r="E39" s="3"/>
      <c r="F39" s="13"/>
      <c r="G39" s="5"/>
      <c r="I39" s="3"/>
      <c r="J39" s="3"/>
      <c r="K39" s="3"/>
      <c r="L39" s="3"/>
      <c r="M39" s="138"/>
      <c r="N39" s="138"/>
      <c r="O39" s="138"/>
      <c r="P39" s="138"/>
      <c r="Q39" s="138"/>
      <c r="R39" s="138"/>
      <c r="S39" s="138"/>
    </row>
    <row r="40" spans="1:19" ht="13.2" customHeight="1">
      <c r="A40" s="1"/>
      <c r="B40" s="1"/>
      <c r="C40" s="32"/>
      <c r="D40" s="1"/>
      <c r="E40" s="3"/>
      <c r="F40" s="13"/>
      <c r="G40" s="5"/>
      <c r="I40" s="3"/>
      <c r="J40" s="3"/>
      <c r="K40" s="3"/>
      <c r="L40" s="3"/>
      <c r="M40" s="138"/>
      <c r="N40" s="138"/>
      <c r="O40" s="138"/>
      <c r="P40" s="138"/>
      <c r="Q40" s="138"/>
      <c r="R40" s="138"/>
      <c r="S40" s="138"/>
    </row>
    <row r="41" spans="1:19" ht="13.2" customHeight="1">
      <c r="A41" s="1">
        <v>8</v>
      </c>
      <c r="B41" s="1"/>
      <c r="C41" s="33" t="s">
        <v>259</v>
      </c>
      <c r="D41" s="1" t="s">
        <v>6</v>
      </c>
      <c r="E41" s="3">
        <f>SUM(I41:S41)</f>
        <v>0</v>
      </c>
      <c r="F41" s="13">
        <v>875</v>
      </c>
      <c r="G41" s="5">
        <f t="shared" ref="G41" si="13">+E41*F41</f>
        <v>0</v>
      </c>
      <c r="I41" s="3">
        <f>I14</f>
        <v>0</v>
      </c>
      <c r="J41" s="3">
        <f t="shared" ref="J41:L41" si="14">J14</f>
        <v>0</v>
      </c>
      <c r="K41" s="3">
        <f t="shared" si="14"/>
        <v>0</v>
      </c>
      <c r="L41" s="3">
        <f t="shared" si="14"/>
        <v>0</v>
      </c>
      <c r="M41" s="138"/>
      <c r="N41" s="138"/>
      <c r="O41" s="138"/>
      <c r="P41" s="138"/>
      <c r="Q41" s="138"/>
      <c r="R41" s="138"/>
      <c r="S41" s="138"/>
    </row>
    <row r="42" spans="1:19" ht="13.2" customHeight="1">
      <c r="A42" s="1"/>
      <c r="B42" s="2"/>
      <c r="C42" s="11"/>
      <c r="D42" s="1"/>
      <c r="E42" s="1"/>
      <c r="F42" s="13"/>
      <c r="G42" s="5"/>
      <c r="I42" s="1"/>
      <c r="J42" s="1"/>
      <c r="K42" s="1"/>
      <c r="L42" s="103"/>
      <c r="M42" s="108"/>
      <c r="N42" s="9"/>
      <c r="O42" s="108"/>
      <c r="P42" s="9"/>
      <c r="Q42" s="9"/>
      <c r="R42" s="9"/>
      <c r="S42" s="9"/>
    </row>
    <row r="43" spans="1:19" ht="21.6" customHeight="1">
      <c r="A43" s="1"/>
      <c r="B43" s="2" t="s">
        <v>100</v>
      </c>
      <c r="C43" s="31" t="s">
        <v>79</v>
      </c>
      <c r="D43" s="1"/>
      <c r="E43" s="3"/>
      <c r="F43" s="14"/>
      <c r="G43" s="5"/>
      <c r="I43" s="3"/>
      <c r="J43" s="3"/>
      <c r="K43" s="3"/>
      <c r="L43" s="103"/>
      <c r="M43" s="108"/>
      <c r="N43" s="9"/>
      <c r="O43" s="108"/>
      <c r="P43" s="9"/>
      <c r="Q43" s="9"/>
      <c r="R43" s="9"/>
      <c r="S43" s="9"/>
    </row>
    <row r="44" spans="1:19" ht="13.95" customHeight="1">
      <c r="A44" s="1"/>
      <c r="B44" s="2"/>
      <c r="C44" s="8" t="s">
        <v>81</v>
      </c>
      <c r="D44" s="1"/>
      <c r="E44" s="3"/>
      <c r="F44" s="14"/>
      <c r="G44" s="5"/>
      <c r="I44" s="3"/>
      <c r="J44" s="3"/>
      <c r="K44" s="3"/>
      <c r="L44" s="103"/>
      <c r="M44" s="108"/>
      <c r="N44" s="9"/>
      <c r="O44" s="108"/>
      <c r="P44" s="9"/>
      <c r="Q44" s="9"/>
      <c r="R44" s="9"/>
      <c r="S44" s="9"/>
    </row>
    <row r="45" spans="1:19" ht="50.4" customHeight="1">
      <c r="A45" s="16">
        <v>9</v>
      </c>
      <c r="B45" s="33" t="s">
        <v>162</v>
      </c>
      <c r="C45" s="33" t="s">
        <v>163</v>
      </c>
      <c r="D45" s="9" t="s">
        <v>60</v>
      </c>
      <c r="E45" s="3">
        <f>SUM(I45:S45)</f>
        <v>1485</v>
      </c>
      <c r="F45" s="13">
        <v>225</v>
      </c>
      <c r="G45" s="5">
        <f t="shared" ref="G45" si="15">+E45*F45</f>
        <v>334125</v>
      </c>
      <c r="I45" s="9"/>
      <c r="J45" s="9">
        <v>1485</v>
      </c>
      <c r="K45" s="9"/>
      <c r="L45" s="103"/>
      <c r="M45" s="108"/>
      <c r="N45" s="9"/>
      <c r="O45" s="108"/>
      <c r="P45" s="9"/>
      <c r="Q45" s="9"/>
      <c r="R45" s="9"/>
      <c r="S45" s="9"/>
    </row>
    <row r="46" spans="1:19">
      <c r="A46" s="16"/>
      <c r="B46" s="33"/>
      <c r="D46" s="9"/>
      <c r="E46" s="3"/>
      <c r="F46" s="13"/>
      <c r="G46" s="5"/>
      <c r="I46" s="9"/>
      <c r="J46" s="9"/>
      <c r="K46" s="9"/>
      <c r="L46" s="103"/>
      <c r="M46" s="108"/>
      <c r="N46" s="9"/>
      <c r="O46" s="108"/>
      <c r="P46" s="9"/>
      <c r="Q46" s="9"/>
      <c r="R46" s="9"/>
      <c r="S46" s="9"/>
    </row>
    <row r="47" spans="1:19">
      <c r="A47" s="16"/>
      <c r="B47" s="33"/>
      <c r="D47" s="9"/>
      <c r="E47" s="3"/>
      <c r="F47" s="13"/>
      <c r="G47" s="5"/>
      <c r="I47" s="9"/>
      <c r="J47" s="9"/>
      <c r="K47" s="9"/>
      <c r="L47" s="103"/>
      <c r="M47" s="108"/>
      <c r="N47" s="9"/>
      <c r="O47" s="108"/>
      <c r="P47" s="9"/>
      <c r="Q47" s="9"/>
      <c r="R47" s="9"/>
      <c r="S47" s="9"/>
    </row>
    <row r="48" spans="1:19">
      <c r="A48" s="16"/>
      <c r="B48" s="33"/>
      <c r="D48" s="9"/>
      <c r="E48" s="3"/>
      <c r="F48" s="13"/>
      <c r="G48" s="5"/>
      <c r="I48" s="9"/>
      <c r="J48" s="9"/>
      <c r="K48" s="9"/>
      <c r="L48" s="103"/>
      <c r="M48" s="108"/>
      <c r="N48" s="9"/>
      <c r="O48" s="108"/>
      <c r="P48" s="9"/>
      <c r="Q48" s="9"/>
      <c r="R48" s="9"/>
      <c r="S48" s="9"/>
    </row>
    <row r="49" spans="1:19" ht="13.95" customHeight="1">
      <c r="A49" s="1"/>
      <c r="B49" s="2"/>
      <c r="C49" s="8"/>
      <c r="D49" s="9"/>
      <c r="E49" s="3"/>
      <c r="F49" s="4"/>
      <c r="G49" s="5"/>
      <c r="I49" s="9"/>
      <c r="J49" s="9"/>
      <c r="K49" s="9"/>
      <c r="L49" s="103"/>
      <c r="M49" s="108"/>
      <c r="N49" s="9"/>
      <c r="O49" s="108"/>
      <c r="P49" s="9"/>
      <c r="Q49" s="9"/>
      <c r="R49" s="9"/>
      <c r="S49" s="9"/>
    </row>
    <row r="50" spans="1:19" ht="20.100000000000001" customHeight="1">
      <c r="A50" s="149" t="s">
        <v>66</v>
      </c>
      <c r="B50" s="150"/>
      <c r="C50" s="150"/>
      <c r="D50" s="150"/>
      <c r="E50" s="150"/>
      <c r="F50" s="151"/>
      <c r="G50" s="116">
        <f>SUM(G7:G49)</f>
        <v>334125</v>
      </c>
      <c r="I50" s="9"/>
      <c r="J50" s="9"/>
      <c r="K50" s="9"/>
      <c r="L50" s="103"/>
      <c r="M50" s="108"/>
      <c r="N50" s="9"/>
      <c r="O50" s="108"/>
      <c r="P50" s="9"/>
      <c r="Q50" s="9"/>
      <c r="R50" s="9"/>
      <c r="S50" s="9"/>
    </row>
    <row r="51" spans="1:19">
      <c r="A51" s="39"/>
      <c r="B51" s="39"/>
      <c r="C51" s="39"/>
      <c r="D51" s="39"/>
      <c r="E51" s="39"/>
      <c r="F51" s="39"/>
      <c r="G51" s="113"/>
      <c r="I51" s="9"/>
      <c r="J51" s="9"/>
      <c r="K51" s="9"/>
      <c r="L51" s="103"/>
      <c r="M51" s="108"/>
      <c r="N51" s="9"/>
      <c r="O51" s="108"/>
      <c r="P51" s="9"/>
      <c r="Q51" s="9"/>
      <c r="R51" s="9"/>
      <c r="S51" s="9"/>
    </row>
    <row r="52" spans="1:19">
      <c r="A52" s="39"/>
      <c r="B52" s="39"/>
      <c r="C52" s="39"/>
      <c r="D52" s="39"/>
      <c r="E52" s="39"/>
      <c r="F52" s="39"/>
      <c r="G52" s="113"/>
      <c r="I52" s="9"/>
      <c r="J52" s="9"/>
      <c r="K52" s="9"/>
      <c r="L52" s="103"/>
      <c r="M52" s="108"/>
      <c r="N52" s="9"/>
      <c r="O52" s="108"/>
      <c r="P52" s="9"/>
      <c r="Q52" s="9"/>
      <c r="R52" s="9"/>
      <c r="S52" s="9"/>
    </row>
    <row r="53" spans="1:19" ht="24" customHeight="1">
      <c r="A53" s="44" t="s">
        <v>8</v>
      </c>
      <c r="B53" s="48" t="s">
        <v>9</v>
      </c>
      <c r="C53" s="44" t="s">
        <v>10</v>
      </c>
      <c r="D53" s="48" t="s">
        <v>11</v>
      </c>
      <c r="E53" s="48" t="s">
        <v>59</v>
      </c>
      <c r="F53" s="49" t="s">
        <v>12</v>
      </c>
      <c r="G53" s="111" t="s">
        <v>13</v>
      </c>
      <c r="I53" s="9"/>
      <c r="J53" s="9"/>
      <c r="K53" s="9"/>
      <c r="L53" s="103"/>
      <c r="M53" s="108"/>
      <c r="N53" s="9"/>
      <c r="O53" s="108"/>
      <c r="P53" s="9"/>
      <c r="Q53" s="9"/>
      <c r="R53" s="9"/>
      <c r="S53" s="9"/>
    </row>
    <row r="54" spans="1:19" ht="20.100000000000001" customHeight="1">
      <c r="A54" s="149" t="s">
        <v>67</v>
      </c>
      <c r="B54" s="150"/>
      <c r="C54" s="150"/>
      <c r="D54" s="150"/>
      <c r="E54" s="150"/>
      <c r="F54" s="151"/>
      <c r="G54" s="116">
        <f>+G50</f>
        <v>334125</v>
      </c>
      <c r="I54" s="9"/>
      <c r="J54" s="9"/>
      <c r="K54" s="9"/>
      <c r="L54" s="103"/>
      <c r="M54" s="108"/>
      <c r="N54" s="9"/>
      <c r="O54" s="108"/>
      <c r="P54" s="9"/>
      <c r="Q54" s="9"/>
      <c r="R54" s="9"/>
      <c r="S54" s="9"/>
    </row>
    <row r="55" spans="1:19" ht="9" customHeight="1">
      <c r="A55" s="1"/>
      <c r="B55" s="2"/>
      <c r="C55" s="8"/>
      <c r="D55" s="9"/>
      <c r="E55" s="3"/>
      <c r="F55" s="4"/>
      <c r="G55" s="5"/>
      <c r="I55" s="3"/>
      <c r="J55" s="3"/>
      <c r="K55" s="3"/>
      <c r="L55" s="103"/>
      <c r="M55" s="108"/>
      <c r="N55" s="9"/>
      <c r="O55" s="108"/>
      <c r="P55" s="9"/>
      <c r="Q55" s="9"/>
      <c r="R55" s="9"/>
      <c r="S55" s="9"/>
    </row>
    <row r="56" spans="1:19" ht="13.95" customHeight="1">
      <c r="A56" s="1"/>
      <c r="B56" s="2" t="s">
        <v>173</v>
      </c>
      <c r="C56" s="31" t="s">
        <v>79</v>
      </c>
      <c r="D56" s="1"/>
      <c r="E56" s="3"/>
      <c r="F56" s="4"/>
      <c r="G56" s="5"/>
      <c r="I56" s="3"/>
      <c r="J56" s="3"/>
      <c r="K56" s="3"/>
      <c r="L56" s="103"/>
      <c r="M56" s="108"/>
      <c r="N56" s="9"/>
      <c r="O56" s="108"/>
      <c r="P56" s="9"/>
      <c r="Q56" s="9"/>
      <c r="R56" s="9"/>
      <c r="S56" s="9"/>
    </row>
    <row r="57" spans="1:19" ht="13.95" customHeight="1">
      <c r="A57" s="1"/>
      <c r="B57" s="2"/>
      <c r="C57" s="8" t="s">
        <v>81</v>
      </c>
      <c r="D57" s="1"/>
      <c r="E57" s="3"/>
      <c r="F57" s="13"/>
      <c r="G57" s="5"/>
      <c r="I57" s="3"/>
      <c r="J57" s="3"/>
      <c r="K57" s="3"/>
      <c r="L57" s="103"/>
      <c r="M57" s="108"/>
      <c r="N57" s="9"/>
      <c r="O57" s="108"/>
      <c r="P57" s="9"/>
      <c r="Q57" s="9"/>
      <c r="R57" s="9"/>
      <c r="S57" s="9"/>
    </row>
    <row r="58" spans="1:19" ht="13.95" customHeight="1">
      <c r="A58" s="1"/>
      <c r="B58" s="1" t="s">
        <v>87</v>
      </c>
      <c r="C58" s="37" t="s">
        <v>0</v>
      </c>
      <c r="D58" s="1"/>
      <c r="E58" s="3"/>
      <c r="F58" s="13"/>
      <c r="G58" s="5"/>
      <c r="I58" s="3"/>
      <c r="J58" s="3"/>
      <c r="K58" s="3"/>
      <c r="L58" s="103"/>
      <c r="M58" s="108"/>
      <c r="N58" s="9"/>
      <c r="O58" s="108"/>
      <c r="P58" s="9"/>
      <c r="Q58" s="9"/>
      <c r="R58" s="9"/>
      <c r="S58" s="9"/>
    </row>
    <row r="59" spans="1:19" ht="13.95" customHeight="1">
      <c r="A59" s="1"/>
      <c r="B59" s="1"/>
      <c r="C59" s="33"/>
      <c r="D59" s="1"/>
      <c r="E59" s="3"/>
      <c r="F59" s="13"/>
      <c r="G59" s="5"/>
      <c r="I59" s="3"/>
      <c r="J59" s="3"/>
      <c r="K59" s="3"/>
      <c r="L59" s="103"/>
      <c r="M59" s="108"/>
      <c r="N59" s="9"/>
      <c r="O59" s="108"/>
      <c r="P59" s="9"/>
      <c r="Q59" s="9"/>
      <c r="R59" s="9"/>
      <c r="S59" s="9"/>
    </row>
    <row r="60" spans="1:19" ht="22.95" customHeight="1">
      <c r="A60" s="1"/>
      <c r="B60" s="1"/>
      <c r="C60" s="33" t="s">
        <v>61</v>
      </c>
      <c r="D60" s="1"/>
      <c r="E60" s="3"/>
      <c r="F60" s="13"/>
      <c r="G60" s="5"/>
      <c r="I60" s="3"/>
      <c r="J60" s="3"/>
      <c r="K60" s="3"/>
      <c r="L60" s="103"/>
      <c r="M60" s="108"/>
      <c r="N60" s="9"/>
      <c r="O60" s="108"/>
      <c r="P60" s="9"/>
      <c r="Q60" s="9"/>
      <c r="R60" s="9"/>
      <c r="S60" s="9"/>
    </row>
    <row r="61" spans="1:19" ht="13.95" customHeight="1">
      <c r="A61" s="1"/>
      <c r="B61" s="1"/>
      <c r="C61" s="6"/>
      <c r="D61" s="1"/>
      <c r="E61" s="3"/>
      <c r="F61" s="13"/>
      <c r="G61" s="5"/>
      <c r="I61" s="3"/>
      <c r="J61" s="3"/>
      <c r="K61" s="3"/>
      <c r="L61" s="103"/>
      <c r="M61" s="108"/>
      <c r="N61" s="9"/>
      <c r="O61" s="108"/>
      <c r="P61" s="9"/>
      <c r="Q61" s="9"/>
      <c r="R61" s="9"/>
      <c r="S61" s="9"/>
    </row>
    <row r="62" spans="1:19" ht="13.95" customHeight="1">
      <c r="A62" s="1">
        <v>10</v>
      </c>
      <c r="B62" s="1"/>
      <c r="C62" s="33" t="s">
        <v>14</v>
      </c>
      <c r="D62" s="1" t="s">
        <v>51</v>
      </c>
      <c r="E62" s="3">
        <f>SUM(I62:S62)</f>
        <v>106</v>
      </c>
      <c r="F62" s="13">
        <v>175</v>
      </c>
      <c r="G62" s="5">
        <f t="shared" ref="G62" si="16">+E62*F62</f>
        <v>18550</v>
      </c>
      <c r="I62" s="3">
        <v>106</v>
      </c>
      <c r="J62" s="3">
        <v>0</v>
      </c>
      <c r="K62" s="3"/>
      <c r="L62" s="103"/>
      <c r="M62" s="108"/>
      <c r="N62" s="9"/>
      <c r="O62" s="108"/>
      <c r="P62" s="9"/>
      <c r="Q62" s="9"/>
      <c r="R62" s="9"/>
      <c r="S62" s="9"/>
    </row>
    <row r="63" spans="1:19" ht="13.95" customHeight="1">
      <c r="A63" s="1"/>
      <c r="B63" s="1"/>
      <c r="C63" s="33"/>
      <c r="D63" s="1"/>
      <c r="E63" s="3"/>
      <c r="F63" s="13"/>
      <c r="G63" s="5"/>
      <c r="I63" s="3"/>
      <c r="J63" s="3"/>
      <c r="K63" s="3"/>
      <c r="L63" s="103"/>
      <c r="M63" s="108"/>
      <c r="N63" s="9"/>
      <c r="O63" s="108"/>
      <c r="P63" s="9"/>
      <c r="Q63" s="9"/>
      <c r="R63" s="9"/>
      <c r="S63" s="9"/>
    </row>
    <row r="64" spans="1:19" ht="13.95" customHeight="1">
      <c r="A64" s="1"/>
      <c r="B64" s="1"/>
      <c r="C64" s="37" t="s">
        <v>111</v>
      </c>
      <c r="D64" s="1"/>
      <c r="E64" s="3"/>
      <c r="F64" s="13"/>
      <c r="G64" s="5"/>
      <c r="I64" s="3"/>
      <c r="J64" s="3"/>
      <c r="K64" s="3"/>
      <c r="L64" s="103"/>
      <c r="M64" s="108"/>
      <c r="N64" s="9"/>
      <c r="O64" s="108"/>
      <c r="P64" s="9"/>
      <c r="Q64" s="9"/>
      <c r="R64" s="9"/>
      <c r="S64" s="9"/>
    </row>
    <row r="65" spans="1:19" ht="13.95" customHeight="1">
      <c r="A65" s="1"/>
      <c r="B65" s="1"/>
      <c r="C65" s="33"/>
      <c r="D65" s="1"/>
      <c r="E65" s="3"/>
      <c r="F65" s="13"/>
      <c r="G65" s="5"/>
      <c r="I65" s="3"/>
      <c r="J65" s="3"/>
      <c r="K65" s="3"/>
      <c r="L65" s="103"/>
      <c r="M65" s="108"/>
      <c r="N65" s="9"/>
      <c r="O65" s="108"/>
      <c r="P65" s="9"/>
      <c r="Q65" s="9"/>
      <c r="R65" s="9"/>
      <c r="S65" s="9"/>
    </row>
    <row r="66" spans="1:19" ht="28.95" customHeight="1">
      <c r="A66" s="1">
        <v>11</v>
      </c>
      <c r="B66" s="1"/>
      <c r="C66" s="33" t="s">
        <v>54</v>
      </c>
      <c r="D66" s="1" t="s">
        <v>51</v>
      </c>
      <c r="E66" s="3">
        <f>SUM(I66:S66)</f>
        <v>0</v>
      </c>
      <c r="F66" s="13">
        <v>950</v>
      </c>
      <c r="G66" s="5">
        <f t="shared" ref="G66" si="17">+E66*F66</f>
        <v>0</v>
      </c>
      <c r="I66" s="3">
        <v>0</v>
      </c>
      <c r="J66" s="3">
        <v>0</v>
      </c>
      <c r="K66" s="3"/>
      <c r="L66" s="103"/>
      <c r="M66" s="108"/>
      <c r="N66" s="9"/>
      <c r="O66" s="108"/>
      <c r="P66" s="9"/>
      <c r="Q66" s="9"/>
      <c r="R66" s="9"/>
      <c r="S66" s="9"/>
    </row>
    <row r="67" spans="1:19" ht="13.95" customHeight="1">
      <c r="A67" s="1"/>
      <c r="B67" s="1"/>
      <c r="C67" s="33"/>
      <c r="D67" s="1"/>
      <c r="E67" s="3"/>
      <c r="F67" s="13"/>
      <c r="G67" s="5"/>
      <c r="I67" s="3"/>
      <c r="J67" s="3"/>
      <c r="K67" s="3"/>
      <c r="L67" s="103"/>
      <c r="M67" s="108"/>
      <c r="N67" s="9"/>
      <c r="O67" s="108"/>
      <c r="P67" s="9"/>
      <c r="Q67" s="9"/>
      <c r="R67" s="9"/>
      <c r="S67" s="9"/>
    </row>
    <row r="68" spans="1:19" ht="22.2" customHeight="1">
      <c r="A68" s="1"/>
      <c r="B68" s="1"/>
      <c r="C68" s="33" t="s">
        <v>57</v>
      </c>
      <c r="D68" s="1"/>
      <c r="E68" s="3"/>
      <c r="F68" s="13"/>
      <c r="G68" s="5"/>
      <c r="I68" s="3"/>
      <c r="J68" s="3"/>
      <c r="K68" s="3"/>
      <c r="L68" s="103"/>
      <c r="M68" s="108"/>
      <c r="N68" s="9"/>
      <c r="O68" s="108"/>
      <c r="P68" s="9"/>
      <c r="Q68" s="9"/>
      <c r="R68" s="9"/>
      <c r="S68" s="9"/>
    </row>
    <row r="69" spans="1:19" ht="13.95" customHeight="1">
      <c r="A69" s="1"/>
      <c r="B69" s="2"/>
      <c r="C69" s="8"/>
      <c r="D69" s="9"/>
      <c r="E69" s="3"/>
      <c r="F69" s="13"/>
      <c r="G69" s="5"/>
      <c r="I69" s="3"/>
      <c r="J69" s="3"/>
      <c r="K69" s="3"/>
      <c r="L69" s="103"/>
      <c r="M69" s="108"/>
      <c r="N69" s="9"/>
      <c r="O69" s="108"/>
      <c r="P69" s="9"/>
      <c r="Q69" s="9"/>
      <c r="R69" s="9"/>
      <c r="S69" s="9"/>
    </row>
    <row r="70" spans="1:19" ht="13.95" customHeight="1">
      <c r="A70" s="1"/>
      <c r="B70" s="1" t="s">
        <v>83</v>
      </c>
      <c r="C70" s="10" t="s">
        <v>25</v>
      </c>
      <c r="D70" s="9"/>
      <c r="E70" s="3"/>
      <c r="F70" s="13"/>
      <c r="G70" s="5"/>
      <c r="I70" s="3"/>
      <c r="J70" s="3"/>
      <c r="K70" s="3"/>
      <c r="L70" s="103"/>
      <c r="M70" s="108"/>
      <c r="N70" s="9"/>
      <c r="O70" s="108"/>
      <c r="P70" s="9"/>
      <c r="Q70" s="9"/>
      <c r="R70" s="9"/>
      <c r="S70" s="9"/>
    </row>
    <row r="71" spans="1:19" ht="13.95" customHeight="1">
      <c r="A71" s="1"/>
      <c r="B71" s="2"/>
      <c r="C71" s="8"/>
      <c r="D71" s="9"/>
      <c r="E71" s="3"/>
      <c r="F71" s="13"/>
      <c r="G71" s="5"/>
      <c r="I71" s="3"/>
      <c r="J71" s="3"/>
      <c r="K71" s="3"/>
      <c r="L71" s="103"/>
      <c r="M71" s="108"/>
      <c r="N71" s="9"/>
      <c r="O71" s="108"/>
      <c r="P71" s="9"/>
      <c r="Q71" s="9"/>
      <c r="R71" s="9"/>
      <c r="S71" s="9"/>
    </row>
    <row r="72" spans="1:19" ht="23.4" customHeight="1">
      <c r="A72" s="1"/>
      <c r="B72" s="2"/>
      <c r="C72" s="8" t="s">
        <v>109</v>
      </c>
      <c r="D72" s="9"/>
      <c r="E72" s="3"/>
      <c r="F72" s="13"/>
      <c r="G72" s="5"/>
      <c r="I72" s="3"/>
      <c r="J72" s="3"/>
      <c r="K72" s="3"/>
      <c r="L72" s="103"/>
      <c r="M72" s="108"/>
      <c r="N72" s="9"/>
      <c r="O72" s="108"/>
      <c r="P72" s="9"/>
      <c r="Q72" s="9"/>
      <c r="R72" s="9"/>
      <c r="S72" s="9"/>
    </row>
    <row r="73" spans="1:19" ht="13.95" customHeight="1">
      <c r="A73" s="1"/>
      <c r="B73" s="2"/>
      <c r="C73" s="8"/>
      <c r="D73" s="9"/>
      <c r="E73" s="3"/>
      <c r="F73" s="13"/>
      <c r="G73" s="5"/>
      <c r="I73" s="3"/>
      <c r="J73" s="3"/>
      <c r="K73" s="3"/>
      <c r="L73" s="103"/>
      <c r="M73" s="108"/>
      <c r="N73" s="9"/>
      <c r="O73" s="108"/>
      <c r="P73" s="9"/>
      <c r="Q73" s="9"/>
      <c r="R73" s="9"/>
      <c r="S73" s="9"/>
    </row>
    <row r="74" spans="1:19" ht="33.6" customHeight="1">
      <c r="A74" s="1">
        <v>12</v>
      </c>
      <c r="B74" s="2"/>
      <c r="C74" s="8" t="s">
        <v>108</v>
      </c>
      <c r="D74" s="9" t="s">
        <v>51</v>
      </c>
      <c r="E74" s="3">
        <f>SUM(I74:S74)</f>
        <v>55</v>
      </c>
      <c r="F74" s="13">
        <v>725</v>
      </c>
      <c r="G74" s="5">
        <f t="shared" ref="G74" si="18">+E74*F74</f>
        <v>39875</v>
      </c>
      <c r="I74" s="3">
        <v>55</v>
      </c>
      <c r="J74" s="3"/>
      <c r="K74" s="3"/>
      <c r="L74" s="103"/>
      <c r="M74" s="108"/>
      <c r="N74" s="9"/>
      <c r="O74" s="108"/>
      <c r="P74" s="9"/>
      <c r="Q74" s="9"/>
      <c r="R74" s="9"/>
      <c r="S74" s="9"/>
    </row>
    <row r="75" spans="1:19" ht="13.95" customHeight="1">
      <c r="A75" s="1"/>
      <c r="B75" s="2"/>
      <c r="C75" s="8"/>
      <c r="D75" s="9"/>
      <c r="E75" s="3"/>
      <c r="F75" s="13"/>
      <c r="G75" s="5"/>
      <c r="I75" s="3"/>
      <c r="J75" s="3"/>
      <c r="K75" s="3"/>
      <c r="L75" s="103"/>
      <c r="M75" s="108"/>
      <c r="N75" s="9"/>
      <c r="O75" s="108"/>
      <c r="P75" s="9"/>
      <c r="Q75" s="9"/>
      <c r="R75" s="9"/>
      <c r="S75" s="9"/>
    </row>
    <row r="76" spans="1:19" ht="21.6" customHeight="1">
      <c r="A76" s="1"/>
      <c r="B76" s="2" t="s">
        <v>101</v>
      </c>
      <c r="C76" s="34" t="s">
        <v>155</v>
      </c>
      <c r="D76" s="1"/>
      <c r="E76" s="3"/>
      <c r="F76" s="13"/>
      <c r="G76" s="5"/>
      <c r="I76" s="3"/>
      <c r="J76" s="3"/>
      <c r="K76" s="3"/>
      <c r="L76" s="103"/>
      <c r="M76" s="108"/>
      <c r="N76" s="9"/>
      <c r="O76" s="108"/>
      <c r="P76" s="9"/>
      <c r="Q76" s="9"/>
      <c r="R76" s="9"/>
      <c r="S76" s="9"/>
    </row>
    <row r="77" spans="1:19" ht="13.95" customHeight="1">
      <c r="A77" s="1"/>
      <c r="B77" s="1"/>
      <c r="C77" s="33"/>
      <c r="D77" s="1"/>
      <c r="E77" s="3"/>
      <c r="F77" s="13"/>
      <c r="G77" s="5"/>
      <c r="I77" s="3"/>
      <c r="J77" s="3"/>
      <c r="K77" s="3"/>
      <c r="L77" s="103"/>
      <c r="M77" s="108"/>
      <c r="N77" s="9"/>
      <c r="O77" s="108"/>
      <c r="P77" s="9"/>
      <c r="Q77" s="9"/>
      <c r="R77" s="9"/>
      <c r="S77" s="9"/>
    </row>
    <row r="78" spans="1:19" ht="13.95" customHeight="1">
      <c r="A78" s="1"/>
      <c r="B78" s="1" t="s">
        <v>88</v>
      </c>
      <c r="C78" s="32" t="s">
        <v>15</v>
      </c>
      <c r="D78" s="1"/>
      <c r="E78" s="3"/>
      <c r="F78" s="13"/>
      <c r="G78" s="5"/>
      <c r="I78" s="3"/>
      <c r="J78" s="3"/>
      <c r="K78" s="3"/>
      <c r="L78" s="103"/>
      <c r="M78" s="108"/>
      <c r="N78" s="9"/>
      <c r="O78" s="108"/>
      <c r="P78" s="9"/>
      <c r="Q78" s="9"/>
      <c r="R78" s="9"/>
      <c r="S78" s="9"/>
    </row>
    <row r="79" spans="1:19" ht="13.95" customHeight="1">
      <c r="A79" s="1"/>
      <c r="B79" s="1"/>
      <c r="C79" s="33"/>
      <c r="D79" s="1"/>
      <c r="E79" s="3"/>
      <c r="F79" s="13"/>
      <c r="G79" s="5"/>
      <c r="I79" s="3"/>
      <c r="J79" s="3"/>
      <c r="K79" s="3"/>
      <c r="L79" s="103"/>
      <c r="M79" s="108"/>
      <c r="N79" s="9"/>
      <c r="O79" s="108"/>
      <c r="P79" s="9"/>
      <c r="Q79" s="9"/>
      <c r="R79" s="9"/>
      <c r="S79" s="9"/>
    </row>
    <row r="80" spans="1:19" ht="13.95" customHeight="1">
      <c r="A80" s="1"/>
      <c r="B80" s="1" t="s">
        <v>82</v>
      </c>
      <c r="C80" s="34" t="s">
        <v>16</v>
      </c>
      <c r="D80" s="1"/>
      <c r="E80" s="3"/>
      <c r="F80" s="13"/>
      <c r="G80" s="5"/>
      <c r="I80" s="3"/>
      <c r="J80" s="3"/>
      <c r="K80" s="3"/>
      <c r="L80" s="103"/>
      <c r="M80" s="108"/>
      <c r="N80" s="9"/>
      <c r="O80" s="108"/>
      <c r="P80" s="9"/>
      <c r="Q80" s="9"/>
      <c r="R80" s="9"/>
      <c r="S80" s="9"/>
    </row>
    <row r="81" spans="1:19" ht="13.95" customHeight="1">
      <c r="A81" s="1"/>
      <c r="B81" s="1"/>
      <c r="C81" s="33"/>
      <c r="D81" s="1"/>
      <c r="E81" s="3"/>
      <c r="F81" s="13"/>
      <c r="G81" s="5"/>
      <c r="I81" s="3"/>
      <c r="J81" s="3"/>
      <c r="K81" s="3"/>
      <c r="L81" s="103"/>
      <c r="M81" s="108"/>
      <c r="N81" s="9"/>
      <c r="O81" s="108"/>
      <c r="P81" s="9"/>
      <c r="Q81" s="9"/>
      <c r="R81" s="9"/>
      <c r="S81" s="9"/>
    </row>
    <row r="82" spans="1:19" ht="13.95" customHeight="1">
      <c r="A82" s="1"/>
      <c r="B82" s="1"/>
      <c r="C82" s="37" t="s">
        <v>17</v>
      </c>
      <c r="D82" s="1"/>
      <c r="E82" s="3"/>
      <c r="F82" s="13"/>
      <c r="G82" s="5"/>
      <c r="I82" s="3"/>
      <c r="J82" s="3"/>
      <c r="K82" s="3"/>
      <c r="L82" s="103"/>
      <c r="M82" s="108"/>
      <c r="N82" s="9"/>
      <c r="O82" s="108"/>
      <c r="P82" s="9"/>
      <c r="Q82" s="9"/>
      <c r="R82" s="9"/>
      <c r="S82" s="9"/>
    </row>
    <row r="83" spans="1:19" ht="13.95" customHeight="1">
      <c r="A83" s="1"/>
      <c r="B83" s="1"/>
      <c r="C83" s="37"/>
      <c r="D83" s="1"/>
      <c r="E83" s="3"/>
      <c r="F83" s="13"/>
      <c r="G83" s="5"/>
      <c r="I83" s="3"/>
      <c r="J83" s="3"/>
      <c r="K83" s="3"/>
      <c r="L83" s="103"/>
      <c r="M83" s="108"/>
      <c r="N83" s="9"/>
      <c r="O83" s="108"/>
      <c r="P83" s="9"/>
      <c r="Q83" s="9"/>
      <c r="R83" s="9"/>
      <c r="S83" s="9"/>
    </row>
    <row r="84" spans="1:19" ht="13.95" customHeight="1">
      <c r="A84" s="1">
        <v>13</v>
      </c>
      <c r="B84" s="1"/>
      <c r="C84" s="33" t="s">
        <v>28</v>
      </c>
      <c r="D84" s="1" t="s">
        <v>60</v>
      </c>
      <c r="E84" s="3">
        <f>SUM(I84:S84)</f>
        <v>128</v>
      </c>
      <c r="F84" s="13">
        <v>475</v>
      </c>
      <c r="G84" s="5">
        <f t="shared" ref="G84" si="19">+E84*F84</f>
        <v>60800</v>
      </c>
      <c r="I84" s="3">
        <v>128</v>
      </c>
      <c r="J84" s="3"/>
      <c r="K84" s="3"/>
      <c r="L84" s="103"/>
      <c r="M84" s="108"/>
      <c r="N84" s="9"/>
      <c r="O84" s="108"/>
      <c r="P84" s="9"/>
      <c r="Q84" s="9"/>
      <c r="R84" s="9"/>
      <c r="S84" s="9"/>
    </row>
    <row r="85" spans="1:19" ht="13.95" customHeight="1">
      <c r="A85" s="1"/>
      <c r="B85" s="1"/>
      <c r="C85" s="33"/>
      <c r="D85" s="1"/>
      <c r="E85" s="3"/>
      <c r="F85" s="13"/>
      <c r="G85" s="5"/>
      <c r="I85" s="3"/>
      <c r="J85" s="3"/>
      <c r="K85" s="3"/>
      <c r="L85" s="103"/>
      <c r="M85" s="108"/>
      <c r="N85" s="9"/>
      <c r="O85" s="108"/>
      <c r="P85" s="9"/>
      <c r="Q85" s="9"/>
      <c r="R85" s="9"/>
      <c r="S85" s="9"/>
    </row>
    <row r="86" spans="1:19" ht="19.95" customHeight="1">
      <c r="A86" s="1"/>
      <c r="B86" s="1" t="s">
        <v>86</v>
      </c>
      <c r="C86" s="34" t="s">
        <v>26</v>
      </c>
      <c r="D86" s="1"/>
      <c r="E86" s="3"/>
      <c r="F86" s="13"/>
      <c r="G86" s="5"/>
      <c r="I86" s="3"/>
      <c r="J86" s="3"/>
      <c r="K86" s="3"/>
      <c r="L86" s="103"/>
      <c r="M86" s="108"/>
      <c r="N86" s="9"/>
      <c r="O86" s="108"/>
      <c r="P86" s="9"/>
      <c r="Q86" s="9"/>
      <c r="R86" s="9"/>
      <c r="S86" s="9"/>
    </row>
    <row r="87" spans="1:19" ht="13.95" customHeight="1">
      <c r="A87" s="1"/>
      <c r="B87" s="1"/>
      <c r="C87" s="33"/>
      <c r="D87" s="1"/>
      <c r="E87" s="3"/>
      <c r="F87" s="13"/>
      <c r="G87" s="5"/>
      <c r="I87" s="3"/>
      <c r="J87" s="3"/>
      <c r="K87" s="3"/>
      <c r="L87" s="103"/>
      <c r="M87" s="108"/>
      <c r="N87" s="9"/>
      <c r="O87" s="108"/>
      <c r="P87" s="9"/>
      <c r="Q87" s="9"/>
      <c r="R87" s="9"/>
      <c r="S87" s="9"/>
    </row>
    <row r="88" spans="1:19" ht="13.95" customHeight="1">
      <c r="A88" s="1"/>
      <c r="B88" s="1"/>
      <c r="C88" s="37" t="s">
        <v>17</v>
      </c>
      <c r="D88" s="1"/>
      <c r="E88" s="3"/>
      <c r="F88" s="13"/>
      <c r="G88" s="5"/>
      <c r="I88" s="3"/>
      <c r="J88" s="3"/>
      <c r="K88" s="3"/>
      <c r="L88" s="103"/>
      <c r="M88" s="108"/>
      <c r="N88" s="9"/>
      <c r="O88" s="108"/>
      <c r="P88" s="9"/>
      <c r="Q88" s="9"/>
      <c r="R88" s="9"/>
      <c r="S88" s="9"/>
    </row>
    <row r="89" spans="1:19" ht="13.95" customHeight="1">
      <c r="A89" s="1"/>
      <c r="B89" s="1"/>
      <c r="C89" s="33"/>
      <c r="D89" s="1"/>
      <c r="E89" s="3"/>
      <c r="F89" s="13"/>
      <c r="G89" s="5"/>
      <c r="I89" s="3"/>
      <c r="J89" s="3"/>
      <c r="K89" s="3"/>
      <c r="L89" s="103"/>
      <c r="M89" s="108"/>
      <c r="N89" s="9"/>
      <c r="O89" s="108"/>
      <c r="P89" s="9"/>
      <c r="Q89" s="9"/>
      <c r="R89" s="9"/>
      <c r="S89" s="9"/>
    </row>
    <row r="90" spans="1:19" ht="13.95" customHeight="1">
      <c r="A90" s="1">
        <v>14</v>
      </c>
      <c r="B90" s="1"/>
      <c r="C90" s="33" t="s">
        <v>201</v>
      </c>
      <c r="D90" s="1" t="s">
        <v>60</v>
      </c>
      <c r="E90" s="3">
        <f>SUM(I90:S90)</f>
        <v>45</v>
      </c>
      <c r="F90" s="13">
        <v>750</v>
      </c>
      <c r="G90" s="5">
        <f t="shared" ref="G90" si="20">+E90*F90</f>
        <v>33750</v>
      </c>
      <c r="I90" s="3">
        <v>30</v>
      </c>
      <c r="J90" s="3"/>
      <c r="K90" s="3"/>
      <c r="L90" s="103">
        <v>15</v>
      </c>
      <c r="M90" s="108"/>
      <c r="N90" s="9"/>
      <c r="O90" s="108"/>
      <c r="P90" s="9"/>
      <c r="Q90" s="9"/>
      <c r="R90" s="9"/>
      <c r="S90" s="9"/>
    </row>
    <row r="91" spans="1:19" ht="13.95" customHeight="1">
      <c r="A91" s="1"/>
      <c r="B91" s="1"/>
      <c r="C91" s="33"/>
      <c r="D91" s="1"/>
      <c r="E91" s="3"/>
      <c r="F91" s="13"/>
      <c r="G91" s="5"/>
      <c r="I91" s="3"/>
      <c r="J91" s="3"/>
      <c r="K91" s="3"/>
      <c r="L91" s="103"/>
      <c r="M91" s="108"/>
      <c r="N91" s="9"/>
      <c r="O91" s="108"/>
      <c r="P91" s="9"/>
      <c r="Q91" s="9"/>
      <c r="R91" s="9"/>
      <c r="S91" s="9"/>
    </row>
    <row r="92" spans="1:19" ht="13.95" customHeight="1">
      <c r="A92" s="1">
        <v>15</v>
      </c>
      <c r="B92" s="1"/>
      <c r="C92" s="33" t="s">
        <v>224</v>
      </c>
      <c r="D92" s="1" t="s">
        <v>60</v>
      </c>
      <c r="E92" s="3">
        <f>SUM(I92:S92)</f>
        <v>0</v>
      </c>
      <c r="F92" s="13">
        <v>635</v>
      </c>
      <c r="G92" s="5">
        <f t="shared" ref="G92" si="21">+E92*F92</f>
        <v>0</v>
      </c>
      <c r="I92" s="3"/>
      <c r="J92" s="3"/>
      <c r="K92" s="3"/>
      <c r="L92" s="103"/>
      <c r="M92" s="108"/>
      <c r="N92" s="9"/>
      <c r="O92" s="108"/>
      <c r="P92" s="9"/>
      <c r="Q92" s="9"/>
      <c r="R92" s="9"/>
      <c r="S92" s="9"/>
    </row>
    <row r="93" spans="1:19" ht="13.95" customHeight="1">
      <c r="A93" s="1"/>
      <c r="B93" s="1"/>
      <c r="C93" s="33"/>
      <c r="D93" s="1"/>
      <c r="E93" s="3"/>
      <c r="F93" s="13"/>
      <c r="G93" s="5"/>
      <c r="I93" s="3"/>
      <c r="J93" s="3"/>
      <c r="K93" s="3"/>
      <c r="L93" s="103"/>
      <c r="M93" s="108"/>
      <c r="N93" s="9"/>
      <c r="O93" s="108"/>
      <c r="P93" s="9"/>
      <c r="Q93" s="9"/>
      <c r="R93" s="9"/>
      <c r="S93" s="9"/>
    </row>
    <row r="94" spans="1:19" ht="13.95" customHeight="1">
      <c r="A94" s="1">
        <v>16</v>
      </c>
      <c r="B94" s="1"/>
      <c r="C94" s="33" t="s">
        <v>39</v>
      </c>
      <c r="D94" s="1" t="s">
        <v>60</v>
      </c>
      <c r="E94" s="3">
        <f>SUM(I94:S94)</f>
        <v>0</v>
      </c>
      <c r="F94" s="13">
        <v>850</v>
      </c>
      <c r="G94" s="5">
        <f t="shared" ref="G94" si="22">+E94*F94</f>
        <v>0</v>
      </c>
      <c r="I94" s="3"/>
      <c r="J94" s="3"/>
      <c r="K94" s="3"/>
      <c r="L94" s="103"/>
      <c r="M94" s="108"/>
      <c r="N94" s="9"/>
      <c r="O94" s="108"/>
      <c r="P94" s="9"/>
      <c r="Q94" s="9"/>
      <c r="R94" s="9"/>
      <c r="S94" s="9"/>
    </row>
    <row r="95" spans="1:19" ht="13.95" customHeight="1">
      <c r="A95" s="1"/>
      <c r="B95" s="1"/>
      <c r="C95" s="33"/>
      <c r="D95" s="1"/>
      <c r="E95" s="3"/>
      <c r="F95" s="13"/>
      <c r="G95" s="5"/>
      <c r="I95" s="3"/>
      <c r="J95" s="3"/>
      <c r="K95" s="3"/>
      <c r="L95" s="103"/>
      <c r="M95" s="108"/>
      <c r="N95" s="9"/>
      <c r="O95" s="108"/>
      <c r="P95" s="9"/>
      <c r="Q95" s="9"/>
      <c r="R95" s="9"/>
      <c r="S95" s="9"/>
    </row>
    <row r="96" spans="1:19" ht="13.95" customHeight="1">
      <c r="A96" s="1">
        <v>17</v>
      </c>
      <c r="B96" s="1"/>
      <c r="C96" s="33" t="s">
        <v>247</v>
      </c>
      <c r="D96" s="1" t="s">
        <v>60</v>
      </c>
      <c r="E96" s="3">
        <f>SUM(I96:S96)</f>
        <v>0</v>
      </c>
      <c r="F96" s="13">
        <v>775</v>
      </c>
      <c r="G96" s="5">
        <f t="shared" ref="G96" si="23">+E96*F96</f>
        <v>0</v>
      </c>
      <c r="I96" s="3"/>
      <c r="J96" s="3"/>
      <c r="K96" s="3"/>
      <c r="L96" s="103"/>
      <c r="M96" s="108"/>
      <c r="N96" s="9"/>
      <c r="O96" s="108"/>
      <c r="P96" s="9"/>
      <c r="Q96" s="9"/>
      <c r="R96" s="9"/>
      <c r="S96" s="9"/>
    </row>
    <row r="97" spans="1:19" ht="13.95" customHeight="1">
      <c r="A97" s="1"/>
      <c r="B97" s="1"/>
      <c r="C97" s="33"/>
      <c r="D97" s="1"/>
      <c r="E97" s="3"/>
      <c r="F97" s="13"/>
      <c r="G97" s="5"/>
      <c r="I97" s="3"/>
      <c r="J97" s="3"/>
      <c r="K97" s="3"/>
      <c r="L97" s="103"/>
      <c r="M97" s="108"/>
      <c r="N97" s="9"/>
      <c r="O97" s="108"/>
      <c r="P97" s="9"/>
      <c r="Q97" s="9"/>
      <c r="R97" s="9"/>
      <c r="S97" s="9"/>
    </row>
    <row r="98" spans="1:19" ht="20.100000000000001" customHeight="1">
      <c r="A98" s="149" t="s">
        <v>66</v>
      </c>
      <c r="B98" s="150"/>
      <c r="C98" s="150"/>
      <c r="D98" s="150"/>
      <c r="E98" s="150"/>
      <c r="F98" s="151"/>
      <c r="G98" s="116">
        <f>SUM(G54:G97)</f>
        <v>487100</v>
      </c>
      <c r="I98" s="9"/>
      <c r="J98" s="9"/>
      <c r="K98" s="9"/>
      <c r="L98" s="103"/>
      <c r="M98" s="108"/>
      <c r="N98" s="9"/>
      <c r="O98" s="108"/>
      <c r="P98" s="9"/>
      <c r="Q98" s="9"/>
      <c r="R98" s="9"/>
      <c r="S98" s="9"/>
    </row>
    <row r="99" spans="1:19" ht="13.95" customHeight="1">
      <c r="A99" s="39"/>
      <c r="B99" s="39"/>
      <c r="C99" s="39"/>
      <c r="D99" s="39"/>
      <c r="E99" s="39"/>
      <c r="F99" s="39"/>
      <c r="G99" s="113"/>
      <c r="I99" s="9"/>
      <c r="J99" s="9"/>
      <c r="K99" s="9"/>
      <c r="L99" s="103"/>
      <c r="M99" s="108"/>
      <c r="N99" s="9"/>
      <c r="O99" s="108"/>
      <c r="P99" s="9"/>
      <c r="Q99" s="9"/>
      <c r="R99" s="9"/>
      <c r="S99" s="9"/>
    </row>
    <row r="100" spans="1:19" ht="13.95" customHeight="1">
      <c r="A100" s="39"/>
      <c r="B100" s="39"/>
      <c r="C100" s="39"/>
      <c r="D100" s="39"/>
      <c r="E100" s="39"/>
      <c r="F100" s="39"/>
      <c r="G100" s="113"/>
      <c r="I100" s="9"/>
      <c r="J100" s="9"/>
      <c r="K100" s="9"/>
      <c r="L100" s="103"/>
      <c r="M100" s="108"/>
      <c r="N100" s="9"/>
      <c r="O100" s="108"/>
      <c r="P100" s="9"/>
      <c r="Q100" s="9"/>
      <c r="R100" s="9"/>
      <c r="S100" s="9"/>
    </row>
    <row r="101" spans="1:19" ht="22.2" customHeight="1">
      <c r="A101" s="44" t="s">
        <v>8</v>
      </c>
      <c r="B101" s="48" t="s">
        <v>9</v>
      </c>
      <c r="C101" s="44" t="s">
        <v>10</v>
      </c>
      <c r="D101" s="48" t="s">
        <v>11</v>
      </c>
      <c r="E101" s="48" t="s">
        <v>59</v>
      </c>
      <c r="F101" s="49" t="s">
        <v>12</v>
      </c>
      <c r="G101" s="111" t="s">
        <v>13</v>
      </c>
      <c r="I101" s="9"/>
      <c r="J101" s="9"/>
      <c r="K101" s="9"/>
      <c r="L101" s="103"/>
      <c r="M101" s="108"/>
      <c r="N101" s="9"/>
      <c r="O101" s="108"/>
      <c r="P101" s="9"/>
      <c r="Q101" s="9"/>
      <c r="R101" s="9"/>
      <c r="S101" s="9"/>
    </row>
    <row r="102" spans="1:19" ht="20.100000000000001" customHeight="1">
      <c r="A102" s="149" t="s">
        <v>67</v>
      </c>
      <c r="B102" s="150"/>
      <c r="C102" s="150"/>
      <c r="D102" s="150"/>
      <c r="E102" s="150"/>
      <c r="F102" s="151"/>
      <c r="G102" s="116">
        <f>+G98</f>
        <v>487100</v>
      </c>
      <c r="I102" s="9"/>
      <c r="J102" s="9"/>
      <c r="K102" s="9"/>
      <c r="L102" s="103"/>
      <c r="M102" s="108"/>
      <c r="N102" s="9"/>
      <c r="O102" s="108"/>
      <c r="P102" s="9"/>
      <c r="Q102" s="9"/>
      <c r="R102" s="9"/>
      <c r="S102" s="9"/>
    </row>
    <row r="103" spans="1:19" ht="13.95" customHeight="1">
      <c r="A103" s="1"/>
      <c r="B103" s="1"/>
      <c r="C103" s="33"/>
      <c r="D103" s="1"/>
      <c r="E103" s="3"/>
      <c r="F103" s="13"/>
      <c r="G103" s="5"/>
      <c r="I103" s="3"/>
      <c r="J103" s="3"/>
      <c r="K103" s="3"/>
      <c r="L103" s="103"/>
      <c r="M103" s="108"/>
      <c r="N103" s="9"/>
      <c r="O103" s="108"/>
      <c r="P103" s="9"/>
      <c r="Q103" s="9"/>
      <c r="R103" s="9"/>
      <c r="S103" s="9"/>
    </row>
    <row r="104" spans="1:19" ht="13.95" customHeight="1">
      <c r="A104" s="1"/>
      <c r="B104" s="1"/>
      <c r="C104" s="37" t="s">
        <v>248</v>
      </c>
      <c r="D104" s="1"/>
      <c r="E104" s="3"/>
      <c r="F104" s="13"/>
      <c r="G104" s="5"/>
      <c r="I104" s="3"/>
      <c r="J104" s="3"/>
      <c r="K104" s="3"/>
      <c r="L104" s="103"/>
      <c r="M104" s="108"/>
      <c r="N104" s="9"/>
      <c r="O104" s="108"/>
      <c r="P104" s="9"/>
      <c r="Q104" s="9"/>
      <c r="R104" s="9"/>
      <c r="S104" s="9"/>
    </row>
    <row r="105" spans="1:19" ht="13.95" customHeight="1">
      <c r="A105" s="1"/>
      <c r="B105" s="1"/>
      <c r="C105" s="33"/>
      <c r="D105" s="1"/>
      <c r="E105" s="3"/>
      <c r="F105" s="13"/>
      <c r="G105" s="5"/>
      <c r="I105" s="3"/>
      <c r="J105" s="3"/>
      <c r="K105" s="3"/>
      <c r="L105" s="103"/>
      <c r="M105" s="108"/>
      <c r="N105" s="9"/>
      <c r="O105" s="108"/>
      <c r="P105" s="9"/>
      <c r="Q105" s="9"/>
      <c r="R105" s="9"/>
      <c r="S105" s="9"/>
    </row>
    <row r="106" spans="1:19" ht="13.95" customHeight="1">
      <c r="A106" s="1">
        <v>18</v>
      </c>
      <c r="B106" s="1"/>
      <c r="C106" s="33" t="s">
        <v>249</v>
      </c>
      <c r="D106" s="1" t="s">
        <v>60</v>
      </c>
      <c r="E106" s="3">
        <f>SUM(I106:S106)</f>
        <v>0</v>
      </c>
      <c r="F106" s="13">
        <v>1150</v>
      </c>
      <c r="G106" s="5">
        <f t="shared" ref="G106" si="24">+E106*F106</f>
        <v>0</v>
      </c>
      <c r="I106" s="3"/>
      <c r="J106" s="3"/>
      <c r="K106" s="3"/>
      <c r="L106" s="103"/>
      <c r="M106" s="108"/>
      <c r="N106" s="9"/>
      <c r="O106" s="108"/>
      <c r="P106" s="9"/>
      <c r="Q106" s="9"/>
      <c r="R106" s="9"/>
      <c r="S106" s="9"/>
    </row>
    <row r="107" spans="1:19" ht="13.95" customHeight="1">
      <c r="A107" s="1"/>
      <c r="B107" s="1"/>
      <c r="C107" s="33"/>
      <c r="D107" s="1"/>
      <c r="E107" s="3"/>
      <c r="F107" s="13"/>
      <c r="G107" s="5"/>
      <c r="I107" s="3"/>
      <c r="J107" s="3"/>
      <c r="K107" s="3"/>
      <c r="L107" s="103"/>
      <c r="M107" s="108"/>
      <c r="N107" s="9"/>
      <c r="O107" s="108"/>
      <c r="P107" s="9"/>
      <c r="Q107" s="9"/>
      <c r="R107" s="9"/>
      <c r="S107" s="9"/>
    </row>
    <row r="108" spans="1:19" ht="13.95" customHeight="1">
      <c r="A108" s="1"/>
      <c r="B108" s="1" t="s">
        <v>89</v>
      </c>
      <c r="C108" s="32" t="s">
        <v>156</v>
      </c>
      <c r="D108" s="1"/>
      <c r="E108" s="3"/>
      <c r="F108" s="4"/>
      <c r="G108" s="5"/>
      <c r="I108" s="9"/>
      <c r="J108" s="9"/>
      <c r="K108" s="9"/>
      <c r="L108" s="103"/>
      <c r="M108" s="108"/>
      <c r="N108" s="9"/>
      <c r="O108" s="108"/>
      <c r="P108" s="9"/>
      <c r="Q108" s="9"/>
      <c r="R108" s="9"/>
      <c r="S108" s="9"/>
    </row>
    <row r="109" spans="1:19" ht="13.95" customHeight="1">
      <c r="A109" s="1"/>
      <c r="B109" s="1"/>
      <c r="C109" s="33"/>
      <c r="D109" s="1"/>
      <c r="E109" s="3"/>
      <c r="F109" s="4"/>
      <c r="G109" s="5"/>
      <c r="I109" s="9"/>
      <c r="J109" s="9"/>
      <c r="K109" s="9"/>
      <c r="L109" s="103"/>
      <c r="M109" s="108"/>
      <c r="N109" s="9"/>
      <c r="O109" s="108"/>
      <c r="P109" s="9"/>
      <c r="Q109" s="9"/>
      <c r="R109" s="9"/>
      <c r="S109" s="9"/>
    </row>
    <row r="110" spans="1:19" ht="13.95" customHeight="1">
      <c r="A110" s="1">
        <v>19</v>
      </c>
      <c r="B110" s="1"/>
      <c r="C110" s="47" t="s">
        <v>244</v>
      </c>
      <c r="D110" s="1" t="s">
        <v>1</v>
      </c>
      <c r="E110" s="3">
        <f>SUM(I110:S110)</f>
        <v>210</v>
      </c>
      <c r="F110" s="3">
        <v>135</v>
      </c>
      <c r="G110" s="5">
        <f t="shared" ref="G110" si="25">+E110*F110</f>
        <v>28350</v>
      </c>
      <c r="I110" s="3"/>
      <c r="J110" s="3">
        <v>210</v>
      </c>
      <c r="K110" s="3"/>
      <c r="L110" s="103"/>
      <c r="M110" s="108"/>
      <c r="N110" s="9"/>
      <c r="O110" s="108"/>
      <c r="P110" s="9"/>
      <c r="Q110" s="9"/>
      <c r="R110" s="9"/>
      <c r="S110" s="9"/>
    </row>
    <row r="111" spans="1:19" ht="13.95" customHeight="1">
      <c r="A111" s="1"/>
      <c r="B111" s="1"/>
      <c r="C111" s="33"/>
      <c r="D111" s="1"/>
      <c r="E111" s="3"/>
      <c r="F111" s="4"/>
      <c r="G111" s="5"/>
      <c r="I111" s="3"/>
      <c r="J111" s="3"/>
      <c r="K111" s="3"/>
      <c r="L111" s="103"/>
      <c r="M111" s="108"/>
      <c r="N111" s="9"/>
      <c r="O111" s="108"/>
      <c r="P111" s="9"/>
      <c r="Q111" s="9"/>
      <c r="R111" s="9"/>
      <c r="S111" s="9"/>
    </row>
    <row r="112" spans="1:19" ht="13.95" customHeight="1">
      <c r="A112" s="1"/>
      <c r="B112" s="1" t="s">
        <v>90</v>
      </c>
      <c r="C112" s="32" t="s">
        <v>36</v>
      </c>
      <c r="D112" s="1"/>
      <c r="E112" s="3"/>
      <c r="F112" s="4"/>
      <c r="G112" s="5"/>
      <c r="I112" s="3"/>
      <c r="J112" s="3"/>
      <c r="K112" s="3"/>
      <c r="L112" s="103"/>
      <c r="M112" s="108"/>
      <c r="N112" s="9"/>
      <c r="O112" s="108"/>
      <c r="P112" s="9"/>
      <c r="Q112" s="9"/>
      <c r="R112" s="9"/>
      <c r="S112" s="9"/>
    </row>
    <row r="113" spans="1:19" ht="13.95" customHeight="1">
      <c r="A113" s="1"/>
      <c r="B113" s="1"/>
      <c r="C113" s="33"/>
      <c r="D113" s="1"/>
      <c r="E113" s="3"/>
      <c r="F113" s="4"/>
      <c r="G113" s="5"/>
      <c r="I113" s="3"/>
      <c r="J113" s="3"/>
      <c r="K113" s="3"/>
      <c r="L113" s="103"/>
      <c r="M113" s="108"/>
      <c r="N113" s="9"/>
      <c r="O113" s="108"/>
      <c r="P113" s="9"/>
      <c r="Q113" s="9"/>
      <c r="R113" s="9"/>
      <c r="S113" s="9"/>
    </row>
    <row r="114" spans="1:19" ht="24" customHeight="1">
      <c r="A114" s="1"/>
      <c r="B114" s="1"/>
      <c r="C114" s="33" t="s">
        <v>225</v>
      </c>
      <c r="D114" s="1"/>
      <c r="E114" s="3"/>
      <c r="F114" s="4"/>
      <c r="G114" s="5"/>
      <c r="I114" s="3"/>
      <c r="J114" s="3"/>
      <c r="K114" s="3"/>
      <c r="L114" s="103"/>
      <c r="M114" s="108"/>
      <c r="N114" s="9"/>
      <c r="O114" s="108"/>
      <c r="P114" s="9"/>
      <c r="Q114" s="9"/>
      <c r="R114" s="9"/>
      <c r="S114" s="9"/>
    </row>
    <row r="115" spans="1:19" ht="13.95" customHeight="1">
      <c r="A115" s="1"/>
      <c r="B115" s="1"/>
      <c r="C115" s="33"/>
      <c r="D115" s="1"/>
      <c r="E115" s="3"/>
      <c r="F115" s="4"/>
      <c r="G115" s="5"/>
      <c r="I115" s="3"/>
      <c r="J115" s="3"/>
      <c r="K115" s="3"/>
      <c r="L115" s="103"/>
      <c r="M115" s="108"/>
      <c r="N115" s="9"/>
      <c r="O115" s="108"/>
      <c r="P115" s="9"/>
      <c r="Q115" s="9"/>
      <c r="R115" s="9"/>
      <c r="S115" s="9"/>
    </row>
    <row r="116" spans="1:19" ht="13.95" customHeight="1">
      <c r="A116" s="1">
        <v>20</v>
      </c>
      <c r="B116" s="1"/>
      <c r="C116" s="33" t="s">
        <v>37</v>
      </c>
      <c r="D116" s="1" t="s">
        <v>6</v>
      </c>
      <c r="E116" s="3">
        <f>SUM(I116:S116)</f>
        <v>84</v>
      </c>
      <c r="F116" s="3">
        <v>75</v>
      </c>
      <c r="G116" s="5">
        <f t="shared" ref="G116" si="26">+E116*F116</f>
        <v>6300</v>
      </c>
      <c r="I116" s="3">
        <v>20</v>
      </c>
      <c r="J116" s="3"/>
      <c r="K116" s="3"/>
      <c r="L116" s="103">
        <v>64</v>
      </c>
      <c r="M116" s="108"/>
      <c r="N116" s="9"/>
      <c r="O116" s="108"/>
      <c r="P116" s="9"/>
      <c r="Q116" s="9"/>
      <c r="R116" s="9"/>
      <c r="S116" s="9"/>
    </row>
    <row r="117" spans="1:19" ht="13.95" customHeight="1">
      <c r="A117" s="1"/>
      <c r="B117" s="1"/>
      <c r="C117" s="33"/>
      <c r="D117" s="1"/>
      <c r="E117" s="3"/>
      <c r="F117" s="3"/>
      <c r="G117" s="5"/>
      <c r="I117" s="3"/>
      <c r="J117" s="3"/>
      <c r="K117" s="3"/>
      <c r="L117" s="103"/>
      <c r="M117" s="108"/>
      <c r="N117" s="9"/>
      <c r="O117" s="108"/>
      <c r="P117" s="9"/>
      <c r="Q117" s="9"/>
      <c r="R117" s="9"/>
      <c r="S117" s="9"/>
    </row>
    <row r="118" spans="1:19" ht="13.95" customHeight="1">
      <c r="A118" s="1"/>
      <c r="B118" s="1"/>
      <c r="C118" s="33" t="s">
        <v>226</v>
      </c>
      <c r="D118" s="1" t="s">
        <v>6</v>
      </c>
      <c r="E118" s="3">
        <f>SUM(I118:S118)</f>
        <v>0</v>
      </c>
      <c r="F118" s="3">
        <v>275</v>
      </c>
      <c r="G118" s="5">
        <f t="shared" ref="G118" si="27">+E118*F118</f>
        <v>0</v>
      </c>
      <c r="I118" s="3"/>
      <c r="J118" s="3"/>
      <c r="K118" s="3"/>
      <c r="L118" s="103"/>
      <c r="M118" s="108"/>
      <c r="N118" s="9"/>
      <c r="O118" s="108"/>
      <c r="P118" s="9"/>
      <c r="Q118" s="9"/>
      <c r="R118" s="9"/>
      <c r="S118" s="9"/>
    </row>
    <row r="119" spans="1:19" ht="13.95" customHeight="1">
      <c r="A119" s="1"/>
      <c r="B119" s="1"/>
      <c r="D119" s="1"/>
      <c r="E119" s="3"/>
      <c r="F119" s="4"/>
      <c r="G119" s="5"/>
      <c r="I119" s="3"/>
      <c r="J119" s="3"/>
      <c r="K119" s="3"/>
      <c r="L119" s="103"/>
      <c r="M119" s="108"/>
      <c r="N119" s="9"/>
      <c r="O119" s="108"/>
      <c r="P119" s="9"/>
      <c r="Q119" s="9"/>
      <c r="R119" s="9"/>
      <c r="S119" s="9"/>
    </row>
    <row r="120" spans="1:19" ht="13.95" customHeight="1">
      <c r="A120" s="1"/>
      <c r="B120" s="1"/>
      <c r="C120" s="42" t="s">
        <v>104</v>
      </c>
      <c r="D120" s="1"/>
      <c r="E120" s="3"/>
      <c r="F120" s="4"/>
      <c r="G120" s="5"/>
      <c r="I120" s="3"/>
      <c r="J120" s="3"/>
      <c r="K120" s="3"/>
      <c r="L120" s="103"/>
      <c r="M120" s="108"/>
      <c r="N120" s="9"/>
      <c r="O120" s="108"/>
      <c r="P120" s="9"/>
      <c r="Q120" s="9"/>
      <c r="R120" s="9"/>
      <c r="S120" s="9"/>
    </row>
    <row r="121" spans="1:19" ht="13.95" customHeight="1">
      <c r="A121" s="1"/>
      <c r="B121" s="1"/>
      <c r="C121" s="6"/>
      <c r="D121" s="1"/>
      <c r="E121" s="3"/>
      <c r="F121" s="4"/>
      <c r="G121" s="5"/>
      <c r="I121" s="3"/>
      <c r="J121" s="3"/>
      <c r="K121" s="3"/>
      <c r="L121" s="103"/>
      <c r="M121" s="108"/>
      <c r="N121" s="9"/>
      <c r="O121" s="108"/>
      <c r="P121" s="9"/>
      <c r="Q121" s="9"/>
      <c r="R121" s="9"/>
      <c r="S121" s="9"/>
    </row>
    <row r="122" spans="1:19" ht="13.95" customHeight="1">
      <c r="A122" s="1">
        <f>A116+1</f>
        <v>21</v>
      </c>
      <c r="B122" s="1"/>
      <c r="C122" s="6" t="s">
        <v>106</v>
      </c>
      <c r="D122" s="1" t="s">
        <v>1</v>
      </c>
      <c r="E122" s="3">
        <f>SUM(I122:S122)</f>
        <v>557</v>
      </c>
      <c r="F122" s="3">
        <v>36</v>
      </c>
      <c r="G122" s="5">
        <f t="shared" ref="G122" si="28">+E122*F122</f>
        <v>20052</v>
      </c>
      <c r="I122" s="3">
        <v>497</v>
      </c>
      <c r="J122" s="3">
        <v>0</v>
      </c>
      <c r="K122" s="3"/>
      <c r="L122" s="103">
        <v>60</v>
      </c>
      <c r="M122" s="108"/>
      <c r="N122" s="9"/>
      <c r="O122" s="108"/>
      <c r="P122" s="9"/>
      <c r="Q122" s="9"/>
      <c r="R122" s="9"/>
      <c r="S122" s="9"/>
    </row>
    <row r="123" spans="1:19" ht="13.95" customHeight="1">
      <c r="A123" s="1"/>
      <c r="B123" s="1"/>
      <c r="C123" s="6"/>
      <c r="D123" s="1"/>
      <c r="E123" s="3"/>
      <c r="F123" s="4"/>
      <c r="G123" s="5"/>
      <c r="I123" s="3"/>
      <c r="J123" s="3"/>
      <c r="K123" s="3"/>
      <c r="L123" s="103"/>
      <c r="M123" s="108"/>
      <c r="N123" s="9"/>
      <c r="O123" s="108"/>
      <c r="P123" s="9"/>
      <c r="Q123" s="9"/>
      <c r="R123" s="9"/>
      <c r="S123" s="9"/>
    </row>
    <row r="124" spans="1:19" ht="13.95" customHeight="1">
      <c r="A124" s="1"/>
      <c r="B124" s="2" t="s">
        <v>91</v>
      </c>
      <c r="C124" s="34" t="s">
        <v>18</v>
      </c>
      <c r="D124" s="1"/>
      <c r="E124" s="3"/>
      <c r="F124" s="4"/>
      <c r="G124" s="5"/>
      <c r="I124" s="3"/>
      <c r="J124" s="3"/>
      <c r="K124" s="3"/>
      <c r="L124" s="103"/>
      <c r="M124" s="108"/>
      <c r="N124" s="9"/>
      <c r="O124" s="108"/>
      <c r="P124" s="9"/>
      <c r="Q124" s="9"/>
      <c r="R124" s="9"/>
      <c r="S124" s="9"/>
    </row>
    <row r="125" spans="1:19" ht="13.95" customHeight="1">
      <c r="A125" s="1"/>
      <c r="B125" s="1"/>
      <c r="C125" s="33"/>
      <c r="D125" s="1"/>
      <c r="E125" s="3"/>
      <c r="F125" s="4"/>
      <c r="G125" s="5"/>
      <c r="I125" s="3"/>
      <c r="J125" s="3"/>
      <c r="K125" s="3"/>
      <c r="L125" s="103"/>
      <c r="M125" s="108"/>
      <c r="N125" s="9"/>
      <c r="O125" s="108"/>
      <c r="P125" s="9"/>
      <c r="Q125" s="9"/>
      <c r="R125" s="9"/>
      <c r="S125" s="9"/>
    </row>
    <row r="126" spans="1:19" ht="13.95" customHeight="1">
      <c r="A126" s="1"/>
      <c r="B126" s="1" t="s">
        <v>84</v>
      </c>
      <c r="C126" s="32" t="s">
        <v>19</v>
      </c>
      <c r="D126" s="1"/>
      <c r="E126" s="3"/>
      <c r="F126" s="4"/>
      <c r="G126" s="5"/>
      <c r="I126" s="3"/>
      <c r="J126" s="3"/>
      <c r="K126" s="3"/>
      <c r="L126" s="103"/>
      <c r="M126" s="108"/>
      <c r="N126" s="9"/>
      <c r="O126" s="108"/>
      <c r="P126" s="9"/>
      <c r="Q126" s="9"/>
      <c r="R126" s="9"/>
      <c r="S126" s="9"/>
    </row>
    <row r="127" spans="1:19" ht="13.95" customHeight="1">
      <c r="A127" s="1"/>
      <c r="B127" s="1"/>
      <c r="C127" s="33"/>
      <c r="D127" s="1"/>
      <c r="E127" s="3"/>
      <c r="F127" s="4"/>
      <c r="G127" s="5"/>
      <c r="I127" s="3"/>
      <c r="J127" s="3"/>
      <c r="K127" s="3"/>
      <c r="L127" s="103"/>
      <c r="M127" s="108"/>
      <c r="N127" s="9"/>
      <c r="O127" s="108"/>
      <c r="P127" s="9"/>
      <c r="Q127" s="9"/>
      <c r="R127" s="9"/>
      <c r="S127" s="9"/>
    </row>
    <row r="128" spans="1:19" ht="13.95" customHeight="1">
      <c r="A128" s="1">
        <f>A122+1</f>
        <v>22</v>
      </c>
      <c r="B128" s="1"/>
      <c r="C128" s="33" t="s">
        <v>72</v>
      </c>
      <c r="D128" s="1" t="s">
        <v>2</v>
      </c>
      <c r="E128" s="3">
        <f>SUM(I128:S128)</f>
        <v>7.72</v>
      </c>
      <c r="F128" s="3">
        <v>25750</v>
      </c>
      <c r="G128" s="5">
        <f t="shared" ref="G128" si="29">+E128*F128</f>
        <v>198790</v>
      </c>
      <c r="I128" s="4">
        <v>7</v>
      </c>
      <c r="J128" s="4">
        <v>0</v>
      </c>
      <c r="K128" s="4"/>
      <c r="L128" s="103">
        <v>0.72</v>
      </c>
      <c r="M128" s="108"/>
      <c r="N128" s="9"/>
      <c r="O128" s="108"/>
      <c r="P128" s="9"/>
      <c r="Q128" s="9"/>
      <c r="R128" s="9"/>
      <c r="S128" s="9"/>
    </row>
    <row r="129" spans="1:19" ht="13.95" customHeight="1">
      <c r="A129" s="1"/>
      <c r="B129" s="1"/>
      <c r="C129" s="33"/>
      <c r="D129" s="1"/>
      <c r="E129" s="3"/>
      <c r="F129" s="4"/>
      <c r="G129" s="5"/>
      <c r="I129" s="3"/>
      <c r="J129" s="3"/>
      <c r="K129" s="3"/>
      <c r="L129" s="103"/>
      <c r="M129" s="108"/>
      <c r="N129" s="9"/>
      <c r="O129" s="108"/>
      <c r="P129" s="9"/>
      <c r="Q129" s="9"/>
      <c r="R129" s="9"/>
      <c r="S129" s="9"/>
    </row>
    <row r="130" spans="1:19" ht="13.95" customHeight="1">
      <c r="A130" s="1"/>
      <c r="B130" s="1" t="s">
        <v>92</v>
      </c>
      <c r="C130" s="32" t="s">
        <v>3</v>
      </c>
      <c r="D130" s="1"/>
      <c r="E130" s="3"/>
      <c r="F130" s="4"/>
      <c r="G130" s="5"/>
      <c r="I130" s="3"/>
      <c r="J130" s="3"/>
      <c r="K130" s="3"/>
      <c r="L130" s="103"/>
      <c r="M130" s="108"/>
      <c r="N130" s="9"/>
      <c r="O130" s="108"/>
      <c r="P130" s="9"/>
      <c r="Q130" s="9"/>
      <c r="R130" s="9"/>
      <c r="S130" s="9"/>
    </row>
    <row r="131" spans="1:19" ht="13.95" customHeight="1">
      <c r="A131" s="1"/>
      <c r="B131" s="1"/>
      <c r="C131" s="33"/>
      <c r="D131" s="1"/>
      <c r="E131" s="3"/>
      <c r="F131" s="4"/>
      <c r="G131" s="5"/>
      <c r="I131" s="3"/>
      <c r="J131" s="3"/>
      <c r="K131" s="3"/>
      <c r="L131" s="103"/>
      <c r="M131" s="108"/>
      <c r="N131" s="9"/>
      <c r="O131" s="108"/>
      <c r="P131" s="9"/>
      <c r="Q131" s="9"/>
      <c r="R131" s="9"/>
      <c r="S131" s="9"/>
    </row>
    <row r="132" spans="1:19" ht="13.95" customHeight="1">
      <c r="A132" s="1">
        <f>A128+1</f>
        <v>23</v>
      </c>
      <c r="B132" s="1"/>
      <c r="C132" s="33" t="s">
        <v>73</v>
      </c>
      <c r="D132" s="1" t="s">
        <v>60</v>
      </c>
      <c r="E132" s="3">
        <f>SUM(I132:S132)</f>
        <v>1350</v>
      </c>
      <c r="F132" s="13">
        <v>345</v>
      </c>
      <c r="G132" s="15">
        <f t="shared" ref="G132" si="30">+E132*F132</f>
        <v>465750</v>
      </c>
      <c r="I132" s="3"/>
      <c r="J132" s="4">
        <v>1350</v>
      </c>
      <c r="K132" s="3"/>
      <c r="L132" s="103"/>
      <c r="M132" s="108"/>
      <c r="N132" s="9"/>
      <c r="O132" s="108"/>
      <c r="P132" s="9"/>
      <c r="Q132" s="9"/>
      <c r="R132" s="9"/>
      <c r="S132" s="9"/>
    </row>
    <row r="133" spans="1:19" ht="13.95" customHeight="1">
      <c r="A133" s="1"/>
      <c r="B133" s="1"/>
      <c r="C133" s="33"/>
      <c r="D133" s="1"/>
      <c r="E133" s="3"/>
      <c r="F133" s="4"/>
      <c r="G133" s="5"/>
      <c r="I133" s="3"/>
      <c r="J133" s="3"/>
      <c r="K133" s="3"/>
      <c r="L133" s="103"/>
      <c r="M133" s="108"/>
      <c r="N133" s="9"/>
      <c r="O133" s="108"/>
      <c r="P133" s="9"/>
      <c r="Q133" s="9"/>
      <c r="R133" s="9"/>
      <c r="S133" s="9"/>
    </row>
    <row r="134" spans="1:19" ht="13.95" customHeight="1">
      <c r="A134" s="1"/>
      <c r="B134" s="36" t="s">
        <v>93</v>
      </c>
      <c r="C134" s="34" t="s">
        <v>4</v>
      </c>
      <c r="D134" s="1"/>
      <c r="E134" s="3"/>
      <c r="F134" s="4"/>
      <c r="G134" s="5"/>
      <c r="I134" s="3"/>
      <c r="J134" s="3"/>
      <c r="K134" s="3"/>
      <c r="L134" s="103"/>
      <c r="M134" s="108"/>
      <c r="N134" s="9"/>
      <c r="O134" s="108"/>
      <c r="P134" s="9"/>
      <c r="Q134" s="9"/>
      <c r="R134" s="9"/>
      <c r="S134" s="9"/>
    </row>
    <row r="135" spans="1:19" ht="13.95" customHeight="1">
      <c r="A135" s="1"/>
      <c r="C135" s="33"/>
      <c r="D135" s="1"/>
      <c r="E135" s="3"/>
      <c r="F135" s="4"/>
      <c r="G135" s="5"/>
      <c r="I135" s="3"/>
      <c r="J135" s="3"/>
      <c r="K135" s="3"/>
      <c r="L135" s="103"/>
      <c r="M135" s="108"/>
      <c r="N135" s="9"/>
      <c r="O135" s="108"/>
      <c r="P135" s="9"/>
      <c r="Q135" s="9"/>
      <c r="R135" s="9"/>
      <c r="S135" s="9"/>
    </row>
    <row r="136" spans="1:19" ht="13.95" customHeight="1">
      <c r="A136" s="1"/>
      <c r="B136" s="20" t="s">
        <v>94</v>
      </c>
      <c r="C136" s="32" t="s">
        <v>5</v>
      </c>
      <c r="D136" s="1"/>
      <c r="E136" s="3"/>
      <c r="F136" s="4"/>
      <c r="G136" s="5"/>
      <c r="I136" s="3"/>
      <c r="J136" s="3"/>
      <c r="K136" s="3"/>
      <c r="L136" s="103"/>
      <c r="M136" s="108"/>
      <c r="N136" s="9"/>
      <c r="O136" s="108"/>
      <c r="P136" s="9"/>
      <c r="Q136" s="9"/>
      <c r="R136" s="9"/>
      <c r="S136" s="9"/>
    </row>
    <row r="137" spans="1:19" ht="13.95" customHeight="1">
      <c r="A137" s="1"/>
      <c r="C137" s="33"/>
      <c r="D137" s="1"/>
      <c r="E137" s="3"/>
      <c r="F137" s="4"/>
      <c r="G137" s="5"/>
      <c r="I137" s="3"/>
      <c r="J137" s="3"/>
      <c r="K137" s="3"/>
      <c r="L137" s="103"/>
      <c r="M137" s="108"/>
      <c r="N137" s="9"/>
      <c r="O137" s="108"/>
      <c r="P137" s="9"/>
      <c r="Q137" s="9"/>
      <c r="R137" s="9"/>
      <c r="S137" s="9"/>
    </row>
    <row r="138" spans="1:19" ht="13.95" customHeight="1">
      <c r="A138" s="1"/>
      <c r="C138" s="33" t="s">
        <v>74</v>
      </c>
      <c r="D138" s="1"/>
      <c r="E138" s="3"/>
      <c r="F138" s="4"/>
      <c r="G138" s="5"/>
      <c r="I138" s="3"/>
      <c r="J138" s="3"/>
      <c r="K138" s="3"/>
      <c r="L138" s="103"/>
      <c r="M138" s="108"/>
      <c r="N138" s="9"/>
      <c r="O138" s="108"/>
      <c r="P138" s="9"/>
      <c r="Q138" s="9"/>
      <c r="R138" s="9"/>
      <c r="S138" s="9"/>
    </row>
    <row r="139" spans="1:19" ht="13.95" customHeight="1">
      <c r="A139" s="1"/>
      <c r="C139" s="33"/>
      <c r="D139" s="1"/>
      <c r="E139" s="3"/>
      <c r="F139" s="4"/>
      <c r="G139" s="5"/>
      <c r="I139" s="3"/>
      <c r="J139" s="3"/>
      <c r="K139" s="3"/>
      <c r="L139" s="103"/>
      <c r="M139" s="108"/>
      <c r="N139" s="9"/>
      <c r="O139" s="108"/>
      <c r="P139" s="9"/>
      <c r="Q139" s="9"/>
      <c r="R139" s="9"/>
      <c r="S139" s="9"/>
    </row>
    <row r="140" spans="1:19" ht="13.95" customHeight="1">
      <c r="A140" s="1">
        <f>A132+1</f>
        <v>24</v>
      </c>
      <c r="C140" s="33" t="s">
        <v>24</v>
      </c>
      <c r="D140" s="1" t="s">
        <v>60</v>
      </c>
      <c r="E140" s="3">
        <f>SUM(I140:S140)</f>
        <v>322</v>
      </c>
      <c r="F140" s="3">
        <v>175</v>
      </c>
      <c r="G140" s="5">
        <f t="shared" ref="G140" si="31">+E140*F140</f>
        <v>56350</v>
      </c>
      <c r="I140" s="3">
        <v>322</v>
      </c>
      <c r="J140" s="3">
        <v>0</v>
      </c>
      <c r="K140" s="3"/>
      <c r="L140" s="103"/>
      <c r="M140" s="108"/>
      <c r="N140" s="9"/>
      <c r="O140" s="108"/>
      <c r="P140" s="9"/>
      <c r="Q140" s="9"/>
      <c r="R140" s="9"/>
      <c r="S140" s="9"/>
    </row>
    <row r="141" spans="1:19" ht="13.95" customHeight="1">
      <c r="A141" s="1"/>
      <c r="B141" s="1"/>
      <c r="C141" s="33"/>
      <c r="D141" s="1"/>
      <c r="E141" s="3"/>
      <c r="F141" s="4"/>
      <c r="G141" s="5"/>
      <c r="I141" s="3"/>
      <c r="J141" s="3"/>
      <c r="K141" s="3"/>
      <c r="L141" s="103"/>
      <c r="M141" s="108"/>
      <c r="N141" s="9"/>
      <c r="O141" s="108"/>
      <c r="P141" s="9"/>
      <c r="Q141" s="9"/>
      <c r="R141" s="9"/>
      <c r="S141" s="9"/>
    </row>
    <row r="142" spans="1:19" ht="13.95" customHeight="1">
      <c r="A142" s="1"/>
      <c r="B142" s="1"/>
      <c r="C142" s="32" t="s">
        <v>158</v>
      </c>
      <c r="D142" s="1"/>
      <c r="E142" s="3"/>
      <c r="F142" s="4"/>
      <c r="G142" s="5"/>
      <c r="I142" s="3"/>
      <c r="J142" s="3"/>
      <c r="K142" s="3"/>
      <c r="L142" s="103"/>
      <c r="M142" s="108"/>
      <c r="N142" s="9"/>
      <c r="O142" s="108"/>
      <c r="P142" s="9"/>
      <c r="Q142" s="9"/>
      <c r="R142" s="9"/>
      <c r="S142" s="9"/>
    </row>
    <row r="143" spans="1:19" ht="13.95" customHeight="1">
      <c r="A143" s="1"/>
      <c r="B143" s="1"/>
      <c r="C143" s="33"/>
      <c r="D143" s="1"/>
      <c r="E143" s="3"/>
      <c r="F143" s="4"/>
      <c r="G143" s="5"/>
      <c r="I143" s="3"/>
      <c r="J143" s="3"/>
      <c r="K143" s="3"/>
      <c r="L143" s="103"/>
      <c r="M143" s="108"/>
      <c r="N143" s="9"/>
      <c r="O143" s="108"/>
      <c r="P143" s="9"/>
      <c r="Q143" s="9"/>
      <c r="R143" s="9"/>
      <c r="S143" s="9"/>
    </row>
    <row r="144" spans="1:19" ht="13.95" customHeight="1">
      <c r="A144" s="1">
        <f>A140+1</f>
        <v>25</v>
      </c>
      <c r="B144" s="1"/>
      <c r="C144" s="33" t="s">
        <v>202</v>
      </c>
      <c r="D144" s="1" t="s">
        <v>51</v>
      </c>
      <c r="E144" s="3">
        <f>SUM(I144:S144)</f>
        <v>12.3</v>
      </c>
      <c r="F144" s="3">
        <v>3550</v>
      </c>
      <c r="G144" s="5">
        <f t="shared" ref="G144" si="32">+E144*F144</f>
        <v>43665</v>
      </c>
      <c r="I144" s="3">
        <v>6</v>
      </c>
      <c r="J144" s="3"/>
      <c r="K144" s="3"/>
      <c r="L144" s="103">
        <v>6.3</v>
      </c>
      <c r="M144" s="108"/>
      <c r="N144" s="9"/>
      <c r="O144" s="108"/>
      <c r="P144" s="9"/>
      <c r="Q144" s="9"/>
      <c r="R144" s="9"/>
      <c r="S144" s="9"/>
    </row>
    <row r="145" spans="1:19" ht="13.95" customHeight="1">
      <c r="A145" s="1"/>
      <c r="B145" s="1"/>
      <c r="C145" s="33"/>
      <c r="D145" s="1"/>
      <c r="E145" s="3"/>
      <c r="F145" s="3"/>
      <c r="G145" s="5"/>
      <c r="I145" s="3"/>
      <c r="J145" s="3"/>
      <c r="K145" s="3"/>
      <c r="L145" s="103"/>
      <c r="M145" s="108"/>
      <c r="N145" s="9"/>
      <c r="O145" s="108"/>
      <c r="P145" s="9"/>
      <c r="Q145" s="9"/>
      <c r="R145" s="9"/>
      <c r="S145" s="9"/>
    </row>
    <row r="146" spans="1:19" ht="13.95" customHeight="1">
      <c r="A146" s="1">
        <f>A144+1</f>
        <v>26</v>
      </c>
      <c r="B146" s="1"/>
      <c r="C146" s="33" t="s">
        <v>28</v>
      </c>
      <c r="D146" s="1" t="s">
        <v>51</v>
      </c>
      <c r="E146" s="3">
        <f>SUM(I146:S146)</f>
        <v>51</v>
      </c>
      <c r="F146" s="3">
        <v>3200</v>
      </c>
      <c r="G146" s="5">
        <f t="shared" ref="G146" si="33">+E146*F146</f>
        <v>163200</v>
      </c>
      <c r="I146" s="3">
        <v>51</v>
      </c>
      <c r="J146" s="3"/>
      <c r="K146" s="3"/>
      <c r="L146" s="103"/>
      <c r="M146" s="108"/>
      <c r="N146" s="9"/>
      <c r="O146" s="108"/>
      <c r="P146" s="9"/>
      <c r="Q146" s="9"/>
      <c r="R146" s="9"/>
      <c r="S146" s="9"/>
    </row>
    <row r="147" spans="1:19" ht="13.95" customHeight="1">
      <c r="A147" s="1"/>
      <c r="B147" s="1"/>
      <c r="C147" s="33"/>
      <c r="D147" s="1"/>
      <c r="E147" s="3"/>
      <c r="F147" s="3"/>
      <c r="G147" s="5"/>
      <c r="I147" s="3"/>
      <c r="J147" s="3"/>
      <c r="K147" s="3"/>
      <c r="L147" s="103"/>
      <c r="M147" s="108"/>
      <c r="N147" s="9"/>
      <c r="O147" s="108"/>
      <c r="P147" s="9"/>
      <c r="Q147" s="9"/>
      <c r="R147" s="9"/>
      <c r="S147" s="9"/>
    </row>
    <row r="148" spans="1:19" ht="13.95" customHeight="1">
      <c r="A148" s="1">
        <v>25</v>
      </c>
      <c r="B148" s="1"/>
      <c r="C148" s="33" t="s">
        <v>62</v>
      </c>
      <c r="D148" s="1" t="s">
        <v>51</v>
      </c>
      <c r="E148" s="3">
        <f>SUM(I148:S148)</f>
        <v>0</v>
      </c>
      <c r="F148" s="3">
        <v>3350</v>
      </c>
      <c r="G148" s="5">
        <f t="shared" ref="G148" si="34">+E148*F148</f>
        <v>0</v>
      </c>
      <c r="I148" s="3"/>
      <c r="J148" s="3"/>
      <c r="K148" s="3"/>
      <c r="L148" s="103"/>
      <c r="M148" s="108"/>
      <c r="N148" s="9"/>
      <c r="O148" s="108"/>
      <c r="P148" s="9"/>
      <c r="Q148" s="9"/>
      <c r="R148" s="9"/>
      <c r="S148" s="9"/>
    </row>
    <row r="149" spans="1:19" ht="13.95" customHeight="1">
      <c r="A149" s="53"/>
      <c r="B149" s="117"/>
      <c r="C149" s="38"/>
      <c r="D149" s="53"/>
      <c r="E149" s="53"/>
      <c r="F149" s="118"/>
      <c r="G149" s="119"/>
      <c r="I149" s="9"/>
      <c r="J149" s="9"/>
      <c r="K149" s="9"/>
      <c r="L149" s="103"/>
      <c r="M149" s="108"/>
      <c r="N149" s="9"/>
      <c r="O149" s="108"/>
      <c r="P149" s="9"/>
      <c r="Q149" s="9"/>
      <c r="R149" s="9"/>
      <c r="S149" s="9"/>
    </row>
    <row r="150" spans="1:19" s="42" customFormat="1" ht="20.100000000000001" customHeight="1">
      <c r="A150" s="149" t="s">
        <v>66</v>
      </c>
      <c r="B150" s="150"/>
      <c r="C150" s="150"/>
      <c r="D150" s="150"/>
      <c r="E150" s="150"/>
      <c r="F150" s="151"/>
      <c r="G150" s="111">
        <f>SUM(G102:G149)</f>
        <v>1469557</v>
      </c>
      <c r="I150" s="40"/>
      <c r="J150" s="40"/>
      <c r="K150" s="40"/>
      <c r="L150" s="102"/>
      <c r="M150" s="107"/>
      <c r="N150" s="40"/>
      <c r="O150" s="107"/>
      <c r="P150" s="40"/>
      <c r="Q150" s="40"/>
      <c r="R150" s="40"/>
      <c r="S150" s="40"/>
    </row>
    <row r="151" spans="1:19" s="42" customFormat="1" ht="13.95" customHeight="1">
      <c r="A151" s="39"/>
      <c r="B151" s="39"/>
      <c r="C151" s="39"/>
      <c r="D151" s="39"/>
      <c r="E151" s="39"/>
      <c r="F151" s="39"/>
      <c r="G151" s="112"/>
      <c r="I151" s="40"/>
      <c r="J151" s="40"/>
      <c r="K151" s="40"/>
      <c r="L151" s="102"/>
      <c r="M151" s="107"/>
      <c r="N151" s="40"/>
      <c r="O151" s="107"/>
      <c r="P151" s="40"/>
      <c r="Q151" s="40"/>
      <c r="R151" s="40"/>
      <c r="S151" s="40"/>
    </row>
    <row r="152" spans="1:19" s="42" customFormat="1" ht="13.95" customHeight="1">
      <c r="A152" s="50"/>
      <c r="B152" s="50"/>
      <c r="C152" s="50"/>
      <c r="D152" s="50"/>
      <c r="E152" s="50"/>
      <c r="F152" s="50"/>
      <c r="G152" s="112"/>
      <c r="I152" s="40"/>
      <c r="J152" s="40"/>
      <c r="K152" s="40"/>
      <c r="L152" s="102"/>
      <c r="M152" s="107"/>
      <c r="N152" s="40"/>
      <c r="O152" s="107"/>
      <c r="P152" s="40"/>
      <c r="Q152" s="40"/>
      <c r="R152" s="40"/>
      <c r="S152" s="40"/>
    </row>
    <row r="153" spans="1:19" s="42" customFormat="1" ht="23.4" customHeight="1">
      <c r="A153" s="44" t="s">
        <v>8</v>
      </c>
      <c r="B153" s="48" t="s">
        <v>9</v>
      </c>
      <c r="C153" s="44" t="s">
        <v>10</v>
      </c>
      <c r="D153" s="48" t="s">
        <v>11</v>
      </c>
      <c r="E153" s="48" t="s">
        <v>59</v>
      </c>
      <c r="F153" s="49" t="s">
        <v>12</v>
      </c>
      <c r="G153" s="111" t="s">
        <v>13</v>
      </c>
      <c r="I153" s="40"/>
      <c r="J153" s="40"/>
      <c r="K153" s="40"/>
      <c r="L153" s="102"/>
      <c r="M153" s="107"/>
      <c r="N153" s="40"/>
      <c r="O153" s="107"/>
      <c r="P153" s="40"/>
      <c r="Q153" s="40"/>
      <c r="R153" s="40"/>
      <c r="S153" s="40"/>
    </row>
    <row r="154" spans="1:19" s="42" customFormat="1" ht="20.100000000000001" customHeight="1">
      <c r="A154" s="149" t="s">
        <v>67</v>
      </c>
      <c r="B154" s="150"/>
      <c r="C154" s="150"/>
      <c r="D154" s="150"/>
      <c r="E154" s="150"/>
      <c r="F154" s="151"/>
      <c r="G154" s="111">
        <f>+G150</f>
        <v>1469557</v>
      </c>
      <c r="I154" s="40"/>
      <c r="J154" s="40"/>
      <c r="K154" s="40"/>
      <c r="L154" s="102"/>
      <c r="M154" s="107"/>
      <c r="N154" s="40"/>
      <c r="O154" s="107"/>
      <c r="P154" s="40"/>
      <c r="Q154" s="40"/>
      <c r="R154" s="40"/>
      <c r="S154" s="40"/>
    </row>
    <row r="155" spans="1:19" ht="13.95" customHeight="1">
      <c r="A155" s="9"/>
      <c r="B155" s="114"/>
      <c r="C155" s="33"/>
      <c r="D155" s="9"/>
      <c r="E155" s="9"/>
      <c r="F155" s="43"/>
      <c r="G155" s="115"/>
      <c r="I155" s="9"/>
      <c r="J155" s="9"/>
      <c r="K155" s="9"/>
      <c r="L155" s="103"/>
      <c r="M155" s="108"/>
      <c r="N155" s="9"/>
      <c r="O155" s="108"/>
      <c r="P155" s="9"/>
      <c r="Q155" s="9"/>
      <c r="R155" s="9"/>
      <c r="S155" s="9"/>
    </row>
    <row r="156" spans="1:19" ht="13.95" customHeight="1">
      <c r="A156" s="1">
        <v>26</v>
      </c>
      <c r="B156" s="1"/>
      <c r="C156" s="33" t="s">
        <v>27</v>
      </c>
      <c r="D156" s="1" t="s">
        <v>51</v>
      </c>
      <c r="E156" s="3">
        <f>SUM(I156:S156)</f>
        <v>236</v>
      </c>
      <c r="F156" s="3">
        <v>3200</v>
      </c>
      <c r="G156" s="5">
        <f t="shared" ref="G156" si="35">+E156*F156</f>
        <v>755200</v>
      </c>
      <c r="I156" s="3"/>
      <c r="J156" s="3">
        <v>236</v>
      </c>
      <c r="K156" s="3"/>
      <c r="L156" s="103"/>
      <c r="M156" s="108"/>
      <c r="N156" s="9"/>
      <c r="O156" s="108"/>
      <c r="P156" s="9"/>
      <c r="Q156" s="9"/>
      <c r="R156" s="9"/>
      <c r="S156" s="9"/>
    </row>
    <row r="157" spans="1:19" ht="13.95" customHeight="1">
      <c r="A157" s="1"/>
      <c r="B157" s="1"/>
      <c r="C157" s="33"/>
      <c r="D157" s="1"/>
      <c r="E157" s="3"/>
      <c r="F157" s="3"/>
      <c r="G157" s="5"/>
      <c r="I157" s="3"/>
      <c r="J157" s="3"/>
      <c r="K157" s="3"/>
      <c r="L157" s="103"/>
      <c r="M157" s="108"/>
      <c r="N157" s="9"/>
      <c r="O157" s="108"/>
      <c r="P157" s="9"/>
      <c r="Q157" s="9"/>
      <c r="R157" s="9"/>
      <c r="S157" s="9"/>
    </row>
    <row r="158" spans="1:19" ht="13.95" customHeight="1">
      <c r="A158" s="1">
        <f>A156+1</f>
        <v>27</v>
      </c>
      <c r="B158" s="1"/>
      <c r="C158" s="33" t="s">
        <v>250</v>
      </c>
      <c r="D158" s="1" t="s">
        <v>51</v>
      </c>
      <c r="E158" s="3">
        <f>SUM(I158:S158)</f>
        <v>0</v>
      </c>
      <c r="F158" s="3">
        <v>3650</v>
      </c>
      <c r="G158" s="5">
        <f t="shared" ref="G158" si="36">+E158*F158</f>
        <v>0</v>
      </c>
      <c r="I158" s="3"/>
      <c r="J158" s="3"/>
      <c r="K158" s="3"/>
      <c r="L158" s="103"/>
      <c r="M158" s="108"/>
      <c r="N158" s="9"/>
      <c r="O158" s="108"/>
      <c r="P158" s="9"/>
      <c r="Q158" s="9"/>
      <c r="R158" s="9"/>
      <c r="S158" s="9"/>
    </row>
    <row r="159" spans="1:19" ht="13.95" customHeight="1">
      <c r="A159" s="9"/>
      <c r="B159" s="114"/>
      <c r="C159" s="33"/>
      <c r="D159" s="9"/>
      <c r="E159" s="9"/>
      <c r="F159" s="43"/>
      <c r="G159" s="115"/>
      <c r="I159" s="9"/>
      <c r="J159" s="9"/>
      <c r="K159" s="9"/>
      <c r="L159" s="103"/>
      <c r="M159" s="108"/>
      <c r="N159" s="9"/>
      <c r="O159" s="108"/>
      <c r="P159" s="9"/>
      <c r="Q159" s="9"/>
      <c r="R159" s="9"/>
      <c r="S159" s="9"/>
    </row>
    <row r="160" spans="1:19" ht="13.95" customHeight="1">
      <c r="A160" s="1"/>
      <c r="B160" s="1" t="s">
        <v>96</v>
      </c>
      <c r="C160" s="32" t="s">
        <v>159</v>
      </c>
      <c r="D160" s="1"/>
      <c r="E160" s="3"/>
      <c r="F160" s="4"/>
      <c r="G160" s="5"/>
      <c r="I160" s="9"/>
      <c r="J160" s="9"/>
      <c r="K160" s="9"/>
      <c r="L160" s="103"/>
      <c r="M160" s="108"/>
      <c r="N160" s="9"/>
      <c r="O160" s="108"/>
      <c r="P160" s="9"/>
      <c r="Q160" s="9"/>
      <c r="R160" s="9"/>
      <c r="S160" s="9"/>
    </row>
    <row r="161" spans="1:19" ht="13.95" customHeight="1">
      <c r="A161" s="1"/>
      <c r="B161" s="1"/>
      <c r="C161" s="33"/>
      <c r="D161" s="1"/>
      <c r="E161" s="3"/>
      <c r="F161" s="4"/>
      <c r="G161" s="5"/>
      <c r="I161" s="9"/>
      <c r="J161" s="9"/>
      <c r="K161" s="9"/>
      <c r="L161" s="103"/>
      <c r="M161" s="108"/>
      <c r="N161" s="9"/>
      <c r="O161" s="108"/>
      <c r="P161" s="9"/>
      <c r="Q161" s="9"/>
      <c r="R161" s="9"/>
      <c r="S161" s="9"/>
    </row>
    <row r="162" spans="1:19" ht="13.95" customHeight="1">
      <c r="A162" s="1"/>
      <c r="B162" s="1"/>
      <c r="C162" s="33" t="s">
        <v>160</v>
      </c>
      <c r="D162" s="1"/>
      <c r="E162" s="3"/>
      <c r="F162" s="4"/>
      <c r="G162" s="5"/>
      <c r="I162" s="9"/>
      <c r="J162" s="9"/>
      <c r="K162" s="9"/>
      <c r="L162" s="103"/>
      <c r="M162" s="108"/>
      <c r="N162" s="9"/>
      <c r="O162" s="108"/>
      <c r="P162" s="9"/>
      <c r="Q162" s="9"/>
      <c r="R162" s="9"/>
      <c r="S162" s="9"/>
    </row>
    <row r="163" spans="1:19" ht="13.95" customHeight="1">
      <c r="A163" s="1"/>
      <c r="B163" s="1"/>
      <c r="C163" s="33"/>
      <c r="D163" s="1"/>
      <c r="E163" s="3"/>
      <c r="F163" s="4"/>
      <c r="G163" s="5"/>
      <c r="I163" s="9"/>
      <c r="J163" s="9"/>
      <c r="K163" s="9"/>
      <c r="L163" s="103"/>
      <c r="M163" s="108"/>
      <c r="N163" s="9"/>
      <c r="O163" s="108"/>
      <c r="P163" s="9"/>
      <c r="Q163" s="9"/>
      <c r="R163" s="9"/>
      <c r="S163" s="9"/>
    </row>
    <row r="164" spans="1:19" ht="13.95" customHeight="1">
      <c r="A164" s="1">
        <f>+A158+1</f>
        <v>28</v>
      </c>
      <c r="B164" s="1"/>
      <c r="C164" s="33" t="s">
        <v>28</v>
      </c>
      <c r="D164" s="1" t="s">
        <v>60</v>
      </c>
      <c r="E164" s="3">
        <f>SUM(I164:S164)</f>
        <v>180</v>
      </c>
      <c r="F164" s="3">
        <v>46</v>
      </c>
      <c r="G164" s="5">
        <f t="shared" ref="G164" si="37">+E164*F164</f>
        <v>8280</v>
      </c>
      <c r="I164" s="3">
        <v>180</v>
      </c>
      <c r="J164" s="3">
        <v>0</v>
      </c>
      <c r="K164" s="3"/>
      <c r="L164" s="103"/>
      <c r="M164" s="108"/>
      <c r="N164" s="9"/>
      <c r="O164" s="108"/>
      <c r="P164" s="9"/>
      <c r="Q164" s="9"/>
      <c r="R164" s="9"/>
      <c r="S164" s="9"/>
    </row>
    <row r="165" spans="1:19" ht="13.95" customHeight="1">
      <c r="A165" s="1"/>
      <c r="B165" s="1"/>
      <c r="C165" s="33"/>
      <c r="D165" s="1"/>
      <c r="E165" s="3"/>
      <c r="F165" s="3"/>
      <c r="G165" s="5"/>
      <c r="I165" s="3"/>
      <c r="J165" s="3"/>
      <c r="K165" s="3"/>
      <c r="L165" s="103"/>
      <c r="M165" s="108"/>
      <c r="N165" s="9"/>
      <c r="O165" s="108"/>
      <c r="P165" s="9"/>
      <c r="Q165" s="9"/>
      <c r="R165" s="9"/>
      <c r="S165" s="9"/>
    </row>
    <row r="166" spans="1:19" ht="13.95" customHeight="1">
      <c r="A166" s="1"/>
      <c r="B166" s="1"/>
      <c r="C166" s="33" t="s">
        <v>196</v>
      </c>
      <c r="D166" s="1"/>
      <c r="E166" s="3"/>
      <c r="F166" s="3"/>
      <c r="G166" s="5"/>
      <c r="I166" s="3"/>
      <c r="J166" s="3"/>
      <c r="K166" s="3"/>
      <c r="L166" s="103"/>
      <c r="M166" s="108"/>
      <c r="N166" s="9"/>
      <c r="O166" s="108"/>
      <c r="P166" s="9"/>
      <c r="Q166" s="9"/>
      <c r="R166" s="9"/>
      <c r="S166" s="9"/>
    </row>
    <row r="167" spans="1:19" ht="13.95" customHeight="1">
      <c r="A167" s="1"/>
      <c r="B167" s="1"/>
      <c r="C167" s="33"/>
      <c r="D167" s="1"/>
      <c r="E167" s="3"/>
      <c r="F167" s="3"/>
      <c r="G167" s="5"/>
      <c r="I167" s="3"/>
      <c r="J167" s="3"/>
      <c r="K167" s="3"/>
      <c r="L167" s="103"/>
      <c r="M167" s="108"/>
      <c r="N167" s="9"/>
      <c r="O167" s="108"/>
      <c r="P167" s="9"/>
      <c r="Q167" s="9"/>
      <c r="R167" s="9"/>
      <c r="S167" s="9"/>
    </row>
    <row r="168" spans="1:19" ht="13.95" customHeight="1">
      <c r="A168" s="1">
        <f>A164+1</f>
        <v>29</v>
      </c>
      <c r="B168" s="1"/>
      <c r="C168" s="33" t="s">
        <v>29</v>
      </c>
      <c r="D168" s="1" t="s">
        <v>60</v>
      </c>
      <c r="E168" s="3">
        <f>SUM(I168:S168)</f>
        <v>1350</v>
      </c>
      <c r="F168" s="3">
        <v>75</v>
      </c>
      <c r="G168" s="5">
        <f t="shared" ref="G168" si="38">+E168*F168</f>
        <v>101250</v>
      </c>
      <c r="I168" s="3">
        <v>0</v>
      </c>
      <c r="J168" s="3">
        <v>1350</v>
      </c>
      <c r="K168" s="3"/>
      <c r="L168" s="103"/>
      <c r="M168" s="108"/>
      <c r="N168" s="9"/>
      <c r="O168" s="108"/>
      <c r="P168" s="9"/>
      <c r="Q168" s="9"/>
      <c r="R168" s="9"/>
      <c r="S168" s="9"/>
    </row>
    <row r="169" spans="1:19" ht="13.95" customHeight="1">
      <c r="A169" s="1"/>
      <c r="B169" s="1"/>
      <c r="C169" s="33"/>
      <c r="D169" s="1"/>
      <c r="E169" s="3"/>
      <c r="F169" s="4"/>
      <c r="G169" s="5"/>
      <c r="I169" s="3"/>
      <c r="J169" s="3"/>
      <c r="K169" s="3"/>
      <c r="L169" s="103"/>
      <c r="M169" s="108"/>
      <c r="N169" s="9"/>
      <c r="O169" s="108"/>
      <c r="P169" s="9"/>
      <c r="Q169" s="9"/>
      <c r="R169" s="9"/>
      <c r="S169" s="9"/>
    </row>
    <row r="170" spans="1:19" ht="13.95" customHeight="1">
      <c r="A170" s="1"/>
      <c r="B170" s="1" t="s">
        <v>97</v>
      </c>
      <c r="C170" s="34" t="s">
        <v>20</v>
      </c>
      <c r="D170" s="1"/>
      <c r="E170" s="3"/>
      <c r="F170" s="4"/>
      <c r="G170" s="5"/>
      <c r="I170" s="3"/>
      <c r="J170" s="3"/>
      <c r="K170" s="3"/>
      <c r="L170" s="103"/>
      <c r="M170" s="108"/>
      <c r="N170" s="9"/>
      <c r="O170" s="108"/>
      <c r="P170" s="9"/>
      <c r="Q170" s="9"/>
      <c r="R170" s="9"/>
      <c r="S170" s="9"/>
    </row>
    <row r="171" spans="1:19" ht="13.95" customHeight="1">
      <c r="A171" s="1"/>
      <c r="B171" s="1"/>
      <c r="C171" s="34"/>
      <c r="D171" s="1"/>
      <c r="E171" s="3"/>
      <c r="F171" s="4"/>
      <c r="G171" s="5"/>
      <c r="I171" s="3"/>
      <c r="J171" s="3"/>
      <c r="K171" s="3"/>
      <c r="L171" s="103"/>
      <c r="M171" s="108"/>
      <c r="N171" s="9"/>
      <c r="O171" s="108"/>
      <c r="P171" s="9"/>
      <c r="Q171" s="9"/>
      <c r="R171" s="9"/>
      <c r="S171" s="9"/>
    </row>
    <row r="172" spans="1:19" ht="13.95" customHeight="1">
      <c r="A172" s="1"/>
      <c r="B172" s="1"/>
      <c r="C172" s="32" t="s">
        <v>213</v>
      </c>
      <c r="D172" s="1"/>
      <c r="E172" s="3"/>
      <c r="F172" s="4"/>
      <c r="G172" s="5"/>
      <c r="I172" s="3"/>
      <c r="J172" s="3"/>
      <c r="K172" s="3"/>
      <c r="L172" s="103"/>
      <c r="M172" s="108"/>
      <c r="N172" s="9"/>
      <c r="O172" s="108"/>
      <c r="P172" s="9"/>
      <c r="Q172" s="9"/>
      <c r="R172" s="9"/>
      <c r="S172" s="9"/>
    </row>
    <row r="173" spans="1:19" ht="13.95" customHeight="1">
      <c r="A173" s="1"/>
      <c r="B173" s="1"/>
      <c r="C173" s="34"/>
      <c r="D173" s="1"/>
      <c r="E173" s="3"/>
      <c r="F173" s="4"/>
      <c r="G173" s="5"/>
      <c r="I173" s="3"/>
      <c r="J173" s="3"/>
      <c r="K173" s="3"/>
      <c r="L173" s="103"/>
      <c r="M173" s="108"/>
      <c r="N173" s="9"/>
      <c r="O173" s="108"/>
      <c r="P173" s="9"/>
      <c r="Q173" s="9"/>
      <c r="R173" s="9"/>
      <c r="S173" s="9"/>
    </row>
    <row r="174" spans="1:19" ht="27" customHeight="1">
      <c r="A174" s="1">
        <f>A168+1</f>
        <v>30</v>
      </c>
      <c r="B174" s="1"/>
      <c r="C174" s="33" t="s">
        <v>237</v>
      </c>
      <c r="D174" s="1" t="s">
        <v>1</v>
      </c>
      <c r="E174" s="3">
        <f>SUM(I174:S174)</f>
        <v>0</v>
      </c>
      <c r="F174" s="3">
        <v>375</v>
      </c>
      <c r="G174" s="5">
        <f t="shared" ref="G174" si="39">+E174*F174</f>
        <v>0</v>
      </c>
      <c r="I174" s="3"/>
      <c r="J174" s="3"/>
      <c r="K174" s="3"/>
      <c r="L174" s="103"/>
      <c r="M174" s="108"/>
      <c r="N174" s="9"/>
      <c r="O174" s="108"/>
      <c r="P174" s="9"/>
      <c r="Q174" s="9"/>
      <c r="R174" s="9"/>
      <c r="S174" s="9"/>
    </row>
    <row r="175" spans="1:19" ht="13.95" customHeight="1">
      <c r="A175" s="1"/>
      <c r="B175" s="1"/>
      <c r="C175" s="33"/>
      <c r="D175" s="1"/>
      <c r="E175" s="3"/>
      <c r="F175" s="3"/>
      <c r="G175" s="5"/>
      <c r="I175" s="3"/>
      <c r="J175" s="3"/>
      <c r="K175" s="3"/>
      <c r="L175" s="103"/>
      <c r="M175" s="108"/>
      <c r="N175" s="9"/>
      <c r="O175" s="108"/>
      <c r="P175" s="9"/>
      <c r="Q175" s="9"/>
      <c r="R175" s="9"/>
      <c r="S175" s="9"/>
    </row>
    <row r="176" spans="1:19">
      <c r="A176" s="1">
        <f>A174+1</f>
        <v>31</v>
      </c>
      <c r="B176" s="1"/>
      <c r="C176" s="33" t="s">
        <v>285</v>
      </c>
      <c r="D176" s="1" t="s">
        <v>1</v>
      </c>
      <c r="E176" s="3">
        <f>SUM(I176:S176)</f>
        <v>180</v>
      </c>
      <c r="F176" s="3">
        <v>355</v>
      </c>
      <c r="G176" s="5">
        <f t="shared" ref="G176" si="40">+E176*F176</f>
        <v>63900</v>
      </c>
      <c r="I176" s="3"/>
      <c r="J176" s="3">
        <v>180</v>
      </c>
      <c r="K176" s="3"/>
      <c r="L176" s="104"/>
      <c r="M176" s="108"/>
      <c r="N176" s="9"/>
      <c r="O176" s="108"/>
      <c r="P176" s="9"/>
      <c r="Q176" s="9"/>
      <c r="R176" s="9"/>
      <c r="S176" s="9"/>
    </row>
    <row r="177" spans="1:19" ht="13.95" customHeight="1">
      <c r="A177" s="1"/>
      <c r="B177" s="1"/>
      <c r="C177" s="33"/>
      <c r="D177" s="1"/>
      <c r="E177" s="3"/>
      <c r="F177" s="3"/>
      <c r="G177" s="5"/>
      <c r="I177" s="3"/>
      <c r="J177" s="3"/>
      <c r="K177" s="3"/>
      <c r="L177" s="103"/>
      <c r="M177" s="108"/>
      <c r="N177" s="9"/>
      <c r="O177" s="108"/>
      <c r="P177" s="9"/>
      <c r="Q177" s="9"/>
      <c r="R177" s="9"/>
      <c r="S177" s="9"/>
    </row>
    <row r="178" spans="1:19" ht="23.4" customHeight="1">
      <c r="A178" s="1">
        <f>A176+1</f>
        <v>32</v>
      </c>
      <c r="B178" s="1"/>
      <c r="C178" s="33" t="s">
        <v>243</v>
      </c>
      <c r="D178" s="1" t="s">
        <v>1</v>
      </c>
      <c r="E178" s="3">
        <f>SUM(I178:S178)</f>
        <v>300</v>
      </c>
      <c r="F178" s="3">
        <v>195</v>
      </c>
      <c r="G178" s="5">
        <f t="shared" ref="G178" si="41">+E178*F178</f>
        <v>58500</v>
      </c>
      <c r="I178" s="3">
        <v>30</v>
      </c>
      <c r="J178" s="3">
        <v>210</v>
      </c>
      <c r="K178" s="3"/>
      <c r="L178" s="103">
        <v>60</v>
      </c>
      <c r="M178" s="108"/>
      <c r="N178" s="9"/>
      <c r="O178" s="108"/>
      <c r="P178" s="9"/>
      <c r="Q178" s="9"/>
      <c r="R178" s="9"/>
      <c r="S178" s="9"/>
    </row>
    <row r="179" spans="1:19" ht="13.95" customHeight="1">
      <c r="A179" s="1"/>
      <c r="B179" s="1"/>
      <c r="C179" s="33"/>
      <c r="D179" s="1"/>
      <c r="E179" s="3"/>
      <c r="F179" s="3"/>
      <c r="G179" s="5"/>
      <c r="I179" s="3"/>
      <c r="J179" s="3"/>
      <c r="K179" s="3"/>
      <c r="L179" s="103"/>
      <c r="M179" s="108"/>
      <c r="N179" s="9"/>
      <c r="O179" s="108"/>
      <c r="P179" s="9"/>
      <c r="Q179" s="9"/>
      <c r="R179" s="9"/>
      <c r="S179" s="9"/>
    </row>
    <row r="180" spans="1:19" ht="13.95" customHeight="1">
      <c r="A180" s="1"/>
      <c r="B180" s="1"/>
      <c r="C180" s="33" t="s">
        <v>239</v>
      </c>
      <c r="D180" s="1" t="s">
        <v>1</v>
      </c>
      <c r="E180" s="3">
        <f>SUM(I180:S180)</f>
        <v>270</v>
      </c>
      <c r="F180" s="3">
        <v>155</v>
      </c>
      <c r="G180" s="5">
        <f t="shared" ref="G180" si="42">+E180*F180</f>
        <v>41850</v>
      </c>
      <c r="I180" s="3"/>
      <c r="J180" s="3">
        <v>270</v>
      </c>
      <c r="K180" s="3"/>
      <c r="L180" s="103"/>
      <c r="M180" s="108"/>
      <c r="N180" s="9"/>
      <c r="O180" s="108"/>
      <c r="P180" s="9"/>
      <c r="Q180" s="9"/>
      <c r="R180" s="9"/>
      <c r="S180" s="9"/>
    </row>
    <row r="181" spans="1:19" ht="13.95" customHeight="1">
      <c r="A181" s="1"/>
      <c r="B181" s="1"/>
      <c r="C181" s="33"/>
      <c r="D181" s="1"/>
      <c r="E181" s="3"/>
      <c r="F181" s="4"/>
      <c r="G181" s="5"/>
      <c r="I181" s="3"/>
      <c r="J181" s="3"/>
      <c r="K181" s="3"/>
      <c r="L181" s="103"/>
      <c r="M181" s="108"/>
      <c r="N181" s="9"/>
      <c r="O181" s="108"/>
      <c r="P181" s="9"/>
      <c r="Q181" s="9"/>
      <c r="R181" s="9"/>
      <c r="S181" s="9"/>
    </row>
    <row r="182" spans="1:19" ht="13.95" customHeight="1">
      <c r="A182" s="1"/>
      <c r="B182" s="1"/>
      <c r="C182" s="32" t="s">
        <v>198</v>
      </c>
      <c r="D182" s="1"/>
      <c r="E182" s="3"/>
      <c r="F182" s="4"/>
      <c r="G182" s="5"/>
      <c r="I182" s="3"/>
      <c r="J182" s="3"/>
      <c r="K182" s="3"/>
      <c r="L182" s="103"/>
      <c r="M182" s="108"/>
      <c r="N182" s="9"/>
      <c r="O182" s="108"/>
      <c r="P182" s="9"/>
      <c r="Q182" s="9"/>
      <c r="R182" s="9"/>
      <c r="S182" s="9"/>
    </row>
    <row r="183" spans="1:19" ht="13.95" customHeight="1">
      <c r="A183" s="1"/>
      <c r="B183" s="1"/>
      <c r="C183" s="33"/>
      <c r="D183" s="1"/>
      <c r="E183" s="3"/>
      <c r="F183" s="4"/>
      <c r="G183" s="5"/>
      <c r="I183" s="3"/>
      <c r="J183" s="3"/>
      <c r="K183" s="3"/>
      <c r="L183" s="103"/>
      <c r="M183" s="108"/>
      <c r="N183" s="9"/>
      <c r="O183" s="108"/>
      <c r="P183" s="9"/>
      <c r="Q183" s="9"/>
      <c r="R183" s="9"/>
      <c r="S183" s="9"/>
    </row>
    <row r="184" spans="1:19" ht="13.95" customHeight="1">
      <c r="A184" s="1">
        <f>A178+1</f>
        <v>33</v>
      </c>
      <c r="B184" s="1"/>
      <c r="C184" s="33" t="s">
        <v>199</v>
      </c>
      <c r="D184" s="1" t="s">
        <v>1</v>
      </c>
      <c r="E184" s="3">
        <f>SUM(I184:S184)</f>
        <v>0</v>
      </c>
      <c r="F184" s="3">
        <f>F174</f>
        <v>375</v>
      </c>
      <c r="G184" s="5">
        <f t="shared" ref="G184" si="43">+E184*F184</f>
        <v>0</v>
      </c>
      <c r="I184" s="3"/>
      <c r="J184" s="3"/>
      <c r="K184" s="3"/>
      <c r="L184" s="103"/>
      <c r="M184" s="108"/>
      <c r="N184" s="9"/>
      <c r="O184" s="108"/>
      <c r="P184" s="9"/>
      <c r="Q184" s="9"/>
      <c r="R184" s="9"/>
      <c r="S184" s="9"/>
    </row>
    <row r="185" spans="1:19" ht="13.95" customHeight="1">
      <c r="A185" s="1"/>
      <c r="B185" s="1"/>
      <c r="C185" s="33"/>
      <c r="D185" s="1"/>
      <c r="E185" s="3"/>
      <c r="F185" s="3"/>
      <c r="G185" s="5"/>
      <c r="I185" s="3"/>
      <c r="J185" s="3"/>
      <c r="K185" s="3"/>
      <c r="L185" s="103"/>
      <c r="M185" s="108"/>
      <c r="N185" s="9"/>
      <c r="O185" s="108"/>
      <c r="P185" s="9"/>
      <c r="Q185" s="9"/>
      <c r="R185" s="9"/>
      <c r="S185" s="9"/>
    </row>
    <row r="186" spans="1:19" ht="13.95" customHeight="1">
      <c r="A186" s="1">
        <f>A184+1</f>
        <v>34</v>
      </c>
      <c r="B186" s="1"/>
      <c r="C186" s="33" t="s">
        <v>200</v>
      </c>
      <c r="D186" s="1" t="s">
        <v>1</v>
      </c>
      <c r="E186" s="3">
        <f>SUM(I186:S186)</f>
        <v>0</v>
      </c>
      <c r="F186" s="3">
        <v>395</v>
      </c>
      <c r="G186" s="5">
        <f t="shared" ref="G186" si="44">+E186*F186</f>
        <v>0</v>
      </c>
      <c r="I186" s="3"/>
      <c r="J186" s="3"/>
      <c r="K186" s="3"/>
      <c r="L186" s="103"/>
      <c r="M186" s="108"/>
      <c r="N186" s="9"/>
      <c r="O186" s="108"/>
      <c r="P186" s="9"/>
      <c r="Q186" s="9"/>
      <c r="R186" s="9"/>
      <c r="S186" s="9"/>
    </row>
    <row r="187" spans="1:19" ht="13.95" customHeight="1">
      <c r="A187" s="1"/>
      <c r="B187" s="1"/>
      <c r="C187" s="33"/>
      <c r="D187" s="1"/>
      <c r="E187" s="3"/>
      <c r="F187" s="3"/>
      <c r="G187" s="5"/>
      <c r="I187" s="3"/>
      <c r="J187" s="3"/>
      <c r="K187" s="3"/>
      <c r="L187" s="103"/>
      <c r="M187" s="108"/>
      <c r="N187" s="9"/>
      <c r="O187" s="108"/>
      <c r="P187" s="9"/>
      <c r="Q187" s="9"/>
      <c r="R187" s="9"/>
      <c r="S187" s="9"/>
    </row>
    <row r="188" spans="1:19" ht="13.95" customHeight="1">
      <c r="A188" s="1">
        <f>A186+1</f>
        <v>35</v>
      </c>
      <c r="B188" s="1"/>
      <c r="C188" s="33" t="s">
        <v>214</v>
      </c>
      <c r="D188" s="1" t="s">
        <v>1</v>
      </c>
      <c r="E188" s="3">
        <f>SUM(I188:S188)</f>
        <v>0</v>
      </c>
      <c r="F188" s="3">
        <v>395</v>
      </c>
      <c r="G188" s="5">
        <f t="shared" ref="G188" si="45">+E188*F188</f>
        <v>0</v>
      </c>
      <c r="I188" s="3"/>
      <c r="J188" s="3"/>
      <c r="K188" s="3"/>
      <c r="L188" s="103"/>
      <c r="M188" s="108"/>
      <c r="N188" s="9"/>
      <c r="O188" s="108"/>
      <c r="P188" s="9"/>
      <c r="Q188" s="9"/>
      <c r="R188" s="9"/>
      <c r="S188" s="9"/>
    </row>
    <row r="189" spans="1:19" ht="13.95" customHeight="1">
      <c r="A189" s="1"/>
      <c r="B189" s="1"/>
      <c r="C189" s="33"/>
      <c r="D189" s="1"/>
      <c r="E189" s="3"/>
      <c r="F189" s="4"/>
      <c r="G189" s="5"/>
      <c r="I189" s="3"/>
      <c r="J189" s="3"/>
      <c r="K189" s="3"/>
      <c r="L189" s="103"/>
      <c r="M189" s="108"/>
      <c r="N189" s="9"/>
      <c r="O189" s="108"/>
      <c r="P189" s="9"/>
      <c r="Q189" s="9"/>
      <c r="R189" s="9"/>
      <c r="S189" s="9"/>
    </row>
    <row r="190" spans="1:19" ht="13.95" customHeight="1">
      <c r="A190" s="9"/>
      <c r="B190" s="1" t="s">
        <v>98</v>
      </c>
      <c r="C190" s="34" t="s">
        <v>30</v>
      </c>
      <c r="D190" s="1"/>
      <c r="E190" s="3"/>
      <c r="F190" s="4"/>
      <c r="G190" s="5"/>
      <c r="I190" s="3"/>
      <c r="J190" s="3"/>
      <c r="K190" s="3"/>
      <c r="L190" s="103"/>
      <c r="M190" s="108"/>
      <c r="N190" s="9"/>
      <c r="O190" s="108"/>
      <c r="P190" s="9"/>
      <c r="Q190" s="9"/>
      <c r="R190" s="9"/>
      <c r="S190" s="9"/>
    </row>
    <row r="191" spans="1:19" ht="13.95" customHeight="1">
      <c r="A191" s="9"/>
      <c r="B191" s="1"/>
      <c r="C191" s="33"/>
      <c r="D191" s="1"/>
      <c r="E191" s="3"/>
      <c r="F191" s="4"/>
      <c r="G191" s="5"/>
      <c r="I191" s="3"/>
      <c r="J191" s="3"/>
      <c r="K191" s="3"/>
      <c r="L191" s="103"/>
      <c r="M191" s="108"/>
      <c r="N191" s="9"/>
      <c r="O191" s="108"/>
      <c r="P191" s="9"/>
      <c r="Q191" s="9"/>
      <c r="R191" s="9"/>
      <c r="S191" s="9"/>
    </row>
    <row r="192" spans="1:19" ht="13.95" customHeight="1">
      <c r="A192" s="9"/>
      <c r="B192" s="1"/>
      <c r="C192" s="33" t="s">
        <v>31</v>
      </c>
      <c r="D192" s="1"/>
      <c r="E192" s="3"/>
      <c r="F192" s="4"/>
      <c r="G192" s="5"/>
      <c r="I192" s="3"/>
      <c r="J192" s="3"/>
      <c r="K192" s="3"/>
      <c r="L192" s="103"/>
      <c r="M192" s="108"/>
      <c r="N192" s="9"/>
      <c r="O192" s="108"/>
      <c r="P192" s="9"/>
      <c r="Q192" s="9"/>
      <c r="R192" s="9"/>
      <c r="S192" s="9"/>
    </row>
    <row r="193" spans="1:19" ht="13.95" customHeight="1">
      <c r="A193" s="9"/>
      <c r="B193" s="1"/>
      <c r="C193" s="33"/>
      <c r="D193" s="1"/>
      <c r="E193" s="3"/>
      <c r="F193" s="4"/>
      <c r="G193" s="5"/>
      <c r="I193" s="3"/>
      <c r="J193" s="3"/>
      <c r="K193" s="3"/>
      <c r="L193" s="103"/>
      <c r="M193" s="108"/>
      <c r="N193" s="9"/>
      <c r="O193" s="108"/>
      <c r="P193" s="9"/>
      <c r="Q193" s="9"/>
      <c r="R193" s="9"/>
      <c r="S193" s="9"/>
    </row>
    <row r="194" spans="1:19" ht="13.95" customHeight="1">
      <c r="A194" s="9">
        <f>A188+1</f>
        <v>36</v>
      </c>
      <c r="B194" s="1"/>
      <c r="C194" s="33" t="s">
        <v>32</v>
      </c>
      <c r="D194" s="1" t="s">
        <v>51</v>
      </c>
      <c r="E194" s="3">
        <f>SUM(I194:S194)</f>
        <v>2.37</v>
      </c>
      <c r="F194" s="3">
        <v>35000</v>
      </c>
      <c r="G194" s="5">
        <f t="shared" ref="G194" si="46">+E194*F194</f>
        <v>82950</v>
      </c>
      <c r="I194" s="4">
        <v>0.49</v>
      </c>
      <c r="J194" s="4"/>
      <c r="K194" s="4"/>
      <c r="L194" s="103">
        <v>1.88</v>
      </c>
      <c r="M194" s="108"/>
      <c r="N194" s="9"/>
      <c r="O194" s="108"/>
      <c r="P194" s="9"/>
      <c r="Q194" s="9"/>
      <c r="R194" s="9"/>
      <c r="S194" s="9"/>
    </row>
    <row r="195" spans="1:19" ht="13.95" customHeight="1">
      <c r="A195" s="9"/>
      <c r="B195" s="1"/>
      <c r="C195" s="33"/>
      <c r="D195" s="1"/>
      <c r="E195" s="4"/>
      <c r="F195" s="3"/>
      <c r="G195" s="5"/>
      <c r="I195" s="4"/>
      <c r="J195" s="4"/>
      <c r="K195" s="4"/>
      <c r="L195" s="103"/>
      <c r="M195" s="108"/>
      <c r="N195" s="9"/>
      <c r="O195" s="108"/>
      <c r="P195" s="9"/>
      <c r="Q195" s="9"/>
      <c r="R195" s="9"/>
      <c r="S195" s="9"/>
    </row>
    <row r="196" spans="1:19" ht="13.95" customHeight="1">
      <c r="A196" s="9"/>
      <c r="B196" s="1"/>
      <c r="C196" s="37" t="s">
        <v>40</v>
      </c>
      <c r="D196" s="1"/>
      <c r="E196" s="4"/>
      <c r="F196" s="3"/>
      <c r="G196" s="5"/>
      <c r="I196" s="4"/>
      <c r="J196" s="4"/>
      <c r="K196" s="4"/>
      <c r="L196" s="103"/>
      <c r="M196" s="108"/>
      <c r="N196" s="9"/>
      <c r="O196" s="108"/>
      <c r="P196" s="9"/>
      <c r="Q196" s="9"/>
      <c r="R196" s="9"/>
      <c r="S196" s="9"/>
    </row>
    <row r="197" spans="1:19" ht="13.95" customHeight="1">
      <c r="A197" s="9"/>
      <c r="B197" s="1"/>
      <c r="C197" s="33"/>
      <c r="D197" s="1"/>
      <c r="E197" s="4"/>
      <c r="F197" s="3"/>
      <c r="G197" s="5"/>
      <c r="I197" s="4"/>
      <c r="J197" s="4"/>
      <c r="K197" s="4"/>
      <c r="L197" s="103"/>
      <c r="M197" s="108"/>
      <c r="N197" s="9"/>
      <c r="O197" s="108"/>
      <c r="P197" s="9"/>
      <c r="Q197" s="9"/>
      <c r="R197" s="9"/>
      <c r="S197" s="9"/>
    </row>
    <row r="198" spans="1:19" ht="13.95" customHeight="1">
      <c r="A198" s="9">
        <f>A194+1</f>
        <v>37</v>
      </c>
      <c r="B198" s="1"/>
      <c r="C198" s="33" t="s">
        <v>32</v>
      </c>
      <c r="D198" s="1" t="s">
        <v>51</v>
      </c>
      <c r="E198" s="3">
        <f>SUM(I198:S198)</f>
        <v>0.38</v>
      </c>
      <c r="F198" s="3">
        <f>F194</f>
        <v>35000</v>
      </c>
      <c r="G198" s="5">
        <f t="shared" ref="G198" si="47">+E198*F198</f>
        <v>13300</v>
      </c>
      <c r="I198" s="4">
        <v>0.09</v>
      </c>
      <c r="J198" s="4"/>
      <c r="K198" s="4"/>
      <c r="L198" s="103">
        <v>0.28999999999999998</v>
      </c>
      <c r="M198" s="108"/>
      <c r="N198" s="9"/>
      <c r="O198" s="108"/>
      <c r="P198" s="9"/>
      <c r="Q198" s="9"/>
      <c r="R198" s="9"/>
      <c r="S198" s="9"/>
    </row>
    <row r="199" spans="1:19" ht="13.95" customHeight="1">
      <c r="A199" s="1"/>
      <c r="B199" s="1"/>
      <c r="C199" s="33"/>
      <c r="D199" s="1"/>
      <c r="E199" s="3"/>
      <c r="F199" s="4"/>
      <c r="G199" s="5"/>
      <c r="I199" s="3"/>
      <c r="J199" s="3"/>
      <c r="K199" s="3"/>
      <c r="L199" s="103"/>
      <c r="M199" s="108"/>
      <c r="N199" s="9"/>
      <c r="O199" s="108"/>
      <c r="P199" s="9"/>
      <c r="Q199" s="9"/>
      <c r="R199" s="9"/>
      <c r="S199" s="9"/>
    </row>
    <row r="200" spans="1:19" ht="20.100000000000001" customHeight="1">
      <c r="A200" s="149" t="s">
        <v>66</v>
      </c>
      <c r="B200" s="150"/>
      <c r="C200" s="150"/>
      <c r="D200" s="150"/>
      <c r="E200" s="150"/>
      <c r="F200" s="151"/>
      <c r="G200" s="111">
        <f>SUM(G154:G199)</f>
        <v>2594787</v>
      </c>
      <c r="I200" s="9"/>
      <c r="J200" s="9"/>
      <c r="K200" s="9"/>
      <c r="L200" s="103"/>
      <c r="M200" s="108"/>
      <c r="N200" s="9"/>
      <c r="O200" s="108"/>
      <c r="P200" s="9"/>
      <c r="Q200" s="9"/>
      <c r="R200" s="9"/>
      <c r="S200" s="9"/>
    </row>
    <row r="201" spans="1:19" ht="13.95" customHeight="1">
      <c r="A201" s="39"/>
      <c r="B201" s="39"/>
      <c r="C201" s="39"/>
      <c r="D201" s="39"/>
      <c r="E201" s="39"/>
      <c r="F201" s="39"/>
      <c r="G201" s="112"/>
      <c r="I201" s="9"/>
      <c r="J201" s="9"/>
      <c r="K201" s="9"/>
      <c r="L201" s="103"/>
      <c r="M201" s="108"/>
      <c r="N201" s="9"/>
      <c r="O201" s="108"/>
      <c r="P201" s="9"/>
      <c r="Q201" s="9"/>
      <c r="R201" s="9"/>
      <c r="S201" s="9"/>
    </row>
    <row r="202" spans="1:19" ht="13.95" customHeight="1">
      <c r="A202" s="50"/>
      <c r="B202" s="50"/>
      <c r="C202" s="50"/>
      <c r="D202" s="50"/>
      <c r="E202" s="50"/>
      <c r="F202" s="50"/>
      <c r="G202" s="112"/>
      <c r="I202" s="9"/>
      <c r="J202" s="9"/>
      <c r="K202" s="9"/>
      <c r="L202" s="103"/>
      <c r="M202" s="108"/>
      <c r="N202" s="9"/>
      <c r="O202" s="108"/>
      <c r="P202" s="9"/>
      <c r="Q202" s="9"/>
      <c r="R202" s="9"/>
      <c r="S202" s="9"/>
    </row>
    <row r="203" spans="1:19" ht="24" customHeight="1">
      <c r="A203" s="44" t="s">
        <v>8</v>
      </c>
      <c r="B203" s="48" t="s">
        <v>9</v>
      </c>
      <c r="C203" s="44" t="s">
        <v>10</v>
      </c>
      <c r="D203" s="48" t="s">
        <v>11</v>
      </c>
      <c r="E203" s="48" t="s">
        <v>59</v>
      </c>
      <c r="F203" s="49" t="s">
        <v>12</v>
      </c>
      <c r="G203" s="111" t="s">
        <v>13</v>
      </c>
      <c r="I203" s="9"/>
      <c r="J203" s="9"/>
      <c r="K203" s="9"/>
      <c r="L203" s="103"/>
      <c r="M203" s="108"/>
      <c r="N203" s="9"/>
      <c r="O203" s="108"/>
      <c r="P203" s="9"/>
      <c r="Q203" s="9"/>
      <c r="R203" s="9"/>
      <c r="S203" s="9"/>
    </row>
    <row r="204" spans="1:19" ht="20.100000000000001" customHeight="1">
      <c r="A204" s="149" t="s">
        <v>67</v>
      </c>
      <c r="B204" s="150"/>
      <c r="C204" s="150"/>
      <c r="D204" s="150"/>
      <c r="E204" s="150"/>
      <c r="F204" s="151"/>
      <c r="G204" s="111">
        <f>+G200</f>
        <v>2594787</v>
      </c>
      <c r="I204" s="9"/>
      <c r="J204" s="9"/>
      <c r="K204" s="9"/>
      <c r="L204" s="103"/>
      <c r="M204" s="108"/>
      <c r="N204" s="9"/>
      <c r="O204" s="108"/>
      <c r="P204" s="9"/>
      <c r="Q204" s="9"/>
      <c r="R204" s="9"/>
      <c r="S204" s="9"/>
    </row>
    <row r="205" spans="1:19" ht="13.95" customHeight="1">
      <c r="A205" s="120"/>
      <c r="B205" s="120"/>
      <c r="C205" s="120"/>
      <c r="D205" s="120"/>
      <c r="E205" s="120"/>
      <c r="F205" s="120"/>
      <c r="G205" s="121"/>
      <c r="I205" s="9"/>
      <c r="J205" s="9"/>
      <c r="K205" s="9"/>
      <c r="L205" s="103"/>
      <c r="M205" s="108"/>
      <c r="N205" s="9"/>
      <c r="O205" s="108"/>
      <c r="P205" s="9"/>
      <c r="Q205" s="9"/>
      <c r="R205" s="9"/>
      <c r="S205" s="9"/>
    </row>
    <row r="206" spans="1:19" ht="24.6" customHeight="1">
      <c r="A206" s="9"/>
      <c r="B206" s="1" t="s">
        <v>99</v>
      </c>
      <c r="C206" s="34" t="s">
        <v>63</v>
      </c>
      <c r="D206" s="1"/>
      <c r="E206" s="3"/>
      <c r="F206" s="4"/>
      <c r="G206" s="5"/>
      <c r="I206" s="9"/>
      <c r="J206" s="9"/>
      <c r="K206" s="9"/>
      <c r="L206" s="103"/>
      <c r="M206" s="108"/>
      <c r="N206" s="9"/>
      <c r="O206" s="108"/>
      <c r="P206" s="9"/>
      <c r="Q206" s="9"/>
      <c r="R206" s="9"/>
      <c r="S206" s="9"/>
    </row>
    <row r="207" spans="1:19" ht="13.95" customHeight="1">
      <c r="A207" s="9"/>
      <c r="B207" s="1"/>
      <c r="C207" s="34"/>
      <c r="D207" s="1"/>
      <c r="E207" s="3"/>
      <c r="F207" s="4"/>
      <c r="G207" s="5"/>
      <c r="I207" s="9"/>
      <c r="J207" s="9"/>
      <c r="K207" s="9"/>
      <c r="L207" s="103"/>
      <c r="M207" s="108"/>
      <c r="N207" s="9"/>
      <c r="O207" s="108"/>
      <c r="P207" s="9"/>
      <c r="Q207" s="9"/>
      <c r="R207" s="9"/>
      <c r="S207" s="9"/>
    </row>
    <row r="208" spans="1:19" ht="22.95" customHeight="1">
      <c r="A208" s="9"/>
      <c r="B208" s="1"/>
      <c r="C208" s="34" t="s">
        <v>58</v>
      </c>
      <c r="D208" s="1"/>
      <c r="E208" s="3"/>
      <c r="F208" s="4"/>
      <c r="G208" s="5"/>
      <c r="I208" s="9"/>
      <c r="J208" s="9"/>
      <c r="K208" s="9"/>
      <c r="L208" s="103"/>
      <c r="M208" s="108"/>
      <c r="N208" s="9"/>
      <c r="O208" s="108"/>
      <c r="P208" s="9"/>
      <c r="Q208" s="9"/>
      <c r="R208" s="9"/>
      <c r="S208" s="9"/>
    </row>
    <row r="209" spans="1:19" ht="13.95" customHeight="1">
      <c r="A209" s="9"/>
      <c r="B209" s="1"/>
      <c r="C209" s="33"/>
      <c r="D209" s="1"/>
      <c r="E209" s="3"/>
      <c r="F209" s="4"/>
      <c r="G209" s="5"/>
      <c r="I209" s="9"/>
      <c r="J209" s="9"/>
      <c r="K209" s="9"/>
      <c r="L209" s="103"/>
      <c r="M209" s="108"/>
      <c r="N209" s="9"/>
      <c r="O209" s="108"/>
      <c r="P209" s="9"/>
      <c r="Q209" s="9"/>
      <c r="R209" s="9"/>
      <c r="S209" s="9"/>
    </row>
    <row r="210" spans="1:19" ht="46.2" customHeight="1">
      <c r="A210" s="9">
        <f>A198+1</f>
        <v>38</v>
      </c>
      <c r="B210" s="1"/>
      <c r="C210" s="33" t="s">
        <v>240</v>
      </c>
      <c r="D210" s="1" t="s">
        <v>6</v>
      </c>
      <c r="E210" s="3">
        <f>SUM(I210:S210)</f>
        <v>84</v>
      </c>
      <c r="F210" s="3">
        <v>275</v>
      </c>
      <c r="G210" s="5">
        <f t="shared" ref="G210" si="48">+E210*F210</f>
        <v>23100</v>
      </c>
      <c r="I210" s="9">
        <v>20</v>
      </c>
      <c r="J210" s="9"/>
      <c r="K210" s="9"/>
      <c r="L210" s="103">
        <v>64</v>
      </c>
      <c r="M210" s="108"/>
      <c r="N210" s="9"/>
      <c r="O210" s="108"/>
      <c r="P210" s="9"/>
      <c r="Q210" s="9"/>
      <c r="R210" s="9"/>
      <c r="S210" s="9"/>
    </row>
    <row r="211" spans="1:19" ht="13.95" customHeight="1">
      <c r="A211" s="9"/>
      <c r="B211" s="1"/>
      <c r="C211" s="33"/>
      <c r="D211" s="1"/>
      <c r="E211" s="3"/>
      <c r="F211" s="3"/>
      <c r="G211" s="5"/>
      <c r="I211" s="9"/>
      <c r="J211" s="9"/>
      <c r="K211" s="9"/>
      <c r="L211" s="103"/>
      <c r="M211" s="108"/>
      <c r="N211" s="9"/>
      <c r="O211" s="108"/>
      <c r="P211" s="9"/>
      <c r="Q211" s="9"/>
      <c r="R211" s="9"/>
      <c r="S211" s="9"/>
    </row>
    <row r="212" spans="1:19" ht="48" customHeight="1">
      <c r="A212" s="9">
        <f>A210+1</f>
        <v>39</v>
      </c>
      <c r="B212" s="1"/>
      <c r="C212" s="33" t="s">
        <v>227</v>
      </c>
      <c r="D212" s="1" t="s">
        <v>6</v>
      </c>
      <c r="E212" s="3">
        <f>SUM(I212:S212)</f>
        <v>0</v>
      </c>
      <c r="F212" s="3">
        <v>975</v>
      </c>
      <c r="G212" s="5">
        <f t="shared" ref="G212" si="49">+E212*F212</f>
        <v>0</v>
      </c>
      <c r="I212" s="45">
        <v>0</v>
      </c>
      <c r="J212" s="45"/>
      <c r="K212" s="45"/>
      <c r="L212" s="103"/>
      <c r="M212" s="108"/>
      <c r="N212" s="9"/>
      <c r="O212" s="108"/>
      <c r="P212" s="9"/>
      <c r="Q212" s="9"/>
      <c r="R212" s="9"/>
      <c r="S212" s="9"/>
    </row>
    <row r="213" spans="1:19" ht="12.6" customHeight="1">
      <c r="A213" s="9"/>
      <c r="B213" s="1"/>
      <c r="C213" s="33"/>
      <c r="D213" s="1"/>
      <c r="E213" s="3"/>
      <c r="F213" s="4"/>
      <c r="G213" s="5"/>
      <c r="I213" s="9"/>
      <c r="J213" s="9"/>
      <c r="K213" s="9"/>
      <c r="L213" s="103"/>
      <c r="M213" s="108"/>
      <c r="N213" s="9"/>
      <c r="O213" s="108"/>
      <c r="P213" s="9"/>
      <c r="Q213" s="9"/>
      <c r="R213" s="9"/>
      <c r="S213" s="9"/>
    </row>
    <row r="214" spans="1:19" ht="13.95" customHeight="1">
      <c r="A214" s="1"/>
      <c r="B214" s="1" t="s">
        <v>103</v>
      </c>
      <c r="C214" s="34" t="s">
        <v>7</v>
      </c>
      <c r="D214" s="1"/>
      <c r="E214" s="3"/>
      <c r="F214" s="4"/>
      <c r="G214" s="5"/>
      <c r="I214" s="9"/>
      <c r="J214" s="9"/>
      <c r="K214" s="9"/>
      <c r="L214" s="103"/>
      <c r="M214" s="108"/>
      <c r="N214" s="9"/>
      <c r="O214" s="108"/>
      <c r="P214" s="9"/>
      <c r="Q214" s="9"/>
      <c r="R214" s="9"/>
      <c r="S214" s="9"/>
    </row>
    <row r="215" spans="1:19" ht="13.95" customHeight="1">
      <c r="A215" s="1"/>
      <c r="B215" s="1"/>
      <c r="C215" s="33"/>
      <c r="D215" s="1"/>
      <c r="E215" s="3"/>
      <c r="F215" s="4"/>
      <c r="G215" s="5"/>
      <c r="I215" s="9"/>
      <c r="J215" s="9"/>
      <c r="K215" s="9"/>
      <c r="L215" s="103"/>
      <c r="M215" s="108"/>
      <c r="N215" s="9"/>
      <c r="O215" s="108"/>
      <c r="P215" s="9"/>
      <c r="Q215" s="9"/>
      <c r="R215" s="9"/>
      <c r="S215" s="9"/>
    </row>
    <row r="216" spans="1:19" ht="13.95" customHeight="1">
      <c r="A216" s="1"/>
      <c r="B216" s="1"/>
      <c r="C216" s="33" t="s">
        <v>68</v>
      </c>
      <c r="D216" s="1"/>
      <c r="E216" s="3"/>
      <c r="F216" s="4"/>
      <c r="G216" s="5"/>
      <c r="I216" s="9"/>
      <c r="J216" s="9"/>
      <c r="K216" s="9"/>
      <c r="L216" s="103"/>
      <c r="M216" s="108"/>
      <c r="N216" s="9"/>
      <c r="O216" s="108"/>
      <c r="P216" s="9"/>
      <c r="Q216" s="9"/>
      <c r="R216" s="9"/>
      <c r="S216" s="9"/>
    </row>
    <row r="217" spans="1:19" ht="13.95" customHeight="1">
      <c r="A217" s="1"/>
      <c r="B217" s="1"/>
      <c r="C217" s="33"/>
      <c r="D217" s="1"/>
      <c r="E217" s="3"/>
      <c r="F217" s="4"/>
      <c r="G217" s="5"/>
      <c r="I217" s="9"/>
      <c r="J217" s="9"/>
      <c r="K217" s="9"/>
      <c r="L217" s="103"/>
      <c r="M217" s="108"/>
      <c r="N217" s="9"/>
      <c r="O217" s="108"/>
      <c r="P217" s="9"/>
      <c r="Q217" s="9"/>
      <c r="R217" s="9"/>
      <c r="S217" s="9"/>
    </row>
    <row r="218" spans="1:19" ht="22.95" customHeight="1">
      <c r="A218" s="1">
        <f>A212+1</f>
        <v>40</v>
      </c>
      <c r="B218" s="1"/>
      <c r="C218" s="33" t="s">
        <v>197</v>
      </c>
      <c r="D218" s="1" t="s">
        <v>60</v>
      </c>
      <c r="E218" s="3">
        <f>SUM(I218:S218)</f>
        <v>1350</v>
      </c>
      <c r="F218" s="13">
        <v>165</v>
      </c>
      <c r="G218" s="5">
        <f t="shared" ref="G218" si="50">+E218*F218</f>
        <v>222750</v>
      </c>
      <c r="I218" s="9"/>
      <c r="J218" s="9">
        <v>1350</v>
      </c>
      <c r="K218" s="9"/>
      <c r="L218" s="103"/>
      <c r="M218" s="108"/>
      <c r="N218" s="9"/>
      <c r="O218" s="108"/>
      <c r="P218" s="9"/>
      <c r="Q218" s="9"/>
      <c r="R218" s="9"/>
      <c r="S218" s="9"/>
    </row>
    <row r="219" spans="1:19" ht="13.95" customHeight="1">
      <c r="A219" s="1"/>
      <c r="B219" s="1"/>
      <c r="C219" s="33"/>
      <c r="D219" s="35"/>
      <c r="E219" s="3"/>
      <c r="F219" s="4"/>
      <c r="G219" s="5"/>
      <c r="I219" s="9"/>
      <c r="J219" s="9"/>
      <c r="K219" s="9"/>
      <c r="L219" s="103"/>
      <c r="M219" s="108"/>
      <c r="N219" s="9"/>
      <c r="O219" s="108"/>
      <c r="P219" s="9"/>
      <c r="Q219" s="9"/>
      <c r="R219" s="9"/>
      <c r="S219" s="9"/>
    </row>
    <row r="220" spans="1:19" ht="13.95" customHeight="1">
      <c r="A220" s="1"/>
      <c r="B220" s="1"/>
      <c r="C220" s="46" t="s">
        <v>231</v>
      </c>
      <c r="D220" s="1"/>
      <c r="E220" s="3"/>
      <c r="F220" s="4"/>
      <c r="G220" s="5"/>
      <c r="I220" s="9"/>
      <c r="J220" s="9"/>
      <c r="K220" s="9"/>
      <c r="L220" s="103"/>
      <c r="M220" s="108"/>
      <c r="N220" s="9"/>
      <c r="O220" s="108"/>
      <c r="P220" s="9"/>
      <c r="Q220" s="9"/>
      <c r="R220" s="9"/>
      <c r="S220" s="9"/>
    </row>
    <row r="221" spans="1:19" ht="13.95" customHeight="1">
      <c r="A221" s="1"/>
      <c r="B221" s="1"/>
      <c r="C221" s="47"/>
      <c r="D221" s="35"/>
      <c r="E221" s="3"/>
      <c r="F221" s="4"/>
      <c r="G221" s="5"/>
      <c r="I221" s="9"/>
      <c r="J221" s="9"/>
      <c r="K221" s="9"/>
      <c r="L221" s="103"/>
      <c r="M221" s="108"/>
      <c r="N221" s="9"/>
      <c r="O221" s="108"/>
      <c r="P221" s="9"/>
      <c r="Q221" s="9"/>
      <c r="R221" s="9"/>
      <c r="S221" s="9"/>
    </row>
    <row r="222" spans="1:19" ht="49.2" customHeight="1">
      <c r="A222" s="1">
        <f>A218+1</f>
        <v>41</v>
      </c>
      <c r="B222" s="1"/>
      <c r="C222" s="55" t="s">
        <v>75</v>
      </c>
      <c r="D222" s="1" t="s">
        <v>51</v>
      </c>
      <c r="E222" s="3">
        <f>SUM(I222:S222)</f>
        <v>0</v>
      </c>
      <c r="F222" s="3">
        <v>1185</v>
      </c>
      <c r="G222" s="5">
        <f t="shared" ref="G222" si="51">+E222*F222</f>
        <v>0</v>
      </c>
      <c r="I222" s="9"/>
      <c r="J222" s="9"/>
      <c r="K222" s="9"/>
      <c r="L222" s="103"/>
      <c r="M222" s="108"/>
      <c r="N222" s="9"/>
      <c r="O222" s="108"/>
      <c r="P222" s="9"/>
      <c r="Q222" s="9"/>
      <c r="R222" s="9"/>
      <c r="S222" s="9"/>
    </row>
    <row r="223" spans="1:19" ht="10.5" customHeight="1">
      <c r="A223" s="1"/>
      <c r="B223" s="1"/>
      <c r="C223" s="55"/>
      <c r="D223" s="35"/>
      <c r="E223" s="3"/>
      <c r="F223" s="4"/>
      <c r="G223" s="5"/>
      <c r="I223" s="9"/>
      <c r="J223" s="9"/>
      <c r="K223" s="9"/>
      <c r="L223" s="103"/>
      <c r="M223" s="108"/>
      <c r="N223" s="9"/>
      <c r="O223" s="108"/>
      <c r="P223" s="9"/>
      <c r="Q223" s="9"/>
      <c r="R223" s="9"/>
      <c r="S223" s="9"/>
    </row>
    <row r="224" spans="1:19" ht="13.95" customHeight="1">
      <c r="A224" s="1"/>
      <c r="B224" s="1"/>
      <c r="C224" s="56" t="s">
        <v>230</v>
      </c>
      <c r="D224" s="9"/>
      <c r="E224" s="9"/>
      <c r="F224" s="122"/>
      <c r="G224" s="5"/>
      <c r="I224" s="9"/>
      <c r="J224" s="9"/>
      <c r="K224" s="9"/>
      <c r="L224" s="103"/>
      <c r="M224" s="108"/>
      <c r="N224" s="9"/>
      <c r="O224" s="108"/>
      <c r="P224" s="9"/>
      <c r="Q224" s="9"/>
      <c r="R224" s="9"/>
      <c r="S224" s="9"/>
    </row>
    <row r="225" spans="1:19" ht="9.75" customHeight="1">
      <c r="A225" s="1"/>
      <c r="B225" s="1"/>
      <c r="C225" s="57"/>
      <c r="D225" s="9"/>
      <c r="E225" s="9"/>
      <c r="F225" s="122"/>
      <c r="G225" s="5"/>
      <c r="I225" s="9"/>
      <c r="J225" s="9"/>
      <c r="K225" s="9"/>
      <c r="L225" s="103"/>
      <c r="M225" s="108"/>
      <c r="N225" s="9"/>
      <c r="O225" s="108"/>
      <c r="P225" s="9"/>
      <c r="Q225" s="9"/>
      <c r="R225" s="9"/>
      <c r="S225" s="9"/>
    </row>
    <row r="226" spans="1:19" ht="48" customHeight="1">
      <c r="A226" s="1"/>
      <c r="B226" s="1"/>
      <c r="C226" s="33" t="s">
        <v>242</v>
      </c>
      <c r="D226" s="57"/>
      <c r="E226" s="57"/>
      <c r="F226" s="57"/>
      <c r="G226" s="5"/>
      <c r="I226" s="9"/>
      <c r="J226" s="9"/>
      <c r="K226" s="9"/>
      <c r="L226" s="103"/>
      <c r="M226" s="108"/>
      <c r="N226" s="9"/>
      <c r="O226" s="108"/>
      <c r="P226" s="9"/>
      <c r="Q226" s="9"/>
      <c r="R226" s="9"/>
      <c r="S226" s="9"/>
    </row>
    <row r="227" spans="1:19" ht="13.95" customHeight="1">
      <c r="A227" s="1"/>
      <c r="B227" s="1"/>
      <c r="C227" s="33"/>
      <c r="D227" s="9"/>
      <c r="E227" s="9"/>
      <c r="F227" s="122"/>
      <c r="G227" s="5"/>
      <c r="I227" s="9"/>
      <c r="J227" s="9"/>
      <c r="K227" s="9"/>
      <c r="L227" s="103"/>
      <c r="M227" s="108"/>
      <c r="N227" s="9"/>
      <c r="O227" s="108"/>
      <c r="P227" s="9"/>
      <c r="Q227" s="9"/>
      <c r="R227" s="9"/>
      <c r="S227" s="9"/>
    </row>
    <row r="228" spans="1:19" ht="25.95" customHeight="1">
      <c r="A228" s="1"/>
      <c r="B228" s="1"/>
      <c r="C228" s="33" t="s">
        <v>232</v>
      </c>
      <c r="D228" s="9"/>
      <c r="E228" s="9"/>
      <c r="F228" s="122"/>
      <c r="G228" s="5"/>
      <c r="I228" s="9"/>
      <c r="J228" s="9"/>
      <c r="K228" s="9"/>
      <c r="L228" s="103"/>
      <c r="M228" s="108"/>
      <c r="N228" s="9"/>
      <c r="O228" s="108"/>
      <c r="P228" s="9"/>
      <c r="Q228" s="9"/>
      <c r="R228" s="9"/>
      <c r="S228" s="9"/>
    </row>
    <row r="229" spans="1:19" ht="13.95" customHeight="1">
      <c r="A229" s="1"/>
      <c r="B229" s="1"/>
      <c r="C229" s="33"/>
      <c r="D229" s="9"/>
      <c r="E229" s="9"/>
      <c r="F229" s="122"/>
      <c r="G229" s="5"/>
      <c r="I229" s="9"/>
      <c r="J229" s="9"/>
      <c r="K229" s="9"/>
      <c r="L229" s="103"/>
      <c r="M229" s="108"/>
      <c r="N229" s="9"/>
      <c r="O229" s="108"/>
      <c r="P229" s="9"/>
      <c r="Q229" s="9"/>
      <c r="R229" s="9"/>
      <c r="S229" s="9"/>
    </row>
    <row r="230" spans="1:19" ht="38.4" customHeight="1">
      <c r="A230" s="1">
        <f>A222+1</f>
        <v>42</v>
      </c>
      <c r="B230" s="1"/>
      <c r="C230" s="33" t="s">
        <v>233</v>
      </c>
      <c r="D230" s="9" t="s">
        <v>1</v>
      </c>
      <c r="E230" s="3">
        <f>SUM(I230:S230)</f>
        <v>0</v>
      </c>
      <c r="F230" s="144">
        <v>775</v>
      </c>
      <c r="G230" s="5">
        <f t="shared" ref="G230" si="52">+E230*F230</f>
        <v>0</v>
      </c>
      <c r="I230" s="9"/>
      <c r="J230" s="9"/>
      <c r="K230" s="9"/>
      <c r="L230" s="103"/>
      <c r="M230" s="108"/>
      <c r="N230" s="9"/>
      <c r="O230" s="108"/>
      <c r="P230" s="9"/>
      <c r="Q230" s="9"/>
      <c r="R230" s="9"/>
      <c r="S230" s="9"/>
    </row>
    <row r="231" spans="1:19" ht="13.95" customHeight="1">
      <c r="A231" s="1"/>
      <c r="B231" s="1"/>
      <c r="C231" s="33"/>
      <c r="D231" s="9"/>
      <c r="E231" s="9"/>
      <c r="F231" s="144"/>
      <c r="G231" s="5"/>
      <c r="I231" s="9"/>
      <c r="J231" s="9"/>
      <c r="K231" s="9"/>
      <c r="L231" s="103"/>
      <c r="M231" s="108"/>
      <c r="N231" s="9"/>
      <c r="O231" s="108"/>
      <c r="P231" s="9"/>
      <c r="Q231" s="9"/>
      <c r="R231" s="9"/>
      <c r="S231" s="9"/>
    </row>
    <row r="232" spans="1:19" ht="25.95" customHeight="1">
      <c r="A232" s="1">
        <f>A230+1</f>
        <v>43</v>
      </c>
      <c r="B232" s="1"/>
      <c r="C232" s="33" t="s">
        <v>228</v>
      </c>
      <c r="D232" s="9" t="s">
        <v>6</v>
      </c>
      <c r="E232" s="3">
        <f>SUM(I232:S232)</f>
        <v>0</v>
      </c>
      <c r="F232" s="144">
        <v>275</v>
      </c>
      <c r="G232" s="5">
        <f t="shared" ref="G232" si="53">+E232*F232</f>
        <v>0</v>
      </c>
      <c r="I232" s="9"/>
      <c r="J232" s="9"/>
      <c r="K232" s="9"/>
      <c r="L232" s="103"/>
      <c r="M232" s="108"/>
      <c r="N232" s="9"/>
      <c r="O232" s="108"/>
      <c r="P232" s="9"/>
      <c r="Q232" s="9"/>
      <c r="R232" s="9"/>
      <c r="S232" s="9"/>
    </row>
    <row r="233" spans="1:19" ht="9" customHeight="1">
      <c r="A233" s="1"/>
      <c r="B233" s="1"/>
      <c r="C233" s="33"/>
      <c r="D233" s="9"/>
      <c r="E233" s="9"/>
      <c r="F233" s="144"/>
      <c r="G233" s="5"/>
      <c r="I233" s="9"/>
      <c r="J233" s="9"/>
      <c r="K233" s="9"/>
      <c r="L233" s="103"/>
      <c r="M233" s="108"/>
      <c r="N233" s="9"/>
      <c r="O233" s="108"/>
      <c r="P233" s="9"/>
      <c r="Q233" s="9"/>
      <c r="R233" s="9"/>
      <c r="S233" s="9"/>
    </row>
    <row r="234" spans="1:19" ht="13.95" customHeight="1">
      <c r="A234" s="1">
        <f>A232+1</f>
        <v>44</v>
      </c>
      <c r="B234" s="1"/>
      <c r="C234" s="33" t="s">
        <v>229</v>
      </c>
      <c r="D234" s="9" t="s">
        <v>6</v>
      </c>
      <c r="E234" s="3">
        <f>SUM(I234:S234)</f>
        <v>0</v>
      </c>
      <c r="F234" s="144">
        <v>650</v>
      </c>
      <c r="G234" s="5">
        <f t="shared" ref="G234" si="54">+E234*F234</f>
        <v>0</v>
      </c>
      <c r="I234" s="9"/>
      <c r="J234" s="9"/>
      <c r="K234" s="9"/>
      <c r="L234" s="103"/>
      <c r="M234" s="108"/>
      <c r="N234" s="9"/>
      <c r="O234" s="108"/>
      <c r="P234" s="9"/>
      <c r="Q234" s="9"/>
      <c r="R234" s="9"/>
      <c r="S234" s="9"/>
    </row>
    <row r="235" spans="1:19" ht="11.25" customHeight="1">
      <c r="A235" s="1"/>
      <c r="B235" s="1"/>
      <c r="C235" s="17"/>
      <c r="D235" s="35"/>
      <c r="E235" s="3"/>
      <c r="F235" s="14"/>
      <c r="G235" s="5"/>
      <c r="I235" s="9"/>
      <c r="J235" s="9"/>
      <c r="K235" s="9"/>
      <c r="L235" s="103"/>
      <c r="M235" s="108"/>
      <c r="N235" s="9"/>
      <c r="O235" s="108"/>
      <c r="P235" s="9"/>
      <c r="Q235" s="9"/>
      <c r="R235" s="9"/>
      <c r="S235" s="9"/>
    </row>
    <row r="236" spans="1:19">
      <c r="A236" s="16">
        <f>+A234+1</f>
        <v>45</v>
      </c>
      <c r="B236" s="16"/>
      <c r="C236" s="47" t="s">
        <v>241</v>
      </c>
      <c r="D236" s="58" t="s">
        <v>1</v>
      </c>
      <c r="E236" s="3">
        <f>SUM(I236:S236)</f>
        <v>0</v>
      </c>
      <c r="F236" s="13">
        <v>425</v>
      </c>
      <c r="G236" s="15">
        <f t="shared" ref="G236" si="55">+E236*F236</f>
        <v>0</v>
      </c>
      <c r="I236" s="9"/>
      <c r="J236" s="9"/>
      <c r="K236" s="9"/>
      <c r="L236" s="103"/>
      <c r="M236" s="108"/>
      <c r="N236" s="9"/>
      <c r="O236" s="108"/>
      <c r="P236" s="9"/>
      <c r="Q236" s="9"/>
      <c r="R236" s="9"/>
      <c r="S236" s="9"/>
    </row>
    <row r="237" spans="1:19" ht="13.95" customHeight="1">
      <c r="A237" s="1"/>
      <c r="B237" s="1"/>
      <c r="C237" s="17"/>
      <c r="D237" s="35"/>
      <c r="E237" s="3"/>
      <c r="F237" s="14"/>
      <c r="G237" s="5"/>
      <c r="I237" s="9"/>
      <c r="J237" s="9"/>
      <c r="K237" s="9"/>
      <c r="L237" s="103"/>
      <c r="M237" s="108"/>
      <c r="N237" s="9"/>
      <c r="O237" s="108"/>
      <c r="P237" s="9"/>
      <c r="Q237" s="9"/>
      <c r="R237" s="9"/>
      <c r="S237" s="9"/>
    </row>
    <row r="238" spans="1:19" ht="20.100000000000001" customHeight="1">
      <c r="A238" s="149" t="s">
        <v>66</v>
      </c>
      <c r="B238" s="150"/>
      <c r="C238" s="150"/>
      <c r="D238" s="150"/>
      <c r="E238" s="150"/>
      <c r="F238" s="151"/>
      <c r="G238" s="111">
        <f>SUM(G204:G237)</f>
        <v>2840637</v>
      </c>
      <c r="I238" s="9"/>
      <c r="J238" s="9"/>
      <c r="K238" s="9"/>
      <c r="L238" s="103"/>
      <c r="M238" s="108"/>
      <c r="N238" s="9"/>
      <c r="O238" s="108"/>
      <c r="P238" s="9"/>
      <c r="Q238" s="9"/>
      <c r="R238" s="9"/>
      <c r="S238" s="9"/>
    </row>
    <row r="239" spans="1:19" ht="13.95" customHeight="1">
      <c r="A239" s="39"/>
      <c r="B239" s="39"/>
      <c r="C239" s="39"/>
      <c r="D239" s="39"/>
      <c r="E239" s="39"/>
      <c r="F239" s="39"/>
      <c r="G239" s="112"/>
      <c r="I239" s="9"/>
      <c r="J239" s="9"/>
      <c r="K239" s="9"/>
      <c r="L239" s="103"/>
      <c r="M239" s="108"/>
      <c r="N239" s="9"/>
      <c r="O239" s="108"/>
      <c r="P239" s="9"/>
      <c r="Q239" s="9"/>
      <c r="R239" s="9"/>
      <c r="S239" s="9"/>
    </row>
    <row r="240" spans="1:19" ht="13.95" customHeight="1">
      <c r="A240" s="50"/>
      <c r="B240" s="50"/>
      <c r="C240" s="50"/>
      <c r="D240" s="50"/>
      <c r="E240" s="50"/>
      <c r="F240" s="50"/>
      <c r="G240" s="112"/>
      <c r="I240" s="9"/>
      <c r="J240" s="9"/>
      <c r="K240" s="9"/>
      <c r="L240" s="103"/>
      <c r="M240" s="108"/>
      <c r="N240" s="9"/>
      <c r="O240" s="108"/>
      <c r="P240" s="9"/>
      <c r="Q240" s="9"/>
      <c r="R240" s="9"/>
      <c r="S240" s="9"/>
    </row>
    <row r="241" spans="1:19" ht="21.6" customHeight="1">
      <c r="A241" s="44" t="s">
        <v>8</v>
      </c>
      <c r="B241" s="48" t="s">
        <v>9</v>
      </c>
      <c r="C241" s="44" t="s">
        <v>10</v>
      </c>
      <c r="D241" s="48" t="s">
        <v>11</v>
      </c>
      <c r="E241" s="48" t="s">
        <v>59</v>
      </c>
      <c r="F241" s="49" t="s">
        <v>12</v>
      </c>
      <c r="G241" s="111" t="s">
        <v>13</v>
      </c>
      <c r="I241" s="9"/>
      <c r="J241" s="9"/>
      <c r="K241" s="9"/>
      <c r="L241" s="103"/>
      <c r="M241" s="108"/>
      <c r="N241" s="9"/>
      <c r="O241" s="108"/>
      <c r="P241" s="9"/>
      <c r="Q241" s="9"/>
      <c r="R241" s="9"/>
      <c r="S241" s="9"/>
    </row>
    <row r="242" spans="1:19" ht="20.100000000000001" customHeight="1">
      <c r="A242" s="149" t="s">
        <v>67</v>
      </c>
      <c r="B242" s="150"/>
      <c r="C242" s="150"/>
      <c r="D242" s="150"/>
      <c r="E242" s="150"/>
      <c r="F242" s="151"/>
      <c r="G242" s="111">
        <f>+G238</f>
        <v>2840637</v>
      </c>
      <c r="I242" s="9"/>
      <c r="J242" s="9"/>
      <c r="K242" s="9"/>
      <c r="L242" s="103"/>
      <c r="M242" s="108"/>
      <c r="N242" s="9"/>
      <c r="O242" s="108"/>
      <c r="P242" s="9"/>
      <c r="Q242" s="9"/>
      <c r="R242" s="9"/>
      <c r="S242" s="9"/>
    </row>
    <row r="243" spans="1:19" ht="13.95" customHeight="1">
      <c r="A243" s="120"/>
      <c r="B243" s="120"/>
      <c r="C243" s="120"/>
      <c r="D243" s="120"/>
      <c r="E243" s="120"/>
      <c r="F243" s="120"/>
      <c r="G243" s="121"/>
      <c r="I243" s="9"/>
      <c r="J243" s="9"/>
      <c r="K243" s="9"/>
      <c r="L243" s="103"/>
      <c r="M243" s="108"/>
      <c r="N243" s="9"/>
      <c r="O243" s="108"/>
      <c r="P243" s="9"/>
      <c r="Q243" s="9"/>
      <c r="R243" s="9"/>
      <c r="S243" s="9"/>
    </row>
    <row r="244" spans="1:19" ht="22.2" customHeight="1">
      <c r="A244" s="1"/>
      <c r="B244" s="51" t="s">
        <v>105</v>
      </c>
      <c r="C244" s="11" t="s">
        <v>204</v>
      </c>
      <c r="D244" s="40"/>
      <c r="E244" s="3"/>
      <c r="F244" s="4"/>
      <c r="G244" s="5"/>
      <c r="I244" s="9"/>
      <c r="J244" s="9"/>
      <c r="K244" s="9"/>
      <c r="L244" s="103"/>
      <c r="M244" s="108"/>
      <c r="N244" s="9"/>
      <c r="O244" s="108"/>
      <c r="P244" s="9"/>
      <c r="Q244" s="9"/>
      <c r="R244" s="9"/>
      <c r="S244" s="9"/>
    </row>
    <row r="245" spans="1:19" ht="13.95" customHeight="1">
      <c r="A245" s="1"/>
      <c r="B245" s="51"/>
      <c r="C245" s="6"/>
      <c r="D245" s="9"/>
      <c r="E245" s="3"/>
      <c r="F245" s="4"/>
      <c r="G245" s="5"/>
      <c r="I245" s="9"/>
      <c r="J245" s="9"/>
      <c r="K245" s="9"/>
      <c r="L245" s="103"/>
      <c r="M245" s="108"/>
      <c r="N245" s="9"/>
      <c r="O245" s="108"/>
      <c r="P245" s="9"/>
      <c r="Q245" s="9"/>
      <c r="R245" s="9"/>
      <c r="S245" s="9"/>
    </row>
    <row r="246" spans="1:19" ht="13.95" customHeight="1">
      <c r="A246" s="1"/>
      <c r="B246" s="51" t="s">
        <v>92</v>
      </c>
      <c r="C246" s="52" t="s">
        <v>205</v>
      </c>
      <c r="D246" s="9"/>
      <c r="E246" s="3"/>
      <c r="F246" s="4"/>
      <c r="G246" s="5"/>
      <c r="I246" s="9"/>
      <c r="J246" s="9"/>
      <c r="K246" s="9"/>
      <c r="L246" s="103"/>
      <c r="M246" s="108"/>
      <c r="N246" s="9"/>
      <c r="O246" s="108"/>
      <c r="P246" s="9"/>
      <c r="Q246" s="9"/>
      <c r="R246" s="9"/>
      <c r="S246" s="9"/>
    </row>
    <row r="247" spans="1:19" ht="13.95" customHeight="1">
      <c r="A247" s="1"/>
      <c r="B247" s="51"/>
      <c r="C247" s="6"/>
      <c r="D247" s="9"/>
      <c r="E247" s="3"/>
      <c r="F247" s="4"/>
      <c r="G247" s="5"/>
      <c r="I247" s="9"/>
      <c r="J247" s="9"/>
      <c r="K247" s="9"/>
      <c r="L247" s="103"/>
      <c r="M247" s="108"/>
      <c r="N247" s="9"/>
      <c r="O247" s="108"/>
      <c r="P247" s="9"/>
      <c r="Q247" s="9"/>
      <c r="R247" s="9"/>
      <c r="S247" s="9"/>
    </row>
    <row r="248" spans="1:19" ht="24" customHeight="1">
      <c r="A248" s="1"/>
      <c r="B248" s="51" t="s">
        <v>206</v>
      </c>
      <c r="C248" s="21" t="s">
        <v>207</v>
      </c>
      <c r="D248" s="9"/>
      <c r="E248" s="3"/>
      <c r="F248" s="3"/>
      <c r="G248" s="5"/>
      <c r="I248" s="9"/>
      <c r="J248" s="9"/>
      <c r="K248" s="9"/>
      <c r="L248" s="103"/>
      <c r="M248" s="108"/>
      <c r="N248" s="9"/>
      <c r="O248" s="108"/>
      <c r="P248" s="9"/>
      <c r="Q248" s="9"/>
      <c r="R248" s="9"/>
      <c r="S248" s="9"/>
    </row>
    <row r="249" spans="1:19" ht="13.95" customHeight="1">
      <c r="A249" s="1"/>
      <c r="B249" s="51"/>
      <c r="C249" s="6"/>
      <c r="D249" s="9"/>
      <c r="E249" s="3"/>
      <c r="F249" s="13"/>
      <c r="G249" s="5"/>
      <c r="I249" s="9"/>
      <c r="J249" s="9"/>
      <c r="K249" s="9"/>
      <c r="L249" s="103"/>
      <c r="M249" s="108"/>
      <c r="N249" s="9"/>
      <c r="O249" s="108"/>
      <c r="P249" s="9"/>
      <c r="Q249" s="9"/>
      <c r="R249" s="9"/>
      <c r="S249" s="9"/>
    </row>
    <row r="250" spans="1:19" ht="13.95" customHeight="1">
      <c r="A250" s="1">
        <f>A236+1</f>
        <v>46</v>
      </c>
      <c r="B250" s="51" t="s">
        <v>208</v>
      </c>
      <c r="C250" s="6" t="s">
        <v>21</v>
      </c>
      <c r="D250" s="9" t="s">
        <v>1</v>
      </c>
      <c r="E250" s="3">
        <f>SUM(I250:S250)</f>
        <v>0</v>
      </c>
      <c r="F250" s="13">
        <v>1950</v>
      </c>
      <c r="G250" s="5">
        <f t="shared" ref="G250" si="56">+E250*F250</f>
        <v>0</v>
      </c>
      <c r="I250" s="9"/>
      <c r="J250" s="9"/>
      <c r="K250" s="9"/>
      <c r="L250" s="103"/>
      <c r="M250" s="108"/>
      <c r="N250" s="9"/>
      <c r="O250" s="108"/>
      <c r="P250" s="9"/>
      <c r="Q250" s="9"/>
      <c r="R250" s="9"/>
      <c r="S250" s="9"/>
    </row>
    <row r="251" spans="1:19" ht="13.95" customHeight="1">
      <c r="A251" s="1"/>
      <c r="B251" s="51"/>
      <c r="C251" s="6"/>
      <c r="D251" s="9"/>
      <c r="E251" s="3"/>
      <c r="F251" s="13"/>
      <c r="G251" s="5"/>
      <c r="I251" s="9"/>
      <c r="J251" s="9"/>
      <c r="K251" s="9"/>
      <c r="L251" s="103"/>
      <c r="M251" s="108"/>
      <c r="N251" s="9"/>
      <c r="O251" s="108"/>
      <c r="P251" s="9"/>
      <c r="Q251" s="9"/>
      <c r="R251" s="9"/>
      <c r="S251" s="9"/>
    </row>
    <row r="252" spans="1:19" ht="12.6" customHeight="1">
      <c r="A252" s="1">
        <f>A250+1</f>
        <v>47</v>
      </c>
      <c r="B252" s="51" t="s">
        <v>209</v>
      </c>
      <c r="C252" s="18" t="s">
        <v>210</v>
      </c>
      <c r="D252" s="9" t="s">
        <v>6</v>
      </c>
      <c r="E252" s="3">
        <f>SUM(I252:S252)</f>
        <v>0</v>
      </c>
      <c r="F252" s="13">
        <v>350</v>
      </c>
      <c r="G252" s="5">
        <f t="shared" ref="G252" si="57">+E252*F252</f>
        <v>0</v>
      </c>
      <c r="I252" s="9"/>
      <c r="J252" s="9"/>
      <c r="K252" s="9"/>
      <c r="L252" s="103"/>
      <c r="M252" s="108"/>
      <c r="N252" s="9"/>
      <c r="O252" s="108"/>
      <c r="P252" s="9"/>
      <c r="Q252" s="9"/>
      <c r="R252" s="9"/>
      <c r="S252" s="9"/>
    </row>
    <row r="253" spans="1:19" ht="12.6" customHeight="1">
      <c r="A253" s="1"/>
      <c r="B253" s="1"/>
      <c r="C253" s="33"/>
      <c r="D253" s="35"/>
      <c r="E253" s="3"/>
      <c r="F253" s="13"/>
      <c r="G253" s="5"/>
      <c r="I253" s="9"/>
      <c r="J253" s="9"/>
      <c r="K253" s="9"/>
      <c r="L253" s="103"/>
      <c r="M253" s="108"/>
      <c r="N253" s="9"/>
      <c r="O253" s="108"/>
      <c r="P253" s="9"/>
      <c r="Q253" s="9"/>
      <c r="R253" s="9"/>
      <c r="S253" s="9"/>
    </row>
    <row r="254" spans="1:19" ht="12.6" customHeight="1">
      <c r="A254" s="1"/>
      <c r="B254" s="1"/>
      <c r="C254" s="123" t="s">
        <v>236</v>
      </c>
      <c r="D254" s="35"/>
      <c r="E254" s="3"/>
      <c r="F254" s="13"/>
      <c r="G254" s="5"/>
      <c r="I254" s="9"/>
      <c r="J254" s="9"/>
      <c r="K254" s="9"/>
      <c r="L254" s="103"/>
      <c r="M254" s="108"/>
      <c r="N254" s="9"/>
      <c r="O254" s="108"/>
      <c r="P254" s="9"/>
      <c r="Q254" s="9"/>
      <c r="R254" s="9"/>
      <c r="S254" s="9"/>
    </row>
    <row r="255" spans="1:19" ht="12.6" customHeight="1">
      <c r="A255" s="1"/>
      <c r="B255" s="1"/>
      <c r="C255" s="6"/>
      <c r="D255" s="35"/>
      <c r="E255" s="3"/>
      <c r="F255" s="13"/>
      <c r="G255" s="5"/>
      <c r="I255" s="9"/>
      <c r="J255" s="9"/>
      <c r="K255" s="9"/>
      <c r="L255" s="103"/>
      <c r="M255" s="108"/>
      <c r="N255" s="9"/>
      <c r="O255" s="108"/>
      <c r="P255" s="9"/>
      <c r="Q255" s="9"/>
      <c r="R255" s="9"/>
      <c r="S255" s="9"/>
    </row>
    <row r="256" spans="1:19" ht="12.6" customHeight="1">
      <c r="A256" s="1"/>
      <c r="B256" s="1"/>
      <c r="C256" s="124" t="s">
        <v>234</v>
      </c>
      <c r="D256" s="35"/>
      <c r="E256" s="3"/>
      <c r="F256" s="13"/>
      <c r="G256" s="5"/>
      <c r="I256" s="9"/>
      <c r="J256" s="9"/>
      <c r="K256" s="9"/>
      <c r="L256" s="103"/>
      <c r="M256" s="108"/>
      <c r="N256" s="9"/>
      <c r="O256" s="108"/>
      <c r="P256" s="9"/>
      <c r="Q256" s="9"/>
      <c r="R256" s="9"/>
      <c r="S256" s="9"/>
    </row>
    <row r="257" spans="1:19" ht="12.6" customHeight="1">
      <c r="A257" s="1"/>
      <c r="B257" s="1"/>
      <c r="C257" s="33"/>
      <c r="D257" s="35"/>
      <c r="E257" s="3"/>
      <c r="F257" s="13"/>
      <c r="G257" s="5"/>
      <c r="I257" s="9"/>
      <c r="J257" s="9"/>
      <c r="K257" s="9"/>
      <c r="L257" s="103"/>
      <c r="M257" s="108"/>
      <c r="N257" s="9"/>
      <c r="O257" s="108"/>
      <c r="P257" s="9"/>
      <c r="Q257" s="9"/>
      <c r="R257" s="9"/>
      <c r="S257" s="9"/>
    </row>
    <row r="258" spans="1:19" ht="38.4" customHeight="1">
      <c r="A258" s="1">
        <f>A252+1</f>
        <v>48</v>
      </c>
      <c r="B258" s="1"/>
      <c r="C258" s="125" t="s">
        <v>235</v>
      </c>
      <c r="D258" s="1" t="s">
        <v>60</v>
      </c>
      <c r="E258" s="3">
        <f>SUM(I258:S258)</f>
        <v>0</v>
      </c>
      <c r="F258" s="13">
        <v>3750</v>
      </c>
      <c r="G258" s="5">
        <f t="shared" ref="G258" si="58">+E258*F258</f>
        <v>0</v>
      </c>
      <c r="I258" s="9"/>
      <c r="J258" s="9"/>
      <c r="K258" s="9"/>
      <c r="L258" s="103"/>
      <c r="M258" s="108"/>
      <c r="N258" s="9"/>
      <c r="O258" s="108"/>
      <c r="P258" s="9"/>
      <c r="Q258" s="9"/>
      <c r="R258" s="9"/>
      <c r="S258" s="9"/>
    </row>
    <row r="259" spans="1:19" ht="12.6" customHeight="1">
      <c r="A259" s="1"/>
      <c r="B259" s="1"/>
      <c r="C259" s="33"/>
      <c r="D259" s="35"/>
      <c r="E259" s="3"/>
      <c r="F259" s="13"/>
      <c r="G259" s="5"/>
      <c r="I259" s="9"/>
      <c r="J259" s="9"/>
      <c r="K259" s="9"/>
      <c r="L259" s="103"/>
      <c r="M259" s="108"/>
      <c r="N259" s="9"/>
      <c r="O259" s="108"/>
      <c r="P259" s="9"/>
      <c r="Q259" s="9"/>
      <c r="R259" s="9"/>
      <c r="S259" s="9"/>
    </row>
    <row r="260" spans="1:19" ht="13.95" customHeight="1">
      <c r="A260" s="1"/>
      <c r="B260" s="1"/>
      <c r="C260" s="34" t="s">
        <v>212</v>
      </c>
      <c r="D260" s="1" t="s">
        <v>64</v>
      </c>
      <c r="E260" s="3"/>
      <c r="F260" s="14"/>
      <c r="G260" s="5"/>
      <c r="I260" s="9"/>
      <c r="J260" s="9"/>
      <c r="K260" s="9"/>
      <c r="L260" s="103"/>
      <c r="M260" s="108"/>
      <c r="N260" s="9"/>
      <c r="O260" s="108"/>
      <c r="P260" s="9"/>
      <c r="Q260" s="9"/>
      <c r="R260" s="9"/>
      <c r="S260" s="9"/>
    </row>
    <row r="261" spans="1:19" ht="13.95" customHeight="1">
      <c r="A261" s="1"/>
      <c r="B261" s="1"/>
      <c r="C261" s="33" t="s">
        <v>64</v>
      </c>
      <c r="D261" s="1" t="s">
        <v>64</v>
      </c>
      <c r="E261" s="3"/>
      <c r="F261" s="4"/>
      <c r="G261" s="5"/>
      <c r="I261" s="9"/>
      <c r="J261" s="9"/>
      <c r="K261" s="9"/>
      <c r="L261" s="103"/>
      <c r="M261" s="108"/>
      <c r="N261" s="9"/>
      <c r="O261" s="108"/>
      <c r="P261" s="9"/>
      <c r="Q261" s="9"/>
      <c r="R261" s="9"/>
      <c r="S261" s="9"/>
    </row>
    <row r="262" spans="1:19" ht="22.2" customHeight="1">
      <c r="A262" s="1">
        <f>A258+1</f>
        <v>49</v>
      </c>
      <c r="B262" s="1"/>
      <c r="C262" s="33" t="s">
        <v>217</v>
      </c>
      <c r="D262" s="1" t="s">
        <v>60</v>
      </c>
      <c r="E262" s="3">
        <f>SUM(I262:S262)</f>
        <v>1980</v>
      </c>
      <c r="F262" s="3">
        <v>885</v>
      </c>
      <c r="G262" s="5">
        <f t="shared" ref="G262" si="59">+E262*F262</f>
        <v>1752300</v>
      </c>
      <c r="I262" s="9"/>
      <c r="J262" s="9">
        <v>1980</v>
      </c>
      <c r="K262" s="9"/>
      <c r="L262" s="103"/>
      <c r="M262" s="108"/>
      <c r="N262" s="9"/>
      <c r="O262" s="108"/>
      <c r="P262" s="9"/>
      <c r="Q262" s="9"/>
      <c r="R262" s="9"/>
      <c r="S262" s="9"/>
    </row>
    <row r="263" spans="1:19" ht="13.95" customHeight="1">
      <c r="A263" s="1"/>
      <c r="B263" s="1"/>
      <c r="C263" s="33"/>
      <c r="D263" s="35"/>
      <c r="E263" s="3"/>
      <c r="F263" s="4"/>
      <c r="G263" s="5"/>
      <c r="I263" s="9"/>
      <c r="J263" s="9"/>
      <c r="K263" s="9"/>
      <c r="L263" s="103"/>
      <c r="M263" s="108"/>
      <c r="N263" s="9"/>
      <c r="O263" s="108"/>
      <c r="P263" s="9"/>
      <c r="Q263" s="9"/>
      <c r="R263" s="9"/>
      <c r="S263" s="9"/>
    </row>
    <row r="264" spans="1:19" ht="13.95" customHeight="1">
      <c r="A264" s="16"/>
      <c r="B264" s="76" t="s">
        <v>167</v>
      </c>
      <c r="C264" s="74" t="s">
        <v>168</v>
      </c>
      <c r="D264" s="93"/>
      <c r="E264" s="94"/>
      <c r="F264" s="14"/>
      <c r="G264" s="15"/>
      <c r="I264" s="9"/>
      <c r="J264" s="9"/>
      <c r="K264" s="9"/>
      <c r="L264" s="103"/>
      <c r="M264" s="108"/>
      <c r="N264" s="9"/>
      <c r="O264" s="108"/>
      <c r="P264" s="9"/>
      <c r="Q264" s="9"/>
      <c r="R264" s="9"/>
      <c r="S264" s="9"/>
    </row>
    <row r="265" spans="1:19" ht="13.95" customHeight="1">
      <c r="A265" s="16"/>
      <c r="B265" s="12"/>
      <c r="C265" s="75"/>
      <c r="D265" s="93"/>
      <c r="E265" s="94"/>
      <c r="F265" s="14"/>
      <c r="G265" s="15"/>
      <c r="I265" s="9"/>
      <c r="J265" s="9"/>
      <c r="K265" s="9"/>
      <c r="L265" s="103"/>
      <c r="M265" s="108"/>
      <c r="N265" s="9"/>
      <c r="O265" s="108"/>
      <c r="P265" s="9"/>
      <c r="Q265" s="9"/>
      <c r="R265" s="9"/>
      <c r="S265" s="9"/>
    </row>
    <row r="266" spans="1:19" ht="13.95" customHeight="1">
      <c r="A266" s="16"/>
      <c r="B266" s="12" t="s">
        <v>193</v>
      </c>
      <c r="C266" s="70" t="s">
        <v>164</v>
      </c>
      <c r="D266" s="12"/>
      <c r="E266" s="94"/>
      <c r="F266" s="14"/>
      <c r="G266" s="15"/>
      <c r="I266" s="9"/>
      <c r="J266" s="9"/>
      <c r="K266" s="9"/>
      <c r="L266" s="103"/>
      <c r="M266" s="108"/>
      <c r="N266" s="9"/>
      <c r="O266" s="108"/>
      <c r="P266" s="9"/>
      <c r="Q266" s="9"/>
      <c r="R266" s="9"/>
      <c r="S266" s="9"/>
    </row>
    <row r="267" spans="1:19" ht="13.95" customHeight="1">
      <c r="A267" s="16"/>
      <c r="B267" s="73"/>
      <c r="C267" s="62"/>
      <c r="D267" s="12"/>
      <c r="E267" s="94"/>
      <c r="F267" s="14"/>
      <c r="G267" s="15"/>
      <c r="I267" s="9"/>
      <c r="J267" s="9"/>
      <c r="K267" s="9"/>
      <c r="L267" s="103"/>
      <c r="M267" s="108"/>
      <c r="N267" s="9"/>
      <c r="O267" s="108"/>
      <c r="P267" s="9"/>
      <c r="Q267" s="9"/>
      <c r="R267" s="9"/>
      <c r="S267" s="9"/>
    </row>
    <row r="268" spans="1:19" ht="13.95" customHeight="1">
      <c r="A268" s="16">
        <v>50</v>
      </c>
      <c r="B268" s="73"/>
      <c r="C268" s="75" t="s">
        <v>112</v>
      </c>
      <c r="D268" s="12" t="s">
        <v>60</v>
      </c>
      <c r="E268" s="3">
        <f>SUM(I268:S268)</f>
        <v>252</v>
      </c>
      <c r="F268" s="13">
        <v>890</v>
      </c>
      <c r="G268" s="15">
        <f t="shared" ref="G268" si="60">+E268*F268</f>
        <v>224280</v>
      </c>
      <c r="I268" s="9"/>
      <c r="J268" s="9"/>
      <c r="K268" s="9">
        <v>252</v>
      </c>
      <c r="L268" s="103"/>
      <c r="M268" s="108"/>
      <c r="N268" s="9"/>
      <c r="O268" s="108"/>
      <c r="P268" s="9"/>
      <c r="Q268" s="9"/>
      <c r="R268" s="9"/>
      <c r="S268" s="9"/>
    </row>
    <row r="269" spans="1:19" ht="13.95" customHeight="1">
      <c r="A269" s="16"/>
      <c r="B269" s="73"/>
      <c r="C269" s="62"/>
      <c r="D269" s="12"/>
      <c r="E269" s="94"/>
      <c r="F269" s="14"/>
      <c r="G269" s="15"/>
      <c r="I269" s="9"/>
      <c r="J269" s="9"/>
      <c r="K269" s="9"/>
      <c r="L269" s="103"/>
      <c r="M269" s="108"/>
      <c r="N269" s="9"/>
      <c r="O269" s="108"/>
      <c r="P269" s="9"/>
      <c r="Q269" s="9"/>
      <c r="R269" s="9"/>
      <c r="S269" s="9"/>
    </row>
    <row r="270" spans="1:19" ht="13.95" customHeight="1">
      <c r="A270" s="16"/>
      <c r="B270" s="12" t="s">
        <v>195</v>
      </c>
      <c r="C270" s="70" t="s">
        <v>194</v>
      </c>
      <c r="D270" s="12"/>
      <c r="E270" s="94"/>
      <c r="F270" s="14"/>
      <c r="G270" s="15"/>
      <c r="I270" s="9"/>
      <c r="J270" s="9"/>
      <c r="K270" s="9"/>
      <c r="L270" s="103"/>
      <c r="M270" s="108"/>
      <c r="N270" s="9"/>
      <c r="O270" s="108"/>
      <c r="P270" s="9"/>
      <c r="Q270" s="9"/>
      <c r="R270" s="9"/>
      <c r="S270" s="9"/>
    </row>
    <row r="271" spans="1:19" ht="13.95" customHeight="1">
      <c r="A271" s="16"/>
      <c r="B271" s="73"/>
      <c r="C271" s="62"/>
      <c r="D271" s="12"/>
      <c r="E271" s="94"/>
      <c r="F271" s="14"/>
      <c r="G271" s="15"/>
      <c r="I271" s="9"/>
      <c r="J271" s="9"/>
      <c r="K271" s="9"/>
      <c r="L271" s="103"/>
      <c r="M271" s="108"/>
      <c r="N271" s="9"/>
      <c r="O271" s="108"/>
      <c r="P271" s="9"/>
      <c r="Q271" s="9"/>
      <c r="R271" s="9"/>
      <c r="S271" s="9"/>
    </row>
    <row r="272" spans="1:19" ht="13.95" customHeight="1">
      <c r="A272" s="16">
        <v>51</v>
      </c>
      <c r="B272" s="73"/>
      <c r="C272" s="75" t="s">
        <v>165</v>
      </c>
      <c r="D272" s="12" t="s">
        <v>60</v>
      </c>
      <c r="E272" s="3">
        <f>SUM(I272:S272)</f>
        <v>504</v>
      </c>
      <c r="F272" s="14">
        <v>325</v>
      </c>
      <c r="G272" s="15">
        <f t="shared" ref="G272" si="61">+E272*F272</f>
        <v>163800</v>
      </c>
      <c r="I272" s="9"/>
      <c r="J272" s="9"/>
      <c r="K272" s="9">
        <v>504</v>
      </c>
      <c r="L272" s="103"/>
      <c r="M272" s="108"/>
      <c r="N272" s="9"/>
      <c r="O272" s="108"/>
      <c r="P272" s="9"/>
      <c r="Q272" s="9"/>
      <c r="R272" s="9"/>
      <c r="S272" s="9"/>
    </row>
    <row r="273" spans="1:19" ht="13.95" customHeight="1">
      <c r="A273" s="16"/>
      <c r="B273" s="12"/>
      <c r="C273" s="75"/>
      <c r="D273" s="93"/>
      <c r="E273" s="94"/>
      <c r="F273" s="14"/>
      <c r="G273" s="15"/>
      <c r="I273" s="9"/>
      <c r="J273" s="9"/>
      <c r="K273" s="9"/>
      <c r="L273" s="103"/>
      <c r="M273" s="108"/>
      <c r="N273" s="9"/>
      <c r="O273" s="108"/>
      <c r="P273" s="9"/>
      <c r="Q273" s="9"/>
      <c r="R273" s="9"/>
      <c r="S273" s="9"/>
    </row>
    <row r="274" spans="1:19" ht="24">
      <c r="A274" s="16"/>
      <c r="B274" s="76" t="s">
        <v>169</v>
      </c>
      <c r="C274" s="46" t="s">
        <v>216</v>
      </c>
      <c r="D274" s="12"/>
      <c r="E274" s="12"/>
      <c r="F274" s="145"/>
      <c r="G274" s="15"/>
      <c r="I274" s="9"/>
      <c r="J274" s="9"/>
      <c r="K274" s="9"/>
      <c r="L274" s="103"/>
      <c r="M274" s="108"/>
      <c r="N274" s="9"/>
      <c r="O274" s="108"/>
      <c r="P274" s="9"/>
      <c r="Q274" s="9"/>
      <c r="R274" s="9"/>
      <c r="S274" s="9"/>
    </row>
    <row r="275" spans="1:19" ht="13.95" customHeight="1">
      <c r="A275" s="16"/>
      <c r="B275" s="76"/>
      <c r="C275" s="75"/>
      <c r="D275" s="12"/>
      <c r="E275" s="12"/>
      <c r="F275" s="145"/>
      <c r="G275" s="15"/>
      <c r="I275" s="9"/>
      <c r="J275" s="9"/>
      <c r="K275" s="9"/>
      <c r="L275" s="103"/>
      <c r="M275" s="108"/>
      <c r="N275" s="9"/>
      <c r="O275" s="108"/>
      <c r="P275" s="9"/>
      <c r="Q275" s="9"/>
      <c r="R275" s="9"/>
      <c r="S275" s="9"/>
    </row>
    <row r="276" spans="1:19" ht="13.95" customHeight="1">
      <c r="A276" s="16"/>
      <c r="B276" s="76" t="s">
        <v>169</v>
      </c>
      <c r="C276" s="75" t="s">
        <v>170</v>
      </c>
      <c r="D276" s="12"/>
      <c r="E276" s="12"/>
      <c r="F276" s="145"/>
      <c r="G276" s="15"/>
      <c r="I276" s="9"/>
      <c r="J276" s="9"/>
      <c r="K276" s="9"/>
      <c r="L276" s="103"/>
      <c r="M276" s="108"/>
      <c r="N276" s="9"/>
      <c r="O276" s="108"/>
      <c r="P276" s="9"/>
      <c r="Q276" s="9"/>
      <c r="R276" s="9"/>
      <c r="S276" s="9"/>
    </row>
    <row r="277" spans="1:19" ht="13.95" customHeight="1">
      <c r="A277" s="16"/>
      <c r="B277" s="76"/>
      <c r="C277" s="75"/>
      <c r="D277" s="12"/>
      <c r="E277" s="12"/>
      <c r="F277" s="145"/>
      <c r="G277" s="15"/>
      <c r="I277" s="9"/>
      <c r="J277" s="9"/>
      <c r="K277" s="9"/>
      <c r="L277" s="103"/>
      <c r="M277" s="108"/>
      <c r="N277" s="9"/>
      <c r="O277" s="108"/>
      <c r="P277" s="9"/>
      <c r="Q277" s="9"/>
      <c r="R277" s="9"/>
      <c r="S277" s="9"/>
    </row>
    <row r="278" spans="1:19" ht="13.95" customHeight="1">
      <c r="A278" s="16">
        <v>52</v>
      </c>
      <c r="B278" s="76" t="s">
        <v>171</v>
      </c>
      <c r="C278" s="75" t="s">
        <v>172</v>
      </c>
      <c r="D278" s="12" t="s">
        <v>60</v>
      </c>
      <c r="E278" s="3">
        <f>SUM(I278:S278)</f>
        <v>504</v>
      </c>
      <c r="F278" s="94">
        <v>275</v>
      </c>
      <c r="G278" s="15">
        <f t="shared" ref="G278:G299" si="62">+E278*F278</f>
        <v>138600</v>
      </c>
      <c r="I278" s="9"/>
      <c r="J278" s="9"/>
      <c r="K278" s="9">
        <v>504</v>
      </c>
      <c r="L278" s="103"/>
      <c r="M278" s="108"/>
      <c r="N278" s="9"/>
      <c r="O278" s="108"/>
      <c r="P278" s="9"/>
      <c r="Q278" s="9"/>
      <c r="R278" s="9"/>
      <c r="S278" s="9"/>
    </row>
    <row r="279" spans="1:19" ht="13.95" customHeight="1">
      <c r="A279" s="16"/>
      <c r="B279" s="12"/>
      <c r="C279" s="75"/>
      <c r="D279" s="93"/>
      <c r="E279" s="94"/>
      <c r="F279" s="14"/>
      <c r="G279" s="15"/>
      <c r="I279" s="9"/>
      <c r="J279" s="9"/>
      <c r="K279" s="9"/>
      <c r="L279" s="103"/>
      <c r="M279" s="108"/>
      <c r="N279" s="9"/>
      <c r="O279" s="108"/>
      <c r="P279" s="9"/>
      <c r="Q279" s="9"/>
      <c r="R279" s="9"/>
      <c r="S279" s="9"/>
    </row>
    <row r="280" spans="1:19" ht="13.95" customHeight="1">
      <c r="A280" s="16"/>
      <c r="B280" s="12"/>
      <c r="C280" s="75"/>
      <c r="D280" s="93"/>
      <c r="E280" s="94"/>
      <c r="F280" s="14"/>
      <c r="G280" s="15"/>
      <c r="I280" s="9"/>
      <c r="J280" s="9"/>
      <c r="K280" s="9"/>
      <c r="L280" s="103"/>
      <c r="M280" s="108"/>
      <c r="N280" s="9"/>
      <c r="O280" s="108"/>
      <c r="P280" s="9"/>
      <c r="Q280" s="9"/>
      <c r="R280" s="9"/>
      <c r="S280" s="9"/>
    </row>
    <row r="281" spans="1:19" ht="13.95" customHeight="1">
      <c r="A281" s="16"/>
      <c r="B281" s="12"/>
      <c r="C281" s="75"/>
      <c r="D281" s="93"/>
      <c r="E281" s="94"/>
      <c r="F281" s="14"/>
      <c r="G281" s="15"/>
      <c r="I281" s="9"/>
      <c r="J281" s="9"/>
      <c r="K281" s="9"/>
      <c r="L281" s="103"/>
      <c r="M281" s="108"/>
      <c r="N281" s="9"/>
      <c r="O281" s="108"/>
      <c r="P281" s="9"/>
      <c r="Q281" s="9"/>
      <c r="R281" s="9"/>
      <c r="S281" s="9"/>
    </row>
    <row r="282" spans="1:19" ht="13.95" customHeight="1">
      <c r="A282" s="16"/>
      <c r="B282" s="12"/>
      <c r="C282" s="75"/>
      <c r="D282" s="93"/>
      <c r="E282" s="94"/>
      <c r="F282" s="14"/>
      <c r="G282" s="15"/>
      <c r="I282" s="9"/>
      <c r="J282" s="9"/>
      <c r="K282" s="9"/>
      <c r="L282" s="103"/>
      <c r="M282" s="108"/>
      <c r="N282" s="9"/>
      <c r="O282" s="108"/>
      <c r="P282" s="9"/>
      <c r="Q282" s="9"/>
      <c r="R282" s="9"/>
      <c r="S282" s="9"/>
    </row>
    <row r="283" spans="1:19" ht="13.95" customHeight="1">
      <c r="A283" s="16"/>
      <c r="B283" s="12"/>
      <c r="C283" s="75"/>
      <c r="D283" s="93"/>
      <c r="E283" s="94"/>
      <c r="F283" s="14"/>
      <c r="G283" s="15"/>
      <c r="I283" s="9"/>
      <c r="J283" s="9"/>
      <c r="K283" s="9"/>
      <c r="L283" s="103"/>
      <c r="M283" s="108"/>
      <c r="N283" s="9"/>
      <c r="O283" s="108"/>
      <c r="P283" s="9"/>
      <c r="Q283" s="9"/>
      <c r="R283" s="9"/>
      <c r="S283" s="9"/>
    </row>
    <row r="284" spans="1:19" ht="13.95" customHeight="1">
      <c r="A284" s="16"/>
      <c r="B284" s="12"/>
      <c r="C284" s="75"/>
      <c r="D284" s="93"/>
      <c r="E284" s="94"/>
      <c r="F284" s="14"/>
      <c r="G284" s="15"/>
      <c r="I284" s="9"/>
      <c r="J284" s="9"/>
      <c r="K284" s="9"/>
      <c r="L284" s="103"/>
      <c r="M284" s="108"/>
      <c r="N284" s="9"/>
      <c r="O284" s="108"/>
      <c r="P284" s="9"/>
      <c r="Q284" s="9"/>
      <c r="R284" s="9"/>
      <c r="S284" s="9"/>
    </row>
    <row r="285" spans="1:19" ht="13.95" customHeight="1">
      <c r="A285" s="16"/>
      <c r="B285" s="12"/>
      <c r="C285" s="75"/>
      <c r="D285" s="93"/>
      <c r="E285" s="94"/>
      <c r="F285" s="14"/>
      <c r="G285" s="15"/>
      <c r="I285" s="9"/>
      <c r="J285" s="9"/>
      <c r="K285" s="9"/>
      <c r="L285" s="103"/>
      <c r="M285" s="108"/>
      <c r="N285" s="9"/>
      <c r="O285" s="108"/>
      <c r="P285" s="9"/>
      <c r="Q285" s="9"/>
      <c r="R285" s="9"/>
      <c r="S285" s="9"/>
    </row>
    <row r="286" spans="1:19" ht="13.95" customHeight="1">
      <c r="A286" s="16"/>
      <c r="B286" s="12"/>
      <c r="C286" s="75"/>
      <c r="D286" s="93"/>
      <c r="E286" s="94"/>
      <c r="F286" s="14"/>
      <c r="G286" s="15"/>
      <c r="I286" s="9"/>
      <c r="J286" s="9"/>
      <c r="K286" s="9"/>
      <c r="L286" s="103"/>
      <c r="M286" s="108"/>
      <c r="N286" s="9"/>
      <c r="O286" s="108"/>
      <c r="P286" s="9"/>
      <c r="Q286" s="9"/>
      <c r="R286" s="9"/>
      <c r="S286" s="9"/>
    </row>
    <row r="287" spans="1:19" ht="20.100000000000001" customHeight="1">
      <c r="A287" s="149" t="s">
        <v>66</v>
      </c>
      <c r="B287" s="150"/>
      <c r="C287" s="150"/>
      <c r="D287" s="150"/>
      <c r="E287" s="150"/>
      <c r="F287" s="151"/>
      <c r="G287" s="111">
        <f>SUM(G242:G286)</f>
        <v>5119617</v>
      </c>
      <c r="I287" s="9"/>
      <c r="J287" s="9"/>
      <c r="K287" s="9"/>
      <c r="L287" s="103"/>
      <c r="M287" s="108"/>
      <c r="N287" s="9"/>
      <c r="O287" s="108"/>
      <c r="P287" s="9"/>
      <c r="Q287" s="9"/>
      <c r="R287" s="9"/>
      <c r="S287" s="9"/>
    </row>
    <row r="288" spans="1:19" ht="13.95" customHeight="1">
      <c r="A288" s="39"/>
      <c r="B288" s="39"/>
      <c r="C288" s="39"/>
      <c r="D288" s="39"/>
      <c r="E288" s="39"/>
      <c r="F288" s="39"/>
      <c r="G288" s="112"/>
      <c r="I288" s="9"/>
      <c r="J288" s="9"/>
      <c r="K288" s="9"/>
      <c r="L288" s="103"/>
      <c r="M288" s="108"/>
      <c r="N288" s="9"/>
      <c r="O288" s="108"/>
      <c r="P288" s="9"/>
      <c r="Q288" s="9"/>
      <c r="R288" s="9"/>
      <c r="S288" s="9"/>
    </row>
    <row r="289" spans="1:20" ht="13.95" customHeight="1">
      <c r="A289" s="50"/>
      <c r="B289" s="50"/>
      <c r="C289" s="50"/>
      <c r="D289" s="50"/>
      <c r="E289" s="50"/>
      <c r="F289" s="50"/>
      <c r="G289" s="112"/>
      <c r="I289" s="9"/>
      <c r="J289" s="9"/>
      <c r="K289" s="9"/>
      <c r="L289" s="103"/>
      <c r="M289" s="108"/>
      <c r="N289" s="9"/>
      <c r="O289" s="108"/>
      <c r="P289" s="9"/>
      <c r="Q289" s="9"/>
      <c r="R289" s="9"/>
      <c r="S289" s="9"/>
    </row>
    <row r="290" spans="1:20" ht="21.6" customHeight="1">
      <c r="A290" s="44" t="s">
        <v>8</v>
      </c>
      <c r="B290" s="48" t="s">
        <v>9</v>
      </c>
      <c r="C290" s="44" t="s">
        <v>10</v>
      </c>
      <c r="D290" s="48" t="s">
        <v>11</v>
      </c>
      <c r="E290" s="48" t="s">
        <v>59</v>
      </c>
      <c r="F290" s="49" t="s">
        <v>12</v>
      </c>
      <c r="G290" s="111" t="s">
        <v>13</v>
      </c>
      <c r="I290" s="9"/>
      <c r="J290" s="9"/>
      <c r="K290" s="9"/>
      <c r="L290" s="103"/>
      <c r="M290" s="108"/>
      <c r="N290" s="9"/>
      <c r="O290" s="108"/>
      <c r="P290" s="9"/>
      <c r="Q290" s="9"/>
      <c r="R290" s="9"/>
      <c r="S290" s="9"/>
    </row>
    <row r="291" spans="1:20" ht="20.100000000000001" customHeight="1">
      <c r="A291" s="149" t="s">
        <v>67</v>
      </c>
      <c r="B291" s="150"/>
      <c r="C291" s="150"/>
      <c r="D291" s="150"/>
      <c r="E291" s="150"/>
      <c r="F291" s="151"/>
      <c r="G291" s="111">
        <f>+G287</f>
        <v>5119617</v>
      </c>
      <c r="I291" s="9"/>
      <c r="J291" s="9"/>
      <c r="K291" s="9"/>
      <c r="L291" s="103"/>
      <c r="M291" s="108"/>
      <c r="N291" s="9"/>
      <c r="O291" s="108"/>
      <c r="P291" s="9"/>
      <c r="Q291" s="9"/>
      <c r="R291" s="9"/>
      <c r="S291" s="9"/>
    </row>
    <row r="292" spans="1:20" ht="13.95" customHeight="1">
      <c r="A292" s="16"/>
      <c r="B292" s="12"/>
      <c r="C292" s="75"/>
      <c r="D292" s="93"/>
      <c r="E292" s="94"/>
      <c r="F292" s="14"/>
      <c r="G292" s="15"/>
      <c r="I292" s="9"/>
      <c r="J292" s="9"/>
      <c r="K292" s="9"/>
      <c r="L292" s="103"/>
      <c r="M292" s="108"/>
      <c r="N292" s="9"/>
      <c r="O292" s="108"/>
      <c r="P292" s="9"/>
      <c r="Q292" s="9"/>
      <c r="R292" s="9"/>
      <c r="S292" s="9"/>
    </row>
    <row r="293" spans="1:20" ht="13.95" customHeight="1">
      <c r="A293" s="16"/>
      <c r="B293" s="12" t="s">
        <v>102</v>
      </c>
      <c r="C293" s="74" t="s">
        <v>166</v>
      </c>
      <c r="D293" s="12"/>
      <c r="E293" s="94"/>
      <c r="F293" s="14"/>
      <c r="G293" s="15"/>
      <c r="I293" s="9"/>
      <c r="J293" s="9"/>
      <c r="K293" s="9"/>
      <c r="L293" s="103"/>
      <c r="M293" s="108"/>
      <c r="N293" s="9"/>
      <c r="O293" s="108"/>
      <c r="P293" s="9"/>
      <c r="Q293" s="9"/>
      <c r="R293" s="9"/>
      <c r="S293" s="9"/>
    </row>
    <row r="294" spans="1:20" ht="13.95" customHeight="1">
      <c r="A294" s="16"/>
      <c r="B294" s="12"/>
      <c r="C294" s="95"/>
      <c r="D294" s="12"/>
      <c r="E294" s="94"/>
      <c r="F294" s="14"/>
      <c r="G294" s="15"/>
      <c r="I294" s="9"/>
      <c r="J294" s="9"/>
      <c r="K294" s="103"/>
      <c r="L294" s="103"/>
      <c r="M294" s="108"/>
      <c r="N294" s="9"/>
      <c r="O294" s="108"/>
      <c r="P294" s="9"/>
      <c r="Q294" s="9"/>
      <c r="R294" s="103"/>
      <c r="S294" s="9"/>
    </row>
    <row r="295" spans="1:20" ht="13.95" customHeight="1">
      <c r="A295" s="16"/>
      <c r="B295" s="12"/>
      <c r="C295" s="75" t="s">
        <v>78</v>
      </c>
      <c r="D295" s="12"/>
      <c r="E295" s="94"/>
      <c r="F295" s="14"/>
      <c r="G295" s="15"/>
      <c r="I295" s="103"/>
      <c r="J295" s="103"/>
      <c r="K295" s="103"/>
      <c r="L295" s="103"/>
      <c r="M295" s="134"/>
      <c r="N295" s="103"/>
      <c r="O295" s="134"/>
      <c r="P295" s="103"/>
      <c r="Q295" s="103"/>
      <c r="R295" s="103"/>
      <c r="S295" s="9"/>
    </row>
    <row r="296" spans="1:20" ht="13.95" customHeight="1">
      <c r="A296" s="16"/>
      <c r="B296" s="12"/>
      <c r="C296" s="75"/>
      <c r="D296" s="12"/>
      <c r="E296" s="94"/>
      <c r="F296" s="14"/>
      <c r="G296" s="15"/>
      <c r="I296" s="103"/>
      <c r="J296" s="103"/>
      <c r="K296" s="103"/>
      <c r="L296" s="103"/>
      <c r="M296" s="134"/>
      <c r="N296" s="103"/>
      <c r="O296" s="134"/>
      <c r="P296" s="103"/>
      <c r="Q296" s="103"/>
      <c r="R296" s="103"/>
      <c r="S296" s="9"/>
    </row>
    <row r="297" spans="1:20" ht="36">
      <c r="A297" s="16">
        <v>53</v>
      </c>
      <c r="B297" s="12"/>
      <c r="C297" s="47" t="s">
        <v>203</v>
      </c>
      <c r="D297" s="12" t="s">
        <v>6</v>
      </c>
      <c r="E297" s="3">
        <f>SUM(I297:S297)</f>
        <v>6</v>
      </c>
      <c r="F297" s="13">
        <v>16000</v>
      </c>
      <c r="G297" s="15">
        <f t="shared" si="62"/>
        <v>96000</v>
      </c>
      <c r="I297" s="103"/>
      <c r="J297" s="103"/>
      <c r="K297" s="103">
        <v>6</v>
      </c>
      <c r="L297" s="103"/>
      <c r="M297" s="134"/>
      <c r="N297" s="103"/>
      <c r="O297" s="134"/>
      <c r="P297" s="103"/>
      <c r="Q297" s="103"/>
      <c r="R297" s="103"/>
      <c r="S297" s="103"/>
      <c r="T297" s="41"/>
    </row>
    <row r="298" spans="1:20" ht="13.95" customHeight="1">
      <c r="A298" s="16"/>
      <c r="B298" s="12"/>
      <c r="C298" s="75"/>
      <c r="D298" s="93"/>
      <c r="E298" s="94"/>
      <c r="F298" s="13"/>
      <c r="G298" s="15"/>
      <c r="I298" s="103"/>
      <c r="J298" s="103"/>
      <c r="K298" s="103"/>
      <c r="L298" s="103"/>
      <c r="M298" s="134"/>
      <c r="N298" s="103"/>
      <c r="O298" s="134"/>
      <c r="P298" s="103"/>
      <c r="Q298" s="103"/>
      <c r="R298" s="103"/>
      <c r="S298" s="103"/>
      <c r="T298" s="41"/>
    </row>
    <row r="299" spans="1:20" ht="36">
      <c r="A299" s="16">
        <v>54</v>
      </c>
      <c r="B299" s="12"/>
      <c r="C299" s="47" t="s">
        <v>286</v>
      </c>
      <c r="D299" s="12" t="s">
        <v>6</v>
      </c>
      <c r="E299" s="3">
        <f>SUM(I299:S299)</f>
        <v>8</v>
      </c>
      <c r="F299" s="13">
        <v>65000</v>
      </c>
      <c r="G299" s="15">
        <f t="shared" si="62"/>
        <v>520000</v>
      </c>
      <c r="I299" s="103"/>
      <c r="J299" s="103"/>
      <c r="K299" s="103">
        <v>8</v>
      </c>
      <c r="L299" s="103"/>
      <c r="M299" s="134"/>
      <c r="N299" s="103"/>
      <c r="O299" s="134"/>
      <c r="P299" s="103"/>
      <c r="Q299" s="103"/>
      <c r="R299" s="103"/>
      <c r="S299" s="103"/>
      <c r="T299" s="41"/>
    </row>
    <row r="300" spans="1:20">
      <c r="A300" s="16"/>
      <c r="B300" s="12"/>
      <c r="C300" s="47"/>
      <c r="D300" s="93"/>
      <c r="E300" s="3"/>
      <c r="F300" s="13"/>
      <c r="G300" s="15"/>
      <c r="I300" s="103"/>
      <c r="J300" s="103"/>
      <c r="K300" s="103"/>
      <c r="L300" s="103"/>
      <c r="M300" s="134"/>
      <c r="N300" s="103"/>
      <c r="O300" s="134"/>
      <c r="P300" s="103"/>
      <c r="Q300" s="103"/>
      <c r="R300" s="103"/>
      <c r="S300" s="103"/>
      <c r="T300" s="41"/>
    </row>
    <row r="301" spans="1:20">
      <c r="A301" s="16"/>
      <c r="B301" s="12"/>
      <c r="C301" s="47"/>
      <c r="D301" s="93"/>
      <c r="E301" s="3"/>
      <c r="F301" s="13"/>
      <c r="G301" s="15"/>
      <c r="I301" s="103"/>
      <c r="J301" s="103"/>
      <c r="K301" s="103"/>
      <c r="L301" s="103"/>
      <c r="M301" s="134"/>
      <c r="N301" s="103"/>
      <c r="O301" s="134"/>
      <c r="P301" s="103"/>
      <c r="Q301" s="103"/>
      <c r="R301" s="103"/>
      <c r="S301" s="103"/>
      <c r="T301" s="41"/>
    </row>
    <row r="302" spans="1:20">
      <c r="A302" s="16"/>
      <c r="B302" s="12"/>
      <c r="C302" s="47"/>
      <c r="D302" s="93"/>
      <c r="E302" s="3"/>
      <c r="F302" s="13"/>
      <c r="G302" s="15"/>
      <c r="I302" s="103"/>
      <c r="J302" s="103"/>
      <c r="K302" s="103"/>
      <c r="L302" s="103"/>
      <c r="M302" s="134"/>
      <c r="N302" s="103"/>
      <c r="O302" s="134"/>
      <c r="P302" s="103"/>
      <c r="Q302" s="103"/>
      <c r="R302" s="103"/>
      <c r="S302" s="103"/>
      <c r="T302" s="41"/>
    </row>
    <row r="303" spans="1:20">
      <c r="A303" s="16"/>
      <c r="B303" s="12"/>
      <c r="C303" s="47"/>
      <c r="D303" s="93"/>
      <c r="E303" s="3"/>
      <c r="F303" s="13"/>
      <c r="G303" s="15"/>
      <c r="I303" s="103"/>
      <c r="J303" s="103"/>
      <c r="K303" s="103"/>
      <c r="L303" s="103"/>
      <c r="M303" s="134"/>
      <c r="N303" s="103"/>
      <c r="O303" s="134"/>
      <c r="P303" s="103"/>
      <c r="Q303" s="103"/>
      <c r="R303" s="103"/>
      <c r="S303" s="103"/>
      <c r="T303" s="41"/>
    </row>
    <row r="304" spans="1:20">
      <c r="A304" s="16"/>
      <c r="B304" s="12"/>
      <c r="C304" s="47"/>
      <c r="D304" s="93"/>
      <c r="E304" s="3"/>
      <c r="F304" s="13"/>
      <c r="G304" s="15"/>
      <c r="I304" s="103"/>
      <c r="J304" s="103"/>
      <c r="K304" s="103"/>
      <c r="L304" s="103"/>
      <c r="M304" s="134"/>
      <c r="N304" s="103"/>
      <c r="O304" s="134"/>
      <c r="P304" s="103"/>
      <c r="Q304" s="103"/>
      <c r="R304" s="103"/>
      <c r="S304" s="103"/>
      <c r="T304" s="41"/>
    </row>
    <row r="305" spans="1:20">
      <c r="A305" s="16"/>
      <c r="B305" s="12"/>
      <c r="C305" s="47"/>
      <c r="D305" s="93"/>
      <c r="E305" s="3"/>
      <c r="F305" s="13"/>
      <c r="G305" s="15"/>
      <c r="I305" s="103"/>
      <c r="J305" s="103"/>
      <c r="K305" s="103"/>
      <c r="L305" s="103"/>
      <c r="M305" s="134"/>
      <c r="N305" s="103"/>
      <c r="O305" s="134"/>
      <c r="P305" s="103"/>
      <c r="Q305" s="103"/>
      <c r="R305" s="103"/>
      <c r="S305" s="103"/>
      <c r="T305" s="41"/>
    </row>
    <row r="306" spans="1:20">
      <c r="A306" s="16"/>
      <c r="B306" s="12"/>
      <c r="C306" s="47"/>
      <c r="D306" s="93"/>
      <c r="E306" s="3"/>
      <c r="F306" s="13"/>
      <c r="G306" s="15"/>
      <c r="I306" s="103"/>
      <c r="J306" s="103"/>
      <c r="K306" s="103"/>
      <c r="L306" s="103"/>
      <c r="M306" s="134"/>
      <c r="N306" s="103"/>
      <c r="O306" s="134"/>
      <c r="P306" s="103"/>
      <c r="Q306" s="103"/>
      <c r="R306" s="103"/>
      <c r="S306" s="103"/>
      <c r="T306" s="41"/>
    </row>
    <row r="307" spans="1:20">
      <c r="A307" s="16"/>
      <c r="B307" s="12"/>
      <c r="C307" s="47"/>
      <c r="D307" s="93"/>
      <c r="E307" s="3"/>
      <c r="F307" s="13"/>
      <c r="G307" s="15"/>
      <c r="I307" s="103"/>
      <c r="J307" s="103"/>
      <c r="K307" s="103"/>
      <c r="L307" s="103"/>
      <c r="M307" s="134"/>
      <c r="N307" s="103"/>
      <c r="O307" s="134"/>
      <c r="P307" s="103"/>
      <c r="Q307" s="103"/>
      <c r="R307" s="103"/>
      <c r="S307" s="103"/>
      <c r="T307" s="41"/>
    </row>
    <row r="308" spans="1:20">
      <c r="A308" s="16"/>
      <c r="B308" s="12"/>
      <c r="C308" s="47"/>
      <c r="D308" s="93"/>
      <c r="E308" s="3"/>
      <c r="F308" s="13"/>
      <c r="G308" s="15"/>
      <c r="I308" s="103"/>
      <c r="J308" s="103"/>
      <c r="K308" s="103"/>
      <c r="L308" s="103"/>
      <c r="M308" s="134"/>
      <c r="N308" s="103"/>
      <c r="O308" s="134"/>
      <c r="P308" s="103"/>
      <c r="Q308" s="103"/>
      <c r="R308" s="103"/>
      <c r="S308" s="103"/>
      <c r="T308" s="41"/>
    </row>
    <row r="309" spans="1:20">
      <c r="A309" s="16"/>
      <c r="B309" s="12"/>
      <c r="C309" s="47"/>
      <c r="D309" s="93"/>
      <c r="E309" s="3"/>
      <c r="F309" s="13"/>
      <c r="G309" s="15"/>
      <c r="I309" s="103"/>
      <c r="J309" s="103"/>
      <c r="K309" s="103"/>
      <c r="L309" s="103"/>
      <c r="M309" s="134"/>
      <c r="N309" s="103"/>
      <c r="O309" s="134"/>
      <c r="P309" s="103"/>
      <c r="Q309" s="103"/>
      <c r="R309" s="103"/>
      <c r="S309" s="103"/>
      <c r="T309" s="41"/>
    </row>
    <row r="310" spans="1:20">
      <c r="A310" s="16"/>
      <c r="B310" s="12"/>
      <c r="C310" s="47"/>
      <c r="D310" s="93"/>
      <c r="E310" s="3"/>
      <c r="F310" s="13"/>
      <c r="G310" s="15"/>
      <c r="I310" s="103"/>
      <c r="J310" s="103"/>
      <c r="K310" s="103"/>
      <c r="L310" s="103"/>
      <c r="M310" s="134"/>
      <c r="N310" s="103"/>
      <c r="O310" s="134"/>
      <c r="P310" s="103"/>
      <c r="Q310" s="103"/>
      <c r="R310" s="103"/>
      <c r="S310" s="103"/>
      <c r="T310" s="41"/>
    </row>
    <row r="311" spans="1:20">
      <c r="A311" s="16"/>
      <c r="B311" s="12"/>
      <c r="C311" s="47"/>
      <c r="D311" s="93"/>
      <c r="E311" s="3"/>
      <c r="F311" s="13"/>
      <c r="G311" s="15"/>
      <c r="I311" s="103"/>
      <c r="J311" s="103"/>
      <c r="K311" s="103"/>
      <c r="L311" s="103"/>
      <c r="M311" s="134"/>
      <c r="N311" s="103"/>
      <c r="O311" s="134"/>
      <c r="P311" s="103"/>
      <c r="Q311" s="103"/>
      <c r="R311" s="103"/>
      <c r="S311" s="103"/>
      <c r="T311" s="41"/>
    </row>
    <row r="312" spans="1:20">
      <c r="A312" s="16"/>
      <c r="B312" s="12"/>
      <c r="C312" s="47"/>
      <c r="D312" s="93"/>
      <c r="E312" s="3"/>
      <c r="F312" s="13"/>
      <c r="G312" s="15"/>
      <c r="I312" s="103"/>
      <c r="J312" s="103"/>
      <c r="K312" s="103"/>
      <c r="L312" s="103"/>
      <c r="M312" s="134"/>
      <c r="N312" s="103"/>
      <c r="O312" s="134"/>
      <c r="P312" s="103"/>
      <c r="Q312" s="103"/>
      <c r="R312" s="103"/>
      <c r="S312" s="103"/>
      <c r="T312" s="41"/>
    </row>
    <row r="313" spans="1:20">
      <c r="A313" s="16"/>
      <c r="B313" s="12"/>
      <c r="C313" s="47"/>
      <c r="D313" s="93"/>
      <c r="E313" s="3"/>
      <c r="F313" s="13"/>
      <c r="G313" s="15"/>
      <c r="I313" s="103"/>
      <c r="J313" s="103"/>
      <c r="K313" s="103"/>
      <c r="L313" s="103"/>
      <c r="M313" s="134"/>
      <c r="N313" s="103"/>
      <c r="O313" s="134"/>
      <c r="P313" s="103"/>
      <c r="Q313" s="103"/>
      <c r="R313" s="103"/>
      <c r="S313" s="103"/>
      <c r="T313" s="41"/>
    </row>
    <row r="314" spans="1:20">
      <c r="A314" s="16"/>
      <c r="B314" s="12"/>
      <c r="C314" s="47"/>
      <c r="D314" s="93"/>
      <c r="E314" s="3"/>
      <c r="F314" s="13"/>
      <c r="G314" s="15"/>
      <c r="I314" s="103"/>
      <c r="J314" s="103"/>
      <c r="K314" s="103"/>
      <c r="L314" s="103"/>
      <c r="M314" s="134"/>
      <c r="N314" s="103"/>
      <c r="O314" s="134"/>
      <c r="P314" s="103"/>
      <c r="Q314" s="103"/>
      <c r="R314" s="103"/>
      <c r="S314" s="103"/>
      <c r="T314" s="41"/>
    </row>
    <row r="315" spans="1:20">
      <c r="A315" s="16"/>
      <c r="B315" s="12"/>
      <c r="C315" s="47"/>
      <c r="D315" s="93"/>
      <c r="E315" s="3"/>
      <c r="F315" s="13"/>
      <c r="G315" s="15"/>
      <c r="I315" s="103"/>
      <c r="J315" s="103"/>
      <c r="K315" s="103"/>
      <c r="L315" s="103"/>
      <c r="M315" s="134"/>
      <c r="N315" s="103"/>
      <c r="O315" s="134"/>
      <c r="P315" s="103"/>
      <c r="Q315" s="103"/>
      <c r="R315" s="103"/>
      <c r="S315" s="103"/>
      <c r="T315" s="41"/>
    </row>
    <row r="316" spans="1:20">
      <c r="A316" s="16"/>
      <c r="B316" s="12"/>
      <c r="C316" s="47"/>
      <c r="D316" s="93"/>
      <c r="E316" s="3"/>
      <c r="F316" s="13"/>
      <c r="G316" s="15"/>
      <c r="I316" s="103"/>
      <c r="J316" s="103"/>
      <c r="K316" s="103"/>
      <c r="L316" s="103"/>
      <c r="M316" s="134"/>
      <c r="N316" s="103"/>
      <c r="O316" s="134"/>
      <c r="P316" s="103"/>
      <c r="Q316" s="103"/>
      <c r="R316" s="103"/>
      <c r="S316" s="103"/>
      <c r="T316" s="41"/>
    </row>
    <row r="317" spans="1:20">
      <c r="A317" s="16"/>
      <c r="B317" s="12"/>
      <c r="C317" s="47"/>
      <c r="D317" s="93"/>
      <c r="E317" s="3"/>
      <c r="F317" s="13"/>
      <c r="G317" s="15"/>
      <c r="I317" s="103"/>
      <c r="J317" s="103"/>
      <c r="K317" s="103"/>
      <c r="L317" s="103"/>
      <c r="M317" s="134"/>
      <c r="N317" s="103"/>
      <c r="O317" s="134"/>
      <c r="P317" s="103"/>
      <c r="Q317" s="103"/>
      <c r="R317" s="103"/>
      <c r="S317" s="103"/>
      <c r="T317" s="41"/>
    </row>
    <row r="318" spans="1:20">
      <c r="A318" s="16"/>
      <c r="B318" s="12"/>
      <c r="C318" s="47"/>
      <c r="D318" s="93"/>
      <c r="E318" s="3"/>
      <c r="F318" s="13"/>
      <c r="G318" s="15"/>
      <c r="I318" s="103"/>
      <c r="J318" s="103"/>
      <c r="K318" s="103"/>
      <c r="L318" s="103"/>
      <c r="M318" s="134"/>
      <c r="N318" s="103"/>
      <c r="O318" s="134"/>
      <c r="P318" s="103"/>
      <c r="Q318" s="103"/>
      <c r="R318" s="103"/>
      <c r="S318" s="103"/>
      <c r="T318" s="41"/>
    </row>
    <row r="319" spans="1:20">
      <c r="A319" s="16"/>
      <c r="B319" s="12"/>
      <c r="C319" s="47"/>
      <c r="D319" s="93"/>
      <c r="E319" s="3"/>
      <c r="F319" s="13"/>
      <c r="G319" s="15"/>
      <c r="I319" s="103"/>
      <c r="J319" s="103"/>
      <c r="K319" s="103"/>
      <c r="L319" s="103"/>
      <c r="M319" s="134"/>
      <c r="N319" s="103"/>
      <c r="O319" s="134"/>
      <c r="P319" s="103"/>
      <c r="Q319" s="103"/>
      <c r="R319" s="103"/>
      <c r="S319" s="103"/>
      <c r="T319" s="41"/>
    </row>
    <row r="320" spans="1:20">
      <c r="A320" s="16"/>
      <c r="B320" s="12"/>
      <c r="C320" s="47"/>
      <c r="D320" s="93"/>
      <c r="E320" s="3"/>
      <c r="F320" s="13"/>
      <c r="G320" s="15"/>
      <c r="I320" s="103"/>
      <c r="J320" s="103"/>
      <c r="K320" s="103"/>
      <c r="L320" s="103"/>
      <c r="M320" s="134"/>
      <c r="N320" s="103"/>
      <c r="O320" s="134"/>
      <c r="P320" s="103"/>
      <c r="Q320" s="103"/>
      <c r="R320" s="103"/>
      <c r="S320" s="103"/>
      <c r="T320" s="41"/>
    </row>
    <row r="321" spans="1:20">
      <c r="A321" s="16"/>
      <c r="B321" s="12"/>
      <c r="C321" s="47"/>
      <c r="D321" s="93"/>
      <c r="E321" s="3"/>
      <c r="F321" s="13"/>
      <c r="G321" s="15"/>
      <c r="I321" s="103"/>
      <c r="J321" s="103"/>
      <c r="K321" s="103"/>
      <c r="L321" s="103"/>
      <c r="M321" s="134"/>
      <c r="N321" s="103"/>
      <c r="O321" s="134"/>
      <c r="P321" s="103"/>
      <c r="Q321" s="103"/>
      <c r="R321" s="103"/>
      <c r="S321" s="103"/>
      <c r="T321" s="41"/>
    </row>
    <row r="322" spans="1:20">
      <c r="A322" s="16"/>
      <c r="B322" s="12"/>
      <c r="C322" s="47"/>
      <c r="D322" s="93"/>
      <c r="E322" s="3"/>
      <c r="F322" s="13"/>
      <c r="G322" s="15"/>
      <c r="I322" s="103"/>
      <c r="J322" s="103"/>
      <c r="K322" s="103"/>
      <c r="L322" s="103"/>
      <c r="M322" s="134"/>
      <c r="N322" s="103"/>
      <c r="O322" s="134"/>
      <c r="P322" s="103"/>
      <c r="Q322" s="103"/>
      <c r="R322" s="103"/>
      <c r="S322" s="103"/>
      <c r="T322" s="41"/>
    </row>
    <row r="323" spans="1:20">
      <c r="A323" s="16"/>
      <c r="B323" s="12"/>
      <c r="C323" s="47"/>
      <c r="D323" s="93"/>
      <c r="E323" s="3"/>
      <c r="F323" s="13"/>
      <c r="G323" s="15"/>
      <c r="I323" s="103"/>
      <c r="J323" s="103"/>
      <c r="K323" s="103"/>
      <c r="L323" s="103"/>
      <c r="M323" s="134"/>
      <c r="N323" s="103"/>
      <c r="O323" s="134"/>
      <c r="P323" s="103"/>
      <c r="Q323" s="103"/>
      <c r="R323" s="103"/>
      <c r="S323" s="103"/>
      <c r="T323" s="41"/>
    </row>
    <row r="324" spans="1:20">
      <c r="A324" s="16"/>
      <c r="B324" s="12"/>
      <c r="C324" s="47"/>
      <c r="D324" s="93"/>
      <c r="E324" s="3"/>
      <c r="F324" s="13"/>
      <c r="G324" s="15"/>
      <c r="I324" s="103"/>
      <c r="J324" s="103"/>
      <c r="K324" s="103"/>
      <c r="L324" s="103"/>
      <c r="M324" s="134"/>
      <c r="N324" s="103"/>
      <c r="O324" s="134"/>
      <c r="P324" s="103"/>
      <c r="Q324" s="103"/>
      <c r="R324" s="103"/>
      <c r="S324" s="103"/>
      <c r="T324" s="41"/>
    </row>
    <row r="325" spans="1:20">
      <c r="A325" s="16"/>
      <c r="B325" s="12"/>
      <c r="C325" s="47"/>
      <c r="D325" s="93"/>
      <c r="E325" s="3"/>
      <c r="F325" s="13"/>
      <c r="G325" s="15"/>
      <c r="I325" s="103"/>
      <c r="J325" s="103"/>
      <c r="K325" s="103"/>
      <c r="L325" s="103"/>
      <c r="M325" s="134"/>
      <c r="N325" s="103"/>
      <c r="O325" s="134"/>
      <c r="P325" s="103"/>
      <c r="Q325" s="103"/>
      <c r="R325" s="103"/>
      <c r="S325" s="103"/>
      <c r="T325" s="41"/>
    </row>
    <row r="326" spans="1:20">
      <c r="A326" s="16"/>
      <c r="B326" s="12"/>
      <c r="C326" s="47"/>
      <c r="D326" s="93"/>
      <c r="E326" s="3"/>
      <c r="F326" s="13"/>
      <c r="G326" s="15"/>
      <c r="I326" s="103"/>
      <c r="J326" s="103"/>
      <c r="K326" s="103"/>
      <c r="L326" s="103"/>
      <c r="M326" s="134"/>
      <c r="N326" s="103"/>
      <c r="O326" s="134"/>
      <c r="P326" s="103"/>
      <c r="Q326" s="103"/>
      <c r="R326" s="103"/>
      <c r="S326" s="103"/>
      <c r="T326" s="41"/>
    </row>
    <row r="327" spans="1:20">
      <c r="A327" s="16"/>
      <c r="B327" s="12"/>
      <c r="C327" s="47"/>
      <c r="D327" s="93"/>
      <c r="E327" s="3"/>
      <c r="F327" s="13"/>
      <c r="G327" s="15"/>
      <c r="I327" s="103"/>
      <c r="J327" s="103"/>
      <c r="K327" s="103"/>
      <c r="L327" s="103"/>
      <c r="M327" s="134"/>
      <c r="N327" s="103"/>
      <c r="O327" s="134"/>
      <c r="P327" s="103"/>
      <c r="Q327" s="103"/>
      <c r="R327" s="103"/>
      <c r="S327" s="103"/>
      <c r="T327" s="41"/>
    </row>
    <row r="328" spans="1:20" ht="13.95" customHeight="1">
      <c r="A328" s="16"/>
      <c r="B328" s="16"/>
      <c r="C328" s="47"/>
      <c r="D328" s="58"/>
      <c r="E328" s="13"/>
      <c r="F328" s="14"/>
      <c r="G328" s="15"/>
      <c r="I328" s="105"/>
      <c r="J328" s="105"/>
      <c r="K328" s="105"/>
      <c r="L328" s="105"/>
      <c r="M328" s="135"/>
      <c r="N328" s="105"/>
      <c r="O328" s="135"/>
      <c r="P328" s="105"/>
      <c r="Q328" s="105"/>
      <c r="R328" s="105"/>
      <c r="S328" s="53"/>
      <c r="T328" s="41"/>
    </row>
    <row r="329" spans="1:20">
      <c r="A329" s="16"/>
      <c r="B329" s="16"/>
      <c r="C329" s="47"/>
      <c r="D329" s="58"/>
      <c r="E329" s="13"/>
      <c r="F329" s="14"/>
      <c r="G329" s="15"/>
      <c r="I329" s="22"/>
    </row>
    <row r="330" spans="1:20">
      <c r="A330" s="16"/>
      <c r="B330" s="16"/>
      <c r="C330" s="47"/>
      <c r="D330" s="58"/>
      <c r="E330" s="13"/>
      <c r="F330" s="14"/>
      <c r="G330" s="15"/>
      <c r="I330" s="22"/>
    </row>
    <row r="331" spans="1:20">
      <c r="A331" s="16"/>
      <c r="B331" s="16"/>
      <c r="C331" s="47"/>
      <c r="D331" s="58"/>
      <c r="E331" s="13"/>
      <c r="F331" s="14"/>
      <c r="G331" s="15"/>
      <c r="I331" s="22"/>
    </row>
    <row r="332" spans="1:20" ht="20.399999999999999" customHeight="1">
      <c r="A332" s="156" t="s">
        <v>161</v>
      </c>
      <c r="B332" s="157"/>
      <c r="C332" s="157"/>
      <c r="D332" s="157"/>
      <c r="E332" s="157"/>
      <c r="F332" s="158"/>
      <c r="G332" s="78">
        <f>SUM(G291:G331)</f>
        <v>5735617</v>
      </c>
      <c r="I332" s="22"/>
    </row>
  </sheetData>
  <mergeCells count="13">
    <mergeCell ref="A332:F332"/>
    <mergeCell ref="A200:F200"/>
    <mergeCell ref="A204:F204"/>
    <mergeCell ref="A238:F238"/>
    <mergeCell ref="A242:F242"/>
    <mergeCell ref="A287:F287"/>
    <mergeCell ref="A291:F291"/>
    <mergeCell ref="A154:F154"/>
    <mergeCell ref="A50:F50"/>
    <mergeCell ref="A54:F54"/>
    <mergeCell ref="A150:F150"/>
    <mergeCell ref="A98:F98"/>
    <mergeCell ref="A102:F102"/>
  </mergeCells>
  <pageMargins left="0.7" right="0.7" top="0.75" bottom="0.75" header="0.3" footer="0.3"/>
  <pageSetup paperSize="9" scale="95" orientation="portrait" r:id="rId1"/>
  <rowBreaks count="5" manualBreakCount="5">
    <brk id="51" max="6" man="1"/>
    <brk id="151" max="6" man="1"/>
    <brk id="201" max="6" man="1"/>
    <brk id="239" max="6" man="1"/>
    <brk id="288" max="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7BD31-A63C-4180-BFDA-B9A38D957A7B}">
  <dimension ref="A1:O335"/>
  <sheetViews>
    <sheetView showGridLines="0" view="pageBreakPreview" topLeftCell="A321" zoomScale="115" zoomScaleNormal="100" zoomScaleSheetLayoutView="115" workbookViewId="0">
      <selection activeCell="G11" sqref="G11"/>
    </sheetView>
  </sheetViews>
  <sheetFormatPr defaultColWidth="13.109375" defaultRowHeight="12"/>
  <cols>
    <col min="1" max="1" width="4.88671875" style="22" customWidth="1"/>
    <col min="2" max="2" width="8.33203125" style="20" customWidth="1"/>
    <col min="3" max="3" width="40.6640625" style="21" customWidth="1"/>
    <col min="4" max="4" width="5.109375" style="22" customWidth="1"/>
    <col min="5" max="5" width="7.6640625" style="22" customWidth="1"/>
    <col min="6" max="6" width="8.6640625" style="23" customWidth="1"/>
    <col min="7" max="7" width="11.6640625" style="24" customWidth="1"/>
    <col min="8" max="8" width="4.33203125" style="6" customWidth="1"/>
    <col min="9" max="12" width="11.6640625" style="22" hidden="1" customWidth="1"/>
    <col min="13" max="13" width="13.109375" style="106" hidden="1" customWidth="1"/>
    <col min="14" max="14" width="0" style="22" hidden="1" customWidth="1"/>
    <col min="15" max="16384" width="13.109375" style="6"/>
  </cols>
  <sheetData>
    <row r="1" spans="1:14" ht="20.399999999999999" hidden="1" customHeight="1">
      <c r="A1" s="19" t="s">
        <v>80</v>
      </c>
    </row>
    <row r="2" spans="1:14" ht="15" customHeight="1">
      <c r="A2" s="142" t="str">
        <f>Summary!A2</f>
        <v>NAFASI WATER - ARNOT WASTE TREATMENT PLANT</v>
      </c>
      <c r="G2" s="25" t="str">
        <f>Summary!C2</f>
        <v>Revision T1</v>
      </c>
    </row>
    <row r="3" spans="1:14" ht="15" customHeight="1">
      <c r="A3" s="19" t="str">
        <f>Summary!A3</f>
        <v>PILING AND CIVIL WORK</v>
      </c>
      <c r="G3" s="26"/>
    </row>
    <row r="4" spans="1:14" ht="15" customHeight="1">
      <c r="A4" s="19" t="s">
        <v>253</v>
      </c>
      <c r="G4" s="143">
        <f>Summary!C4</f>
        <v>45183</v>
      </c>
    </row>
    <row r="5" spans="1:14" ht="15" customHeight="1">
      <c r="A5" s="27"/>
      <c r="B5" s="28"/>
      <c r="C5" s="28"/>
      <c r="E5" s="29"/>
      <c r="G5" s="30"/>
    </row>
    <row r="6" spans="1:14" s="42" customFormat="1" ht="37.200000000000003" customHeight="1">
      <c r="A6" s="44" t="s">
        <v>8</v>
      </c>
      <c r="B6" s="48" t="s">
        <v>9</v>
      </c>
      <c r="C6" s="44" t="s">
        <v>10</v>
      </c>
      <c r="D6" s="48" t="s">
        <v>11</v>
      </c>
      <c r="E6" s="48" t="s">
        <v>59</v>
      </c>
      <c r="F6" s="49" t="s">
        <v>12</v>
      </c>
      <c r="G6" s="49" t="s">
        <v>13</v>
      </c>
      <c r="I6" s="100" t="s">
        <v>265</v>
      </c>
      <c r="J6" s="100" t="s">
        <v>245</v>
      </c>
      <c r="K6" s="100" t="s">
        <v>256</v>
      </c>
      <c r="L6" s="101"/>
      <c r="M6" s="100"/>
      <c r="N6" s="48"/>
    </row>
    <row r="7" spans="1:14" s="42" customFormat="1" ht="4.95" customHeight="1">
      <c r="A7" s="2"/>
      <c r="B7" s="40"/>
      <c r="C7" s="50"/>
      <c r="D7" s="40"/>
      <c r="E7" s="40"/>
      <c r="F7" s="54"/>
      <c r="G7" s="54"/>
      <c r="I7" s="40"/>
      <c r="J7" s="40"/>
      <c r="K7" s="40"/>
      <c r="L7" s="102"/>
      <c r="M7" s="107"/>
      <c r="N7" s="109"/>
    </row>
    <row r="8" spans="1:14" ht="19.2" customHeight="1">
      <c r="A8" s="1"/>
      <c r="B8" s="2"/>
      <c r="C8" s="11" t="s">
        <v>266</v>
      </c>
      <c r="D8" s="1"/>
      <c r="E8" s="1"/>
      <c r="F8" s="4"/>
      <c r="G8" s="5"/>
      <c r="I8" s="9"/>
      <c r="J8" s="9"/>
      <c r="K8" s="9"/>
      <c r="L8" s="103"/>
      <c r="M8" s="108"/>
      <c r="N8" s="9"/>
    </row>
    <row r="9" spans="1:14" ht="10.95" customHeight="1">
      <c r="A9" s="1"/>
      <c r="B9" s="2"/>
      <c r="C9" s="11"/>
      <c r="D9" s="1"/>
      <c r="E9" s="1"/>
      <c r="F9" s="4"/>
      <c r="G9" s="5"/>
      <c r="I9" s="9"/>
      <c r="J9" s="9"/>
      <c r="K9" s="9"/>
      <c r="L9" s="103"/>
      <c r="M9" s="108"/>
      <c r="N9" s="9"/>
    </row>
    <row r="10" spans="1:14" ht="22.2" customHeight="1">
      <c r="A10" s="1"/>
      <c r="B10" s="1" t="s">
        <v>22</v>
      </c>
      <c r="C10" s="34" t="s">
        <v>69</v>
      </c>
      <c r="D10" s="1"/>
      <c r="E10" s="3" t="str">
        <f>IF(SUM(H10:M10)&gt;0,SUM(H10:M10),"")</f>
        <v/>
      </c>
      <c r="F10" s="4"/>
      <c r="G10" s="5"/>
      <c r="I10" s="9"/>
      <c r="J10" s="9"/>
      <c r="K10" s="9"/>
      <c r="L10" s="103"/>
      <c r="M10" s="108"/>
      <c r="N10" s="9"/>
    </row>
    <row r="11" spans="1:14" ht="13.95" customHeight="1">
      <c r="A11" s="1"/>
      <c r="B11" s="1"/>
      <c r="C11" s="34"/>
      <c r="D11" s="1"/>
      <c r="E11" s="3" t="str">
        <f>IF(SUM(H11:M11)&gt;0,SUM(H11:M11),"")</f>
        <v/>
      </c>
      <c r="F11" s="4"/>
      <c r="G11" s="5"/>
      <c r="I11" s="9"/>
      <c r="J11" s="9"/>
      <c r="K11" s="9"/>
      <c r="L11" s="103"/>
      <c r="M11" s="108"/>
      <c r="N11" s="9"/>
    </row>
    <row r="12" spans="1:14" ht="13.95" customHeight="1">
      <c r="A12" s="1"/>
      <c r="B12" s="1"/>
      <c r="C12" s="32" t="s">
        <v>55</v>
      </c>
      <c r="D12" s="1"/>
      <c r="E12" s="3" t="str">
        <f>IF(SUM(H12:M12)&gt;0,SUM(H12:M12),"")</f>
        <v/>
      </c>
      <c r="F12" s="4"/>
      <c r="G12" s="5"/>
      <c r="I12" s="9"/>
      <c r="J12" s="9"/>
      <c r="K12" s="9"/>
      <c r="L12" s="103"/>
      <c r="M12" s="108"/>
      <c r="N12" s="9"/>
    </row>
    <row r="13" spans="1:14" ht="13.95" customHeight="1">
      <c r="A13" s="1"/>
      <c r="B13" s="1"/>
      <c r="C13" s="32"/>
      <c r="D13" s="1"/>
      <c r="E13" s="3" t="str">
        <f>IF(SUM(H13:M13)&gt;0,SUM(H13:M13),"")</f>
        <v/>
      </c>
      <c r="F13" s="4"/>
      <c r="G13" s="5"/>
      <c r="I13" s="9"/>
      <c r="J13" s="9"/>
      <c r="K13" s="9"/>
      <c r="L13" s="103"/>
      <c r="M13" s="108"/>
      <c r="N13" s="9"/>
    </row>
    <row r="14" spans="1:14" ht="22.2" customHeight="1">
      <c r="A14" s="1">
        <v>1</v>
      </c>
      <c r="B14" s="1"/>
      <c r="C14" s="33" t="s">
        <v>218</v>
      </c>
      <c r="D14" s="1" t="s">
        <v>6</v>
      </c>
      <c r="E14" s="3">
        <f>SUM(I14:N14)</f>
        <v>0</v>
      </c>
      <c r="F14" s="13">
        <v>1150</v>
      </c>
      <c r="G14" s="5">
        <f t="shared" ref="G14" si="0">+E14*F14</f>
        <v>0</v>
      </c>
      <c r="I14" s="137">
        <v>0</v>
      </c>
      <c r="J14" s="137">
        <v>0</v>
      </c>
      <c r="K14" s="137">
        <v>0</v>
      </c>
      <c r="L14" s="137">
        <v>0</v>
      </c>
      <c r="M14" s="137">
        <v>0</v>
      </c>
      <c r="N14" s="137">
        <v>0</v>
      </c>
    </row>
    <row r="15" spans="1:14" ht="13.95" customHeight="1">
      <c r="A15" s="1"/>
      <c r="B15" s="1"/>
      <c r="C15" s="32"/>
      <c r="D15" s="1"/>
      <c r="E15" s="3"/>
      <c r="F15" s="14"/>
      <c r="G15" s="5"/>
      <c r="I15" s="13"/>
      <c r="J15" s="13"/>
      <c r="K15" s="13"/>
      <c r="L15" s="13"/>
      <c r="M15" s="13"/>
      <c r="N15" s="13"/>
    </row>
    <row r="16" spans="1:14" ht="13.95" customHeight="1">
      <c r="A16" s="1"/>
      <c r="B16" s="1"/>
      <c r="C16" s="32" t="s">
        <v>221</v>
      </c>
      <c r="D16" s="1"/>
      <c r="E16" s="3"/>
      <c r="F16" s="14"/>
      <c r="G16" s="5"/>
      <c r="I16" s="13"/>
      <c r="J16" s="13"/>
      <c r="K16" s="13"/>
      <c r="L16" s="13"/>
      <c r="M16" s="13"/>
      <c r="N16" s="13"/>
    </row>
    <row r="17" spans="1:14" ht="34.950000000000003" customHeight="1">
      <c r="A17" s="1"/>
      <c r="B17" s="1"/>
      <c r="C17" s="33" t="s">
        <v>219</v>
      </c>
      <c r="D17" s="1"/>
      <c r="E17" s="3"/>
      <c r="F17" s="14"/>
      <c r="G17" s="5"/>
      <c r="I17" s="13"/>
      <c r="J17" s="13"/>
      <c r="K17" s="13"/>
      <c r="L17" s="13"/>
      <c r="M17" s="13"/>
      <c r="N17" s="13"/>
    </row>
    <row r="18" spans="1:14" ht="10.95" customHeight="1">
      <c r="A18" s="1"/>
      <c r="B18" s="1"/>
      <c r="C18" s="32"/>
      <c r="D18" s="1"/>
      <c r="E18" s="3"/>
      <c r="F18" s="13"/>
      <c r="G18" s="5"/>
      <c r="I18" s="13"/>
      <c r="J18" s="13"/>
      <c r="K18" s="13"/>
      <c r="L18" s="13"/>
      <c r="M18" s="13"/>
      <c r="N18" s="13"/>
    </row>
    <row r="19" spans="1:14" ht="13.2" customHeight="1">
      <c r="A19" s="1">
        <v>2</v>
      </c>
      <c r="B19" s="1"/>
      <c r="C19" s="33" t="s">
        <v>33</v>
      </c>
      <c r="D19" s="1" t="s">
        <v>1</v>
      </c>
      <c r="E19" s="3">
        <f>SUM(I19:N19)</f>
        <v>0</v>
      </c>
      <c r="F19" s="13">
        <v>1850</v>
      </c>
      <c r="G19" s="5">
        <f t="shared" ref="G19" si="1">+E19*F19</f>
        <v>0</v>
      </c>
      <c r="I19" s="138">
        <f t="shared" ref="I19:N19" si="2">I14*10</f>
        <v>0</v>
      </c>
      <c r="J19" s="138">
        <f t="shared" si="2"/>
        <v>0</v>
      </c>
      <c r="K19" s="138">
        <f t="shared" si="2"/>
        <v>0</v>
      </c>
      <c r="L19" s="138">
        <f t="shared" si="2"/>
        <v>0</v>
      </c>
      <c r="M19" s="138">
        <f t="shared" si="2"/>
        <v>0</v>
      </c>
      <c r="N19" s="138">
        <f t="shared" si="2"/>
        <v>0</v>
      </c>
    </row>
    <row r="20" spans="1:14" ht="13.2" customHeight="1">
      <c r="A20" s="1"/>
      <c r="B20" s="1"/>
      <c r="C20" s="32"/>
      <c r="D20" s="1"/>
      <c r="E20" s="3"/>
      <c r="F20" s="13"/>
      <c r="G20" s="5"/>
      <c r="I20" s="138"/>
      <c r="J20" s="138"/>
      <c r="K20" s="138"/>
      <c r="L20" s="138"/>
      <c r="M20" s="138"/>
      <c r="N20" s="138"/>
    </row>
    <row r="21" spans="1:14" ht="13.2" customHeight="1">
      <c r="A21" s="1">
        <v>3</v>
      </c>
      <c r="B21" s="1"/>
      <c r="C21" s="33" t="s">
        <v>34</v>
      </c>
      <c r="D21" s="1" t="s">
        <v>1</v>
      </c>
      <c r="E21" s="3">
        <f>SUM(I21:N21)</f>
        <v>0</v>
      </c>
      <c r="F21" s="13">
        <f>F19</f>
        <v>1850</v>
      </c>
      <c r="G21" s="5">
        <f t="shared" ref="G21" si="3">+E21*F21</f>
        <v>0</v>
      </c>
      <c r="I21" s="138">
        <f t="shared" ref="I21:N21" si="4">I14*5</f>
        <v>0</v>
      </c>
      <c r="J21" s="138">
        <f t="shared" si="4"/>
        <v>0</v>
      </c>
      <c r="K21" s="138">
        <f t="shared" si="4"/>
        <v>0</v>
      </c>
      <c r="L21" s="138">
        <f t="shared" si="4"/>
        <v>0</v>
      </c>
      <c r="M21" s="138">
        <f t="shared" si="4"/>
        <v>0</v>
      </c>
      <c r="N21" s="138">
        <f t="shared" si="4"/>
        <v>0</v>
      </c>
    </row>
    <row r="22" spans="1:14" ht="13.2" customHeight="1">
      <c r="A22" s="1"/>
      <c r="B22" s="1"/>
      <c r="C22" s="32"/>
      <c r="D22" s="1"/>
      <c r="E22" s="3"/>
      <c r="F22" s="13"/>
      <c r="G22" s="5"/>
      <c r="I22" s="138"/>
      <c r="J22" s="138"/>
      <c r="K22" s="138"/>
      <c r="L22" s="138"/>
      <c r="M22" s="138"/>
      <c r="N22" s="138"/>
    </row>
    <row r="23" spans="1:14" ht="13.2" customHeight="1">
      <c r="A23" s="1"/>
      <c r="B23" s="1"/>
      <c r="C23" s="32" t="s">
        <v>76</v>
      </c>
      <c r="D23" s="1"/>
      <c r="E23" s="3"/>
      <c r="F23" s="13"/>
      <c r="G23" s="5"/>
      <c r="I23" s="138"/>
      <c r="J23" s="138"/>
      <c r="K23" s="138"/>
      <c r="L23" s="138"/>
      <c r="M23" s="138"/>
      <c r="N23" s="138"/>
    </row>
    <row r="24" spans="1:14" ht="13.2" customHeight="1">
      <c r="A24" s="1"/>
      <c r="B24" s="1"/>
      <c r="C24" s="32"/>
      <c r="D24" s="1"/>
      <c r="E24" s="3"/>
      <c r="F24" s="13"/>
      <c r="G24" s="5"/>
      <c r="I24" s="138"/>
      <c r="J24" s="138"/>
      <c r="K24" s="138"/>
      <c r="L24" s="138"/>
      <c r="M24" s="138"/>
      <c r="N24" s="138"/>
    </row>
    <row r="25" spans="1:14" ht="13.2" customHeight="1">
      <c r="A25" s="1">
        <v>4</v>
      </c>
      <c r="B25" s="1"/>
      <c r="C25" s="47" t="s">
        <v>77</v>
      </c>
      <c r="D25" s="1" t="s">
        <v>6</v>
      </c>
      <c r="E25" s="3">
        <f>SUM(I25:N25)</f>
        <v>0</v>
      </c>
      <c r="F25" s="13">
        <v>1250</v>
      </c>
      <c r="G25" s="5">
        <f t="shared" ref="G25" si="5">+E25*F25</f>
        <v>0</v>
      </c>
      <c r="I25" s="138">
        <f t="shared" ref="I25:N25" si="6">I14</f>
        <v>0</v>
      </c>
      <c r="J25" s="138">
        <f t="shared" si="6"/>
        <v>0</v>
      </c>
      <c r="K25" s="138">
        <f t="shared" si="6"/>
        <v>0</v>
      </c>
      <c r="L25" s="138">
        <f t="shared" si="6"/>
        <v>0</v>
      </c>
      <c r="M25" s="138">
        <f t="shared" si="6"/>
        <v>0</v>
      </c>
      <c r="N25" s="138">
        <f t="shared" si="6"/>
        <v>0</v>
      </c>
    </row>
    <row r="26" spans="1:14" ht="13.2" customHeight="1">
      <c r="A26" s="1"/>
      <c r="B26" s="1"/>
      <c r="C26" s="32"/>
      <c r="D26" s="1"/>
      <c r="E26" s="3"/>
      <c r="F26" s="13"/>
      <c r="G26" s="5"/>
      <c r="I26" s="138"/>
      <c r="J26" s="138"/>
      <c r="K26" s="138"/>
      <c r="L26" s="138"/>
      <c r="M26" s="138"/>
      <c r="N26" s="138"/>
    </row>
    <row r="27" spans="1:14" ht="12.6" customHeight="1">
      <c r="A27" s="1"/>
      <c r="B27" s="1"/>
      <c r="C27" s="32" t="s">
        <v>71</v>
      </c>
      <c r="D27" s="1"/>
      <c r="E27" s="3"/>
      <c r="F27" s="13"/>
      <c r="G27" s="5"/>
      <c r="I27" s="138"/>
      <c r="J27" s="138"/>
      <c r="K27" s="138"/>
      <c r="L27" s="138"/>
      <c r="M27" s="138"/>
      <c r="N27" s="138"/>
    </row>
    <row r="28" spans="1:14" ht="12.6" customHeight="1">
      <c r="A28" s="1"/>
      <c r="B28" s="1"/>
      <c r="C28" s="33"/>
      <c r="D28" s="1"/>
      <c r="E28" s="3"/>
      <c r="F28" s="13"/>
      <c r="G28" s="5"/>
      <c r="I28" s="138"/>
      <c r="J28" s="138"/>
      <c r="K28" s="138"/>
      <c r="L28" s="138"/>
      <c r="M28" s="138"/>
      <c r="N28" s="138"/>
    </row>
    <row r="29" spans="1:14" ht="12.6" customHeight="1">
      <c r="A29" s="1">
        <v>5</v>
      </c>
      <c r="B29" s="1"/>
      <c r="C29" s="33" t="s">
        <v>223</v>
      </c>
      <c r="D29" s="1" t="s">
        <v>2</v>
      </c>
      <c r="E29" s="3">
        <f>SUM(I29:N29)</f>
        <v>0</v>
      </c>
      <c r="F29" s="13">
        <v>29500</v>
      </c>
      <c r="G29" s="5">
        <f t="shared" ref="G29" si="7">+E29*F29</f>
        <v>0</v>
      </c>
      <c r="I29" s="139">
        <f t="shared" ref="I29:N29" si="8">(I19+I21)*0.00325</f>
        <v>0</v>
      </c>
      <c r="J29" s="139">
        <f t="shared" si="8"/>
        <v>0</v>
      </c>
      <c r="K29" s="139">
        <f t="shared" si="8"/>
        <v>0</v>
      </c>
      <c r="L29" s="139">
        <f t="shared" si="8"/>
        <v>0</v>
      </c>
      <c r="M29" s="139">
        <f t="shared" si="8"/>
        <v>0</v>
      </c>
      <c r="N29" s="139">
        <f t="shared" si="8"/>
        <v>0</v>
      </c>
    </row>
    <row r="30" spans="1:14" ht="12.6" customHeight="1">
      <c r="A30" s="1"/>
      <c r="B30" s="1"/>
      <c r="C30" s="33"/>
      <c r="D30" s="1"/>
      <c r="E30" s="3"/>
      <c r="F30" s="13"/>
      <c r="G30" s="5"/>
      <c r="I30" s="138"/>
      <c r="J30" s="138"/>
      <c r="K30" s="138"/>
      <c r="L30" s="138"/>
      <c r="M30" s="138"/>
      <c r="N30" s="138"/>
    </row>
    <row r="31" spans="1:14" ht="12.6" customHeight="1">
      <c r="A31" s="1">
        <v>6</v>
      </c>
      <c r="B31" s="1"/>
      <c r="C31" s="33" t="s">
        <v>222</v>
      </c>
      <c r="D31" s="1" t="s">
        <v>2</v>
      </c>
      <c r="E31" s="3">
        <f>SUM(I31:AG31)</f>
        <v>0</v>
      </c>
      <c r="F31" s="13">
        <v>28000</v>
      </c>
      <c r="G31" s="5">
        <f t="shared" ref="G31" si="9">+E31*F31</f>
        <v>0</v>
      </c>
      <c r="I31" s="139">
        <f t="shared" ref="I31:N31" si="10">(I19+I21)*0.0215</f>
        <v>0</v>
      </c>
      <c r="J31" s="139">
        <f t="shared" si="10"/>
        <v>0</v>
      </c>
      <c r="K31" s="139">
        <f t="shared" si="10"/>
        <v>0</v>
      </c>
      <c r="L31" s="139">
        <f t="shared" si="10"/>
        <v>0</v>
      </c>
      <c r="M31" s="139">
        <f t="shared" si="10"/>
        <v>0</v>
      </c>
      <c r="N31" s="139">
        <f t="shared" si="10"/>
        <v>0</v>
      </c>
    </row>
    <row r="32" spans="1:14" ht="12.6" customHeight="1">
      <c r="A32" s="1"/>
      <c r="B32" s="1"/>
      <c r="C32" s="33"/>
      <c r="D32" s="1"/>
      <c r="E32" s="3"/>
      <c r="F32" s="13"/>
      <c r="G32" s="5"/>
      <c r="I32" s="138"/>
      <c r="J32" s="138"/>
      <c r="K32" s="138"/>
      <c r="L32" s="138"/>
      <c r="M32" s="138"/>
      <c r="N32" s="138"/>
    </row>
    <row r="33" spans="1:14" ht="12.6" customHeight="1">
      <c r="A33" s="1"/>
      <c r="B33" s="1"/>
      <c r="C33" s="32" t="s">
        <v>56</v>
      </c>
      <c r="D33" s="1"/>
      <c r="E33" s="3"/>
      <c r="F33" s="13"/>
      <c r="G33" s="5"/>
      <c r="I33" s="138"/>
      <c r="J33" s="138"/>
      <c r="K33" s="138"/>
      <c r="L33" s="138"/>
      <c r="M33" s="138"/>
      <c r="N33" s="138"/>
    </row>
    <row r="34" spans="1:14" ht="13.2" customHeight="1">
      <c r="A34" s="1"/>
      <c r="B34" s="1"/>
      <c r="C34" s="33"/>
      <c r="D34" s="1"/>
      <c r="E34" s="3"/>
      <c r="F34" s="13"/>
      <c r="G34" s="5"/>
      <c r="I34" s="138"/>
      <c r="J34" s="138"/>
      <c r="K34" s="138"/>
      <c r="L34" s="138"/>
      <c r="M34" s="138"/>
      <c r="N34" s="138"/>
    </row>
    <row r="35" spans="1:14" ht="13.2" customHeight="1">
      <c r="A35" s="1">
        <v>7</v>
      </c>
      <c r="B35" s="1"/>
      <c r="C35" s="33" t="s">
        <v>220</v>
      </c>
      <c r="D35" s="1"/>
      <c r="E35" s="3"/>
      <c r="F35" s="13"/>
      <c r="G35" s="5"/>
      <c r="I35" s="138"/>
      <c r="J35" s="138"/>
      <c r="K35" s="138"/>
      <c r="L35" s="138"/>
      <c r="M35" s="138"/>
      <c r="N35" s="138"/>
    </row>
    <row r="36" spans="1:14" ht="13.2" customHeight="1">
      <c r="A36" s="1"/>
      <c r="B36" s="1"/>
      <c r="C36" s="1"/>
      <c r="D36" s="1"/>
      <c r="E36" s="3"/>
      <c r="F36" s="13"/>
      <c r="G36" s="5"/>
      <c r="I36" s="138"/>
      <c r="J36" s="138"/>
      <c r="K36" s="138"/>
      <c r="L36" s="138"/>
      <c r="M36" s="138"/>
      <c r="N36" s="138"/>
    </row>
    <row r="37" spans="1:14" ht="13.2" customHeight="1">
      <c r="A37" s="1"/>
      <c r="B37" s="1"/>
      <c r="C37" s="33" t="s">
        <v>38</v>
      </c>
      <c r="D37" s="1" t="s">
        <v>51</v>
      </c>
      <c r="E37" s="3">
        <f>SUM(I37:N37)</f>
        <v>0</v>
      </c>
      <c r="F37" s="13">
        <v>3500</v>
      </c>
      <c r="G37" s="5">
        <f t="shared" ref="G37" si="11">+E37*F37</f>
        <v>0</v>
      </c>
      <c r="I37" s="139">
        <f t="shared" ref="I37:N37" si="12">((I19+I21)*0.292)+(I14*0.75)</f>
        <v>0</v>
      </c>
      <c r="J37" s="139">
        <f t="shared" si="12"/>
        <v>0</v>
      </c>
      <c r="K37" s="139">
        <f t="shared" si="12"/>
        <v>0</v>
      </c>
      <c r="L37" s="139">
        <f t="shared" si="12"/>
        <v>0</v>
      </c>
      <c r="M37" s="139">
        <f t="shared" si="12"/>
        <v>0</v>
      </c>
      <c r="N37" s="139">
        <f t="shared" si="12"/>
        <v>0</v>
      </c>
    </row>
    <row r="38" spans="1:14" ht="13.2" customHeight="1">
      <c r="A38" s="1"/>
      <c r="B38" s="1"/>
      <c r="C38" s="33"/>
      <c r="D38" s="1"/>
      <c r="E38" s="3"/>
      <c r="F38" s="13"/>
      <c r="G38" s="5"/>
      <c r="I38" s="138"/>
      <c r="J38" s="138"/>
      <c r="K38" s="138"/>
      <c r="L38" s="138"/>
      <c r="M38" s="138"/>
      <c r="N38" s="138"/>
    </row>
    <row r="39" spans="1:14" ht="13.2" customHeight="1">
      <c r="A39" s="1"/>
      <c r="B39" s="1" t="s">
        <v>23</v>
      </c>
      <c r="C39" s="32" t="s">
        <v>35</v>
      </c>
      <c r="D39" s="1"/>
      <c r="E39" s="3"/>
      <c r="F39" s="13"/>
      <c r="G39" s="5"/>
      <c r="I39" s="138"/>
      <c r="J39" s="138"/>
      <c r="K39" s="138"/>
      <c r="L39" s="138"/>
      <c r="M39" s="138"/>
      <c r="N39" s="138"/>
    </row>
    <row r="40" spans="1:14" ht="13.2" customHeight="1">
      <c r="A40" s="1"/>
      <c r="B40" s="1"/>
      <c r="C40" s="32"/>
      <c r="D40" s="1"/>
      <c r="E40" s="3"/>
      <c r="F40" s="13"/>
      <c r="G40" s="5"/>
      <c r="I40" s="138"/>
      <c r="J40" s="138"/>
      <c r="K40" s="138"/>
      <c r="L40" s="138"/>
      <c r="M40" s="138"/>
      <c r="N40" s="138"/>
    </row>
    <row r="41" spans="1:14" ht="13.2" customHeight="1">
      <c r="A41" s="1">
        <v>8</v>
      </c>
      <c r="B41" s="1"/>
      <c r="C41" s="33" t="s">
        <v>259</v>
      </c>
      <c r="D41" s="1" t="s">
        <v>6</v>
      </c>
      <c r="E41" s="3">
        <f>SUM(I41:N41)</f>
        <v>0</v>
      </c>
      <c r="F41" s="13">
        <v>875</v>
      </c>
      <c r="G41" s="5">
        <f t="shared" ref="G41" si="13">+E41*F41</f>
        <v>0</v>
      </c>
      <c r="I41" s="138">
        <f t="shared" ref="I41:N41" si="14">I14</f>
        <v>0</v>
      </c>
      <c r="J41" s="138">
        <f t="shared" si="14"/>
        <v>0</v>
      </c>
      <c r="K41" s="138">
        <f t="shared" si="14"/>
        <v>0</v>
      </c>
      <c r="L41" s="138">
        <f t="shared" si="14"/>
        <v>0</v>
      </c>
      <c r="M41" s="138">
        <f t="shared" si="14"/>
        <v>0</v>
      </c>
      <c r="N41" s="138">
        <f t="shared" si="14"/>
        <v>0</v>
      </c>
    </row>
    <row r="42" spans="1:14" ht="13.2" customHeight="1">
      <c r="A42" s="1"/>
      <c r="B42" s="2"/>
      <c r="C42" s="11"/>
      <c r="D42" s="1"/>
      <c r="E42" s="1"/>
      <c r="F42" s="13"/>
      <c r="G42" s="5"/>
      <c r="I42" s="1"/>
      <c r="J42" s="1"/>
      <c r="K42" s="1"/>
      <c r="L42" s="103"/>
      <c r="M42" s="108"/>
      <c r="N42" s="9"/>
    </row>
    <row r="43" spans="1:14" ht="24">
      <c r="A43" s="1"/>
      <c r="B43" s="2" t="s">
        <v>100</v>
      </c>
      <c r="C43" s="31" t="s">
        <v>79</v>
      </c>
      <c r="D43" s="1"/>
      <c r="E43" s="3"/>
      <c r="F43" s="14"/>
      <c r="G43" s="5"/>
      <c r="I43" s="3"/>
      <c r="J43" s="3"/>
      <c r="K43" s="3"/>
      <c r="L43" s="103"/>
      <c r="M43" s="108"/>
      <c r="N43" s="9"/>
    </row>
    <row r="44" spans="1:14" ht="13.95" customHeight="1">
      <c r="A44" s="1"/>
      <c r="B44" s="2"/>
      <c r="C44" s="8" t="s">
        <v>81</v>
      </c>
      <c r="D44" s="1"/>
      <c r="E44" s="3"/>
      <c r="F44" s="14"/>
      <c r="G44" s="5"/>
      <c r="I44" s="3"/>
      <c r="J44" s="3"/>
      <c r="K44" s="3"/>
      <c r="L44" s="103"/>
      <c r="M44" s="108"/>
      <c r="N44" s="9"/>
    </row>
    <row r="45" spans="1:14" ht="50.4" customHeight="1">
      <c r="A45" s="16">
        <v>9</v>
      </c>
      <c r="B45" s="33" t="s">
        <v>162</v>
      </c>
      <c r="C45" s="33" t="s">
        <v>163</v>
      </c>
      <c r="D45" s="9" t="s">
        <v>60</v>
      </c>
      <c r="E45" s="3">
        <f>SUM(I45:N45)</f>
        <v>165</v>
      </c>
      <c r="F45" s="13">
        <v>225</v>
      </c>
      <c r="G45" s="5">
        <f t="shared" ref="G45" si="15">+E45*F45</f>
        <v>37125</v>
      </c>
      <c r="I45" s="9"/>
      <c r="J45" s="9">
        <v>165</v>
      </c>
      <c r="K45" s="9"/>
      <c r="L45" s="103"/>
      <c r="M45" s="108"/>
      <c r="N45" s="9"/>
    </row>
    <row r="46" spans="1:14">
      <c r="A46" s="16"/>
      <c r="B46" s="33"/>
      <c r="D46" s="9"/>
      <c r="E46" s="3"/>
      <c r="F46" s="13"/>
      <c r="G46" s="5"/>
      <c r="I46" s="9"/>
      <c r="J46" s="9"/>
      <c r="K46" s="9"/>
      <c r="L46" s="103"/>
      <c r="M46" s="108"/>
      <c r="N46" s="9"/>
    </row>
    <row r="47" spans="1:14" ht="13.95" customHeight="1">
      <c r="A47" s="1"/>
      <c r="B47" s="2"/>
      <c r="C47" s="8"/>
      <c r="D47" s="9"/>
      <c r="E47" s="3"/>
      <c r="F47" s="4"/>
      <c r="G47" s="5"/>
      <c r="I47" s="9"/>
      <c r="J47" s="9"/>
      <c r="K47" s="9"/>
      <c r="L47" s="103"/>
      <c r="M47" s="108"/>
      <c r="N47" s="9"/>
    </row>
    <row r="48" spans="1:14" ht="20.100000000000001" customHeight="1">
      <c r="A48" s="149" t="s">
        <v>66</v>
      </c>
      <c r="B48" s="150"/>
      <c r="C48" s="150"/>
      <c r="D48" s="150"/>
      <c r="E48" s="150"/>
      <c r="F48" s="151"/>
      <c r="G48" s="116">
        <f>SUM(G8:G47)</f>
        <v>37125</v>
      </c>
      <c r="I48" s="9"/>
      <c r="J48" s="9"/>
      <c r="K48" s="9"/>
      <c r="L48" s="103"/>
      <c r="M48" s="108"/>
      <c r="N48" s="9"/>
    </row>
    <row r="49" spans="1:14">
      <c r="A49" s="39"/>
      <c r="B49" s="39"/>
      <c r="C49" s="39"/>
      <c r="D49" s="39"/>
      <c r="E49" s="39"/>
      <c r="F49" s="39"/>
      <c r="G49" s="113"/>
      <c r="I49" s="9"/>
      <c r="J49" s="9"/>
      <c r="K49" s="9"/>
      <c r="L49" s="103"/>
      <c r="M49" s="108"/>
      <c r="N49" s="9"/>
    </row>
    <row r="50" spans="1:14" ht="13.95" customHeight="1">
      <c r="A50" s="39"/>
      <c r="B50" s="39"/>
      <c r="C50" s="39"/>
      <c r="D50" s="39"/>
      <c r="E50" s="39"/>
      <c r="F50" s="39"/>
      <c r="G50" s="113"/>
      <c r="I50" s="9"/>
      <c r="J50" s="9"/>
      <c r="K50" s="9"/>
      <c r="L50" s="103"/>
      <c r="M50" s="108"/>
      <c r="N50" s="9"/>
    </row>
    <row r="51" spans="1:14" ht="24" customHeight="1">
      <c r="A51" s="44" t="s">
        <v>8</v>
      </c>
      <c r="B51" s="48" t="s">
        <v>9</v>
      </c>
      <c r="C51" s="44" t="s">
        <v>10</v>
      </c>
      <c r="D51" s="48" t="s">
        <v>11</v>
      </c>
      <c r="E51" s="48" t="s">
        <v>59</v>
      </c>
      <c r="F51" s="49" t="s">
        <v>12</v>
      </c>
      <c r="G51" s="111" t="s">
        <v>13</v>
      </c>
      <c r="I51" s="9"/>
      <c r="J51" s="9"/>
      <c r="K51" s="9"/>
      <c r="L51" s="103"/>
      <c r="M51" s="108"/>
      <c r="N51" s="9"/>
    </row>
    <row r="52" spans="1:14" ht="20.100000000000001" customHeight="1">
      <c r="A52" s="149" t="s">
        <v>67</v>
      </c>
      <c r="B52" s="150"/>
      <c r="C52" s="150"/>
      <c r="D52" s="150"/>
      <c r="E52" s="150"/>
      <c r="F52" s="151"/>
      <c r="G52" s="116">
        <f>+G48</f>
        <v>37125</v>
      </c>
      <c r="I52" s="9"/>
      <c r="J52" s="9"/>
      <c r="K52" s="9"/>
      <c r="L52" s="103"/>
      <c r="M52" s="108"/>
      <c r="N52" s="9"/>
    </row>
    <row r="53" spans="1:14" ht="9" customHeight="1">
      <c r="A53" s="1"/>
      <c r="B53" s="2"/>
      <c r="C53" s="8"/>
      <c r="D53" s="9"/>
      <c r="E53" s="3"/>
      <c r="F53" s="4"/>
      <c r="G53" s="5"/>
      <c r="I53" s="3"/>
      <c r="J53" s="3"/>
      <c r="K53" s="3"/>
      <c r="L53" s="103"/>
      <c r="M53" s="108"/>
      <c r="N53" s="9"/>
    </row>
    <row r="54" spans="1:14" ht="13.95" customHeight="1">
      <c r="A54" s="1"/>
      <c r="B54" s="2" t="s">
        <v>173</v>
      </c>
      <c r="C54" s="31" t="s">
        <v>79</v>
      </c>
      <c r="D54" s="1"/>
      <c r="E54" s="3"/>
      <c r="F54" s="4"/>
      <c r="G54" s="5"/>
      <c r="I54" s="3"/>
      <c r="J54" s="3"/>
      <c r="K54" s="3"/>
      <c r="L54" s="103"/>
      <c r="M54" s="108"/>
      <c r="N54" s="9"/>
    </row>
    <row r="55" spans="1:14" ht="13.95" customHeight="1">
      <c r="A55" s="1"/>
      <c r="B55" s="2"/>
      <c r="C55" s="8" t="s">
        <v>81</v>
      </c>
      <c r="D55" s="1"/>
      <c r="E55" s="3"/>
      <c r="F55" s="4"/>
      <c r="G55" s="5"/>
      <c r="I55" s="3"/>
      <c r="J55" s="3"/>
      <c r="K55" s="3"/>
      <c r="L55" s="103"/>
      <c r="M55" s="108"/>
      <c r="N55" s="9"/>
    </row>
    <row r="56" spans="1:14" ht="13.95" customHeight="1">
      <c r="A56" s="1"/>
      <c r="B56" s="1" t="s">
        <v>87</v>
      </c>
      <c r="C56" s="37" t="s">
        <v>0</v>
      </c>
      <c r="D56" s="1"/>
      <c r="E56" s="3"/>
      <c r="F56" s="4"/>
      <c r="G56" s="5"/>
      <c r="I56" s="3"/>
      <c r="J56" s="3"/>
      <c r="K56" s="3"/>
      <c r="L56" s="103"/>
      <c r="M56" s="108"/>
      <c r="N56" s="9"/>
    </row>
    <row r="57" spans="1:14" ht="13.95" customHeight="1">
      <c r="A57" s="1"/>
      <c r="B57" s="1"/>
      <c r="C57" s="33"/>
      <c r="D57" s="1"/>
      <c r="E57" s="3"/>
      <c r="F57" s="4"/>
      <c r="G57" s="5"/>
      <c r="I57" s="3"/>
      <c r="J57" s="3"/>
      <c r="K57" s="3"/>
      <c r="L57" s="103"/>
      <c r="M57" s="108"/>
      <c r="N57" s="9"/>
    </row>
    <row r="58" spans="1:14" ht="22.95" customHeight="1">
      <c r="A58" s="1"/>
      <c r="B58" s="1"/>
      <c r="C58" s="33" t="s">
        <v>61</v>
      </c>
      <c r="D58" s="1"/>
      <c r="E58" s="3"/>
      <c r="F58" s="4"/>
      <c r="G58" s="5"/>
      <c r="I58" s="3"/>
      <c r="J58" s="3"/>
      <c r="K58" s="3"/>
      <c r="L58" s="103"/>
      <c r="M58" s="108"/>
      <c r="N58" s="9"/>
    </row>
    <row r="59" spans="1:14" ht="13.95" customHeight="1">
      <c r="A59" s="1"/>
      <c r="B59" s="1"/>
      <c r="C59" s="6"/>
      <c r="D59" s="1"/>
      <c r="E59" s="3"/>
      <c r="F59" s="4"/>
      <c r="G59" s="5"/>
      <c r="I59" s="3"/>
      <c r="J59" s="3"/>
      <c r="K59" s="3"/>
      <c r="L59" s="103"/>
      <c r="M59" s="108"/>
      <c r="N59" s="9"/>
    </row>
    <row r="60" spans="1:14" ht="13.95" customHeight="1">
      <c r="A60" s="1">
        <v>10</v>
      </c>
      <c r="B60" s="1"/>
      <c r="C60" s="33" t="s">
        <v>14</v>
      </c>
      <c r="D60" s="1" t="s">
        <v>51</v>
      </c>
      <c r="E60" s="3">
        <f>SUM(I60:N60)</f>
        <v>50</v>
      </c>
      <c r="F60" s="13">
        <v>175</v>
      </c>
      <c r="G60" s="5">
        <f t="shared" ref="G60" si="16">+E60*F60</f>
        <v>8750</v>
      </c>
      <c r="I60" s="3">
        <v>50</v>
      </c>
      <c r="J60" s="3"/>
      <c r="K60" s="3"/>
      <c r="L60" s="103"/>
      <c r="M60" s="108"/>
      <c r="N60" s="9"/>
    </row>
    <row r="61" spans="1:14" ht="9.75" customHeight="1">
      <c r="A61" s="1"/>
      <c r="B61" s="1"/>
      <c r="C61" s="33"/>
      <c r="D61" s="1"/>
      <c r="E61" s="3"/>
      <c r="F61" s="13"/>
      <c r="G61" s="5"/>
      <c r="I61" s="3"/>
      <c r="J61" s="3"/>
      <c r="K61" s="3"/>
      <c r="L61" s="103"/>
      <c r="M61" s="108"/>
      <c r="N61" s="9"/>
    </row>
    <row r="62" spans="1:14" ht="13.95" customHeight="1">
      <c r="A62" s="1"/>
      <c r="B62" s="1"/>
      <c r="C62" s="37" t="s">
        <v>111</v>
      </c>
      <c r="D62" s="1"/>
      <c r="E62" s="3"/>
      <c r="F62" s="13"/>
      <c r="G62" s="5"/>
      <c r="I62" s="3"/>
      <c r="J62" s="3"/>
      <c r="K62" s="3"/>
      <c r="L62" s="103"/>
      <c r="M62" s="108"/>
      <c r="N62" s="9"/>
    </row>
    <row r="63" spans="1:14" ht="9" customHeight="1">
      <c r="A63" s="1"/>
      <c r="B63" s="1"/>
      <c r="C63" s="33"/>
      <c r="D63" s="1"/>
      <c r="E63" s="3"/>
      <c r="F63" s="13"/>
      <c r="G63" s="5"/>
      <c r="I63" s="3"/>
      <c r="J63" s="3"/>
      <c r="K63" s="3"/>
      <c r="L63" s="103"/>
      <c r="M63" s="108"/>
      <c r="N63" s="9"/>
    </row>
    <row r="64" spans="1:14" ht="28.95" customHeight="1">
      <c r="A64" s="1">
        <v>11</v>
      </c>
      <c r="B64" s="1"/>
      <c r="C64" s="33" t="s">
        <v>54</v>
      </c>
      <c r="D64" s="1" t="s">
        <v>51</v>
      </c>
      <c r="E64" s="3">
        <f>SUM(I64:N64)</f>
        <v>0</v>
      </c>
      <c r="F64" s="13">
        <v>950</v>
      </c>
      <c r="G64" s="5">
        <f t="shared" ref="G64" si="17">+E64*F64</f>
        <v>0</v>
      </c>
      <c r="I64" s="3">
        <v>0</v>
      </c>
      <c r="J64" s="3"/>
      <c r="K64" s="3"/>
      <c r="L64" s="103"/>
      <c r="M64" s="108"/>
      <c r="N64" s="9"/>
    </row>
    <row r="65" spans="1:14" ht="13.95" customHeight="1">
      <c r="A65" s="1"/>
      <c r="B65" s="1"/>
      <c r="C65" s="33"/>
      <c r="D65" s="1"/>
      <c r="E65" s="3"/>
      <c r="F65" s="13"/>
      <c r="G65" s="5"/>
      <c r="I65" s="3"/>
      <c r="J65" s="3"/>
      <c r="K65" s="3"/>
      <c r="L65" s="103"/>
      <c r="M65" s="108"/>
      <c r="N65" s="9"/>
    </row>
    <row r="66" spans="1:14" ht="22.2" customHeight="1">
      <c r="A66" s="1"/>
      <c r="B66" s="1"/>
      <c r="C66" s="33" t="s">
        <v>57</v>
      </c>
      <c r="D66" s="1"/>
      <c r="E66" s="3"/>
      <c r="F66" s="13"/>
      <c r="G66" s="5"/>
      <c r="I66" s="3"/>
      <c r="J66" s="3"/>
      <c r="K66" s="3"/>
      <c r="L66" s="103"/>
      <c r="M66" s="108"/>
      <c r="N66" s="9"/>
    </row>
    <row r="67" spans="1:14" ht="13.95" customHeight="1">
      <c r="A67" s="1"/>
      <c r="B67" s="2"/>
      <c r="C67" s="8"/>
      <c r="D67" s="9"/>
      <c r="E67" s="3"/>
      <c r="F67" s="13"/>
      <c r="G67" s="5"/>
      <c r="I67" s="3"/>
      <c r="J67" s="3"/>
      <c r="K67" s="3"/>
      <c r="L67" s="103"/>
      <c r="M67" s="108"/>
      <c r="N67" s="9"/>
    </row>
    <row r="68" spans="1:14" ht="13.95" customHeight="1">
      <c r="A68" s="1"/>
      <c r="B68" s="1" t="s">
        <v>83</v>
      </c>
      <c r="C68" s="10" t="s">
        <v>25</v>
      </c>
      <c r="D68" s="9"/>
      <c r="E68" s="3"/>
      <c r="F68" s="13"/>
      <c r="G68" s="5"/>
      <c r="I68" s="3"/>
      <c r="J68" s="3"/>
      <c r="K68" s="3"/>
      <c r="L68" s="103"/>
      <c r="M68" s="108"/>
      <c r="N68" s="9"/>
    </row>
    <row r="69" spans="1:14" ht="13.95" customHeight="1">
      <c r="A69" s="1"/>
      <c r="B69" s="2"/>
      <c r="C69" s="8"/>
      <c r="D69" s="9"/>
      <c r="E69" s="3"/>
      <c r="F69" s="13"/>
      <c r="G69" s="5"/>
      <c r="I69" s="3"/>
      <c r="J69" s="3"/>
      <c r="K69" s="3"/>
      <c r="L69" s="103"/>
      <c r="M69" s="108"/>
      <c r="N69" s="9"/>
    </row>
    <row r="70" spans="1:14" ht="23.4" customHeight="1">
      <c r="A70" s="1"/>
      <c r="B70" s="2"/>
      <c r="C70" s="8" t="s">
        <v>109</v>
      </c>
      <c r="D70" s="9"/>
      <c r="E70" s="3"/>
      <c r="F70" s="13"/>
      <c r="G70" s="5"/>
      <c r="I70" s="3"/>
      <c r="J70" s="3"/>
      <c r="K70" s="3"/>
      <c r="L70" s="103"/>
      <c r="M70" s="108"/>
      <c r="N70" s="9"/>
    </row>
    <row r="71" spans="1:14" ht="13.95" customHeight="1">
      <c r="A71" s="1"/>
      <c r="B71" s="2"/>
      <c r="C71" s="8"/>
      <c r="D71" s="9"/>
      <c r="E71" s="3"/>
      <c r="F71" s="13"/>
      <c r="G71" s="5"/>
      <c r="I71" s="3"/>
      <c r="J71" s="3"/>
      <c r="K71" s="3"/>
      <c r="L71" s="103"/>
      <c r="M71" s="108"/>
      <c r="N71" s="9"/>
    </row>
    <row r="72" spans="1:14" ht="33.6" customHeight="1">
      <c r="A72" s="1">
        <v>12</v>
      </c>
      <c r="B72" s="2"/>
      <c r="C72" s="8" t="s">
        <v>108</v>
      </c>
      <c r="D72" s="9" t="s">
        <v>51</v>
      </c>
      <c r="E72" s="3">
        <f>SUM(I72:N72)</f>
        <v>26</v>
      </c>
      <c r="F72" s="13">
        <v>725</v>
      </c>
      <c r="G72" s="5">
        <f t="shared" ref="G72" si="18">+E72*F72</f>
        <v>18850</v>
      </c>
      <c r="I72" s="3">
        <v>26</v>
      </c>
      <c r="J72" s="3"/>
      <c r="K72" s="3"/>
      <c r="L72" s="103"/>
      <c r="M72" s="108"/>
      <c r="N72" s="9"/>
    </row>
    <row r="73" spans="1:14" ht="13.95" customHeight="1">
      <c r="A73" s="1"/>
      <c r="B73" s="2"/>
      <c r="C73" s="8"/>
      <c r="D73" s="9"/>
      <c r="E73" s="3"/>
      <c r="F73" s="13"/>
      <c r="G73" s="5"/>
      <c r="I73" s="3"/>
      <c r="J73" s="3"/>
      <c r="K73" s="3"/>
      <c r="L73" s="103"/>
      <c r="M73" s="108"/>
      <c r="N73" s="9"/>
    </row>
    <row r="74" spans="1:14" ht="21.6" customHeight="1">
      <c r="A74" s="1"/>
      <c r="B74" s="2" t="s">
        <v>101</v>
      </c>
      <c r="C74" s="34" t="s">
        <v>155</v>
      </c>
      <c r="D74" s="1"/>
      <c r="E74" s="3"/>
      <c r="F74" s="13"/>
      <c r="G74" s="5"/>
      <c r="I74" s="3"/>
      <c r="J74" s="3"/>
      <c r="K74" s="3"/>
      <c r="L74" s="103"/>
      <c r="M74" s="108"/>
      <c r="N74" s="9"/>
    </row>
    <row r="75" spans="1:14" ht="13.95" customHeight="1">
      <c r="A75" s="1"/>
      <c r="B75" s="1"/>
      <c r="C75" s="33"/>
      <c r="D75" s="1"/>
      <c r="E75" s="3"/>
      <c r="F75" s="13"/>
      <c r="G75" s="5"/>
      <c r="I75" s="3"/>
      <c r="J75" s="3"/>
      <c r="K75" s="3"/>
      <c r="L75" s="103"/>
      <c r="M75" s="108"/>
      <c r="N75" s="9"/>
    </row>
    <row r="76" spans="1:14" ht="13.95" customHeight="1">
      <c r="A76" s="1"/>
      <c r="B76" s="1" t="s">
        <v>88</v>
      </c>
      <c r="C76" s="32" t="s">
        <v>15</v>
      </c>
      <c r="D76" s="1"/>
      <c r="E76" s="3"/>
      <c r="F76" s="13"/>
      <c r="G76" s="5"/>
      <c r="I76" s="3"/>
      <c r="J76" s="3"/>
      <c r="K76" s="3"/>
      <c r="L76" s="103"/>
      <c r="M76" s="108"/>
      <c r="N76" s="9"/>
    </row>
    <row r="77" spans="1:14" ht="13.95" customHeight="1">
      <c r="A77" s="1"/>
      <c r="B77" s="1"/>
      <c r="C77" s="33"/>
      <c r="D77" s="1"/>
      <c r="E77" s="3"/>
      <c r="F77" s="13"/>
      <c r="G77" s="5"/>
      <c r="I77" s="3"/>
      <c r="J77" s="3"/>
      <c r="K77" s="3"/>
      <c r="L77" s="103"/>
      <c r="M77" s="108"/>
      <c r="N77" s="9"/>
    </row>
    <row r="78" spans="1:14" ht="13.95" customHeight="1">
      <c r="A78" s="1"/>
      <c r="B78" s="1" t="s">
        <v>82</v>
      </c>
      <c r="C78" s="34" t="s">
        <v>16</v>
      </c>
      <c r="D78" s="1"/>
      <c r="E78" s="3"/>
      <c r="F78" s="13"/>
      <c r="G78" s="5"/>
      <c r="I78" s="3"/>
      <c r="J78" s="3"/>
      <c r="K78" s="3"/>
      <c r="L78" s="103"/>
      <c r="M78" s="108"/>
      <c r="N78" s="9"/>
    </row>
    <row r="79" spans="1:14" ht="13.95" customHeight="1">
      <c r="A79" s="1"/>
      <c r="B79" s="1"/>
      <c r="C79" s="33"/>
      <c r="D79" s="1"/>
      <c r="E79" s="3"/>
      <c r="F79" s="13"/>
      <c r="G79" s="5"/>
      <c r="I79" s="3"/>
      <c r="J79" s="3"/>
      <c r="K79" s="3"/>
      <c r="L79" s="103"/>
      <c r="M79" s="108"/>
      <c r="N79" s="9"/>
    </row>
    <row r="80" spans="1:14" ht="13.95" customHeight="1">
      <c r="A80" s="1"/>
      <c r="B80" s="1"/>
      <c r="C80" s="37" t="s">
        <v>17</v>
      </c>
      <c r="D80" s="1"/>
      <c r="E80" s="3"/>
      <c r="F80" s="13"/>
      <c r="G80" s="5"/>
      <c r="I80" s="3"/>
      <c r="J80" s="3"/>
      <c r="K80" s="3"/>
      <c r="L80" s="103"/>
      <c r="M80" s="108"/>
      <c r="N80" s="9"/>
    </row>
    <row r="81" spans="1:14" ht="13.95" customHeight="1">
      <c r="A81" s="1"/>
      <c r="B81" s="1"/>
      <c r="C81" s="37"/>
      <c r="D81" s="1"/>
      <c r="E81" s="3"/>
      <c r="F81" s="13"/>
      <c r="G81" s="5"/>
      <c r="I81" s="3"/>
      <c r="J81" s="3"/>
      <c r="K81" s="3"/>
      <c r="L81" s="103"/>
      <c r="M81" s="108"/>
      <c r="N81" s="9"/>
    </row>
    <row r="82" spans="1:14" ht="13.95" customHeight="1">
      <c r="A82" s="1">
        <v>13</v>
      </c>
      <c r="B82" s="1"/>
      <c r="C82" s="33" t="s">
        <v>28</v>
      </c>
      <c r="D82" s="1" t="s">
        <v>60</v>
      </c>
      <c r="E82" s="3">
        <f>SUM(I82:N82)</f>
        <v>60</v>
      </c>
      <c r="F82" s="13">
        <v>475</v>
      </c>
      <c r="G82" s="5">
        <f t="shared" ref="G82" si="19">+E82*F82</f>
        <v>28500</v>
      </c>
      <c r="I82" s="3">
        <v>60</v>
      </c>
      <c r="J82" s="3"/>
      <c r="K82" s="3"/>
      <c r="L82" s="103"/>
      <c r="M82" s="108"/>
      <c r="N82" s="9"/>
    </row>
    <row r="83" spans="1:14" ht="13.95" customHeight="1">
      <c r="A83" s="1"/>
      <c r="B83" s="1"/>
      <c r="C83" s="33"/>
      <c r="D83" s="1"/>
      <c r="E83" s="3"/>
      <c r="F83" s="13"/>
      <c r="G83" s="5"/>
      <c r="I83" s="3"/>
      <c r="J83" s="3"/>
      <c r="K83" s="3"/>
      <c r="L83" s="103"/>
      <c r="M83" s="108"/>
      <c r="N83" s="9"/>
    </row>
    <row r="84" spans="1:14" ht="19.95" customHeight="1">
      <c r="A84" s="1"/>
      <c r="B84" s="1" t="s">
        <v>86</v>
      </c>
      <c r="C84" s="34" t="s">
        <v>26</v>
      </c>
      <c r="D84" s="1"/>
      <c r="E84" s="3"/>
      <c r="F84" s="13"/>
      <c r="G84" s="5"/>
      <c r="I84" s="3"/>
      <c r="J84" s="3"/>
      <c r="K84" s="3"/>
      <c r="L84" s="103"/>
      <c r="M84" s="108"/>
      <c r="N84" s="9"/>
    </row>
    <row r="85" spans="1:14" ht="13.95" customHeight="1">
      <c r="A85" s="1"/>
      <c r="B85" s="1"/>
      <c r="C85" s="33"/>
      <c r="D85" s="1"/>
      <c r="E85" s="3"/>
      <c r="F85" s="13"/>
      <c r="G85" s="5"/>
      <c r="I85" s="3"/>
      <c r="J85" s="3"/>
      <c r="K85" s="3"/>
      <c r="L85" s="103"/>
      <c r="M85" s="108"/>
      <c r="N85" s="9"/>
    </row>
    <row r="86" spans="1:14" ht="13.95" customHeight="1">
      <c r="A86" s="1"/>
      <c r="B86" s="1"/>
      <c r="C86" s="37" t="s">
        <v>17</v>
      </c>
      <c r="D86" s="1"/>
      <c r="E86" s="3"/>
      <c r="F86" s="13"/>
      <c r="G86" s="5"/>
      <c r="I86" s="3"/>
      <c r="J86" s="3"/>
      <c r="K86" s="3"/>
      <c r="L86" s="103"/>
      <c r="M86" s="108"/>
      <c r="N86" s="9"/>
    </row>
    <row r="87" spans="1:14" ht="13.95" customHeight="1">
      <c r="A87" s="1"/>
      <c r="B87" s="1"/>
      <c r="C87" s="33"/>
      <c r="D87" s="1"/>
      <c r="E87" s="3"/>
      <c r="F87" s="13"/>
      <c r="G87" s="5"/>
      <c r="I87" s="3"/>
      <c r="J87" s="3"/>
      <c r="K87" s="3"/>
      <c r="L87" s="103"/>
      <c r="M87" s="108"/>
      <c r="N87" s="9"/>
    </row>
    <row r="88" spans="1:14" ht="13.95" customHeight="1">
      <c r="A88" s="1">
        <v>14</v>
      </c>
      <c r="B88" s="1"/>
      <c r="C88" s="33" t="s">
        <v>201</v>
      </c>
      <c r="D88" s="1" t="s">
        <v>60</v>
      </c>
      <c r="E88" s="3">
        <f>SUM(I88:N88)</f>
        <v>17</v>
      </c>
      <c r="F88" s="13">
        <v>750</v>
      </c>
      <c r="G88" s="5">
        <f t="shared" ref="G88" si="20">+E88*F88</f>
        <v>12750</v>
      </c>
      <c r="I88" s="3">
        <v>17</v>
      </c>
      <c r="J88" s="3"/>
      <c r="K88" s="3"/>
      <c r="L88" s="103"/>
      <c r="M88" s="108"/>
      <c r="N88" s="9"/>
    </row>
    <row r="89" spans="1:14" ht="13.95" customHeight="1">
      <c r="A89" s="1"/>
      <c r="B89" s="1"/>
      <c r="C89" s="33"/>
      <c r="D89" s="1"/>
      <c r="E89" s="3"/>
      <c r="F89" s="13"/>
      <c r="G89" s="5"/>
      <c r="I89" s="3"/>
      <c r="J89" s="3"/>
      <c r="K89" s="3"/>
      <c r="L89" s="103"/>
      <c r="M89" s="108"/>
      <c r="N89" s="9"/>
    </row>
    <row r="90" spans="1:14" ht="13.95" customHeight="1">
      <c r="A90" s="1">
        <v>15</v>
      </c>
      <c r="B90" s="1"/>
      <c r="C90" s="33" t="s">
        <v>224</v>
      </c>
      <c r="D90" s="1" t="s">
        <v>60</v>
      </c>
      <c r="E90" s="3">
        <f>SUM(I90:N90)</f>
        <v>0</v>
      </c>
      <c r="F90" s="13">
        <v>635</v>
      </c>
      <c r="G90" s="5">
        <f t="shared" ref="G90" si="21">+E90*F90</f>
        <v>0</v>
      </c>
      <c r="I90" s="3"/>
      <c r="J90" s="3"/>
      <c r="K90" s="3"/>
      <c r="L90" s="103"/>
      <c r="M90" s="108"/>
      <c r="N90" s="9"/>
    </row>
    <row r="91" spans="1:14" ht="13.95" customHeight="1">
      <c r="A91" s="1"/>
      <c r="B91" s="1"/>
      <c r="C91" s="33"/>
      <c r="D91" s="1"/>
      <c r="E91" s="3"/>
      <c r="F91" s="13"/>
      <c r="G91" s="5"/>
      <c r="I91" s="3"/>
      <c r="J91" s="3"/>
      <c r="K91" s="3"/>
      <c r="L91" s="103"/>
      <c r="M91" s="108"/>
      <c r="N91" s="9"/>
    </row>
    <row r="92" spans="1:14" ht="13.95" customHeight="1">
      <c r="A92" s="1">
        <v>16</v>
      </c>
      <c r="B92" s="1"/>
      <c r="C92" s="33" t="s">
        <v>39</v>
      </c>
      <c r="D92" s="1" t="s">
        <v>60</v>
      </c>
      <c r="E92" s="3">
        <f>SUM(I92:N92)</f>
        <v>0</v>
      </c>
      <c r="F92" s="13">
        <v>850</v>
      </c>
      <c r="G92" s="5">
        <f t="shared" ref="G92" si="22">+E92*F92</f>
        <v>0</v>
      </c>
      <c r="I92" s="3"/>
      <c r="J92" s="3"/>
      <c r="K92" s="3"/>
      <c r="L92" s="103"/>
      <c r="M92" s="108"/>
      <c r="N92" s="9"/>
    </row>
    <row r="93" spans="1:14" ht="13.95" customHeight="1">
      <c r="A93" s="1"/>
      <c r="B93" s="1"/>
      <c r="C93" s="33"/>
      <c r="D93" s="1"/>
      <c r="E93" s="3"/>
      <c r="F93" s="13"/>
      <c r="G93" s="5"/>
      <c r="I93" s="3"/>
      <c r="J93" s="3"/>
      <c r="K93" s="3"/>
      <c r="L93" s="103"/>
      <c r="M93" s="108"/>
      <c r="N93" s="9"/>
    </row>
    <row r="94" spans="1:14" ht="13.95" customHeight="1">
      <c r="A94" s="1">
        <v>17</v>
      </c>
      <c r="B94" s="1"/>
      <c r="C94" s="33" t="s">
        <v>247</v>
      </c>
      <c r="D94" s="1" t="s">
        <v>60</v>
      </c>
      <c r="E94" s="3">
        <f>SUM(I94:N94)</f>
        <v>0</v>
      </c>
      <c r="F94" s="13">
        <v>775</v>
      </c>
      <c r="G94" s="5">
        <f t="shared" ref="G94" si="23">+E94*F94</f>
        <v>0</v>
      </c>
      <c r="I94" s="3"/>
      <c r="J94" s="3"/>
      <c r="K94" s="3"/>
      <c r="L94" s="103"/>
      <c r="M94" s="108"/>
      <c r="N94" s="9"/>
    </row>
    <row r="95" spans="1:14" ht="13.95" customHeight="1">
      <c r="A95" s="1"/>
      <c r="B95" s="1"/>
      <c r="C95" s="33"/>
      <c r="D95" s="1"/>
      <c r="E95" s="3"/>
      <c r="F95" s="4"/>
      <c r="G95" s="5"/>
      <c r="I95" s="3"/>
      <c r="J95" s="3"/>
      <c r="K95" s="3"/>
      <c r="L95" s="103"/>
      <c r="M95" s="108"/>
      <c r="N95" s="9"/>
    </row>
    <row r="96" spans="1:14" ht="20.100000000000001" customHeight="1">
      <c r="A96" s="149" t="s">
        <v>66</v>
      </c>
      <c r="B96" s="150"/>
      <c r="C96" s="150"/>
      <c r="D96" s="150"/>
      <c r="E96" s="150"/>
      <c r="F96" s="151"/>
      <c r="G96" s="116">
        <f>SUM(G52:G95)</f>
        <v>105975</v>
      </c>
      <c r="I96" s="9"/>
      <c r="J96" s="9"/>
      <c r="K96" s="9"/>
      <c r="L96" s="103"/>
      <c r="M96" s="108"/>
      <c r="N96" s="9"/>
    </row>
    <row r="97" spans="1:14" ht="13.95" customHeight="1">
      <c r="A97" s="39"/>
      <c r="B97" s="39"/>
      <c r="C97" s="39"/>
      <c r="D97" s="39"/>
      <c r="E97" s="39"/>
      <c r="F97" s="39"/>
      <c r="G97" s="113"/>
      <c r="I97" s="9"/>
      <c r="J97" s="9"/>
      <c r="K97" s="9"/>
      <c r="L97" s="103"/>
      <c r="M97" s="108"/>
      <c r="N97" s="9"/>
    </row>
    <row r="98" spans="1:14" ht="13.95" customHeight="1">
      <c r="A98" s="39"/>
      <c r="B98" s="39"/>
      <c r="C98" s="39"/>
      <c r="D98" s="39"/>
      <c r="E98" s="39"/>
      <c r="F98" s="39"/>
      <c r="G98" s="113"/>
      <c r="I98" s="9"/>
      <c r="J98" s="9"/>
      <c r="K98" s="9"/>
      <c r="L98" s="103"/>
      <c r="M98" s="108"/>
      <c r="N98" s="9"/>
    </row>
    <row r="99" spans="1:14" ht="22.2" customHeight="1">
      <c r="A99" s="44" t="s">
        <v>8</v>
      </c>
      <c r="B99" s="48" t="s">
        <v>9</v>
      </c>
      <c r="C99" s="44" t="s">
        <v>10</v>
      </c>
      <c r="D99" s="48" t="s">
        <v>11</v>
      </c>
      <c r="E99" s="48" t="s">
        <v>59</v>
      </c>
      <c r="F99" s="49" t="s">
        <v>12</v>
      </c>
      <c r="G99" s="111" t="s">
        <v>13</v>
      </c>
      <c r="I99" s="9"/>
      <c r="J99" s="9"/>
      <c r="K99" s="9"/>
      <c r="L99" s="103"/>
      <c r="M99" s="108"/>
      <c r="N99" s="9"/>
    </row>
    <row r="100" spans="1:14" ht="20.100000000000001" customHeight="1">
      <c r="A100" s="149" t="s">
        <v>67</v>
      </c>
      <c r="B100" s="150"/>
      <c r="C100" s="150"/>
      <c r="D100" s="150"/>
      <c r="E100" s="150"/>
      <c r="F100" s="151"/>
      <c r="G100" s="116">
        <f>+G96</f>
        <v>105975</v>
      </c>
      <c r="I100" s="9"/>
      <c r="J100" s="9"/>
      <c r="K100" s="9"/>
      <c r="L100" s="103"/>
      <c r="M100" s="108"/>
      <c r="N100" s="9"/>
    </row>
    <row r="101" spans="1:14" ht="13.95" customHeight="1">
      <c r="A101" s="1"/>
      <c r="B101" s="1"/>
      <c r="C101" s="33"/>
      <c r="D101" s="1"/>
      <c r="E101" s="3"/>
      <c r="F101" s="13"/>
      <c r="G101" s="5"/>
      <c r="I101" s="9"/>
      <c r="J101" s="9"/>
      <c r="K101" s="9"/>
      <c r="L101" s="103"/>
      <c r="M101" s="108"/>
      <c r="N101" s="9"/>
    </row>
    <row r="102" spans="1:14" ht="13.95" customHeight="1">
      <c r="A102" s="1"/>
      <c r="B102" s="1"/>
      <c r="C102" s="37" t="s">
        <v>248</v>
      </c>
      <c r="D102" s="1"/>
      <c r="E102" s="3"/>
      <c r="F102" s="13"/>
      <c r="G102" s="5"/>
      <c r="I102" s="3"/>
      <c r="J102" s="3"/>
      <c r="K102" s="3"/>
      <c r="L102" s="103"/>
      <c r="M102" s="108"/>
      <c r="N102" s="9"/>
    </row>
    <row r="103" spans="1:14" ht="13.95" customHeight="1">
      <c r="A103" s="1"/>
      <c r="B103" s="1"/>
      <c r="C103" s="33"/>
      <c r="D103" s="1"/>
      <c r="E103" s="3"/>
      <c r="F103" s="13"/>
      <c r="G103" s="5"/>
      <c r="I103" s="3"/>
      <c r="J103" s="3"/>
      <c r="K103" s="3"/>
      <c r="L103" s="103"/>
      <c r="M103" s="108"/>
      <c r="N103" s="9"/>
    </row>
    <row r="104" spans="1:14" ht="13.95" customHeight="1">
      <c r="A104" s="1">
        <v>18</v>
      </c>
      <c r="B104" s="1"/>
      <c r="C104" s="33" t="s">
        <v>249</v>
      </c>
      <c r="D104" s="1" t="s">
        <v>60</v>
      </c>
      <c r="E104" s="3">
        <f>SUM(I104:N104)</f>
        <v>0</v>
      </c>
      <c r="F104" s="13">
        <v>1150</v>
      </c>
      <c r="G104" s="5">
        <f t="shared" ref="G104" si="24">+E104*F104</f>
        <v>0</v>
      </c>
      <c r="I104" s="3"/>
      <c r="J104" s="3"/>
      <c r="K104" s="3"/>
      <c r="L104" s="103"/>
      <c r="M104" s="108"/>
      <c r="N104" s="9"/>
    </row>
    <row r="105" spans="1:14" ht="13.95" customHeight="1">
      <c r="A105" s="1"/>
      <c r="B105" s="1"/>
      <c r="C105" s="33"/>
      <c r="D105" s="1"/>
      <c r="E105" s="3"/>
      <c r="F105" s="13"/>
      <c r="G105" s="5"/>
      <c r="I105" s="9"/>
      <c r="J105" s="9"/>
      <c r="K105" s="9"/>
      <c r="L105" s="103"/>
      <c r="M105" s="108"/>
      <c r="N105" s="9"/>
    </row>
    <row r="106" spans="1:14" ht="13.95" customHeight="1">
      <c r="A106" s="1"/>
      <c r="B106" s="1" t="s">
        <v>89</v>
      </c>
      <c r="C106" s="32" t="s">
        <v>156</v>
      </c>
      <c r="D106" s="1"/>
      <c r="E106" s="3"/>
      <c r="F106" s="4"/>
      <c r="G106" s="5"/>
      <c r="I106" s="9"/>
      <c r="J106" s="9"/>
      <c r="K106" s="9"/>
      <c r="L106" s="103"/>
      <c r="M106" s="108"/>
      <c r="N106" s="9"/>
    </row>
    <row r="107" spans="1:14" ht="13.95" customHeight="1">
      <c r="A107" s="1"/>
      <c r="B107" s="1"/>
      <c r="C107" s="33"/>
      <c r="D107" s="1"/>
      <c r="E107" s="3"/>
      <c r="F107" s="4"/>
      <c r="G107" s="5"/>
      <c r="I107" s="9"/>
      <c r="J107" s="9"/>
      <c r="K107" s="9"/>
      <c r="L107" s="103"/>
      <c r="M107" s="108"/>
      <c r="N107" s="9"/>
    </row>
    <row r="108" spans="1:14" ht="13.95" customHeight="1">
      <c r="A108" s="1">
        <v>19</v>
      </c>
      <c r="B108" s="1"/>
      <c r="C108" s="47" t="s">
        <v>244</v>
      </c>
      <c r="D108" s="1" t="s">
        <v>1</v>
      </c>
      <c r="E108" s="3">
        <f>SUM(I108:N108)</f>
        <v>50</v>
      </c>
      <c r="F108" s="3">
        <v>135</v>
      </c>
      <c r="G108" s="5">
        <f t="shared" ref="G108" si="25">+E108*F108</f>
        <v>6750</v>
      </c>
      <c r="I108" s="3"/>
      <c r="J108" s="3">
        <v>50</v>
      </c>
      <c r="K108" s="3"/>
      <c r="L108" s="103"/>
      <c r="M108" s="108"/>
      <c r="N108" s="9"/>
    </row>
    <row r="109" spans="1:14" ht="13.95" customHeight="1">
      <c r="A109" s="1"/>
      <c r="B109" s="1"/>
      <c r="C109" s="33"/>
      <c r="D109" s="1"/>
      <c r="E109" s="3"/>
      <c r="F109" s="4"/>
      <c r="G109" s="5"/>
      <c r="I109" s="3"/>
      <c r="J109" s="3"/>
      <c r="K109" s="3"/>
      <c r="L109" s="103"/>
      <c r="M109" s="108"/>
      <c r="N109" s="9"/>
    </row>
    <row r="110" spans="1:14" ht="13.95" customHeight="1">
      <c r="A110" s="1"/>
      <c r="B110" s="1" t="s">
        <v>90</v>
      </c>
      <c r="C110" s="32" t="s">
        <v>36</v>
      </c>
      <c r="D110" s="1"/>
      <c r="E110" s="3"/>
      <c r="F110" s="4"/>
      <c r="G110" s="5"/>
      <c r="I110" s="3"/>
      <c r="J110" s="3"/>
      <c r="K110" s="3"/>
      <c r="L110" s="103"/>
      <c r="M110" s="108"/>
      <c r="N110" s="9"/>
    </row>
    <row r="111" spans="1:14" ht="13.95" customHeight="1">
      <c r="A111" s="1"/>
      <c r="B111" s="1"/>
      <c r="C111" s="33"/>
      <c r="D111" s="1"/>
      <c r="E111" s="3"/>
      <c r="F111" s="4"/>
      <c r="G111" s="5"/>
      <c r="I111" s="3"/>
      <c r="J111" s="3"/>
      <c r="K111" s="3"/>
      <c r="L111" s="103"/>
      <c r="M111" s="108"/>
      <c r="N111" s="9"/>
    </row>
    <row r="112" spans="1:14" ht="24" customHeight="1">
      <c r="A112" s="1"/>
      <c r="B112" s="1"/>
      <c r="C112" s="33" t="s">
        <v>225</v>
      </c>
      <c r="D112" s="1"/>
      <c r="E112" s="3"/>
      <c r="F112" s="4"/>
      <c r="G112" s="5"/>
      <c r="I112" s="3"/>
      <c r="J112" s="3"/>
      <c r="K112" s="3"/>
      <c r="L112" s="103"/>
      <c r="M112" s="108"/>
      <c r="N112" s="9"/>
    </row>
    <row r="113" spans="1:14" ht="13.95" customHeight="1">
      <c r="A113" s="1"/>
      <c r="B113" s="1"/>
      <c r="C113" s="33"/>
      <c r="D113" s="1"/>
      <c r="E113" s="3"/>
      <c r="F113" s="4"/>
      <c r="G113" s="5"/>
      <c r="I113" s="3"/>
      <c r="J113" s="3"/>
      <c r="K113" s="3"/>
      <c r="L113" s="103"/>
      <c r="M113" s="108"/>
      <c r="N113" s="9"/>
    </row>
    <row r="114" spans="1:14" ht="13.95" customHeight="1">
      <c r="A114" s="1">
        <v>20</v>
      </c>
      <c r="B114" s="1"/>
      <c r="C114" s="33" t="s">
        <v>37</v>
      </c>
      <c r="D114" s="1" t="s">
        <v>6</v>
      </c>
      <c r="E114" s="3">
        <f>SUM(I114:N114)</f>
        <v>40</v>
      </c>
      <c r="F114" s="3">
        <v>75</v>
      </c>
      <c r="G114" s="5">
        <f t="shared" ref="G114" si="26">+E114*F114</f>
        <v>3000</v>
      </c>
      <c r="I114" s="3">
        <v>40</v>
      </c>
      <c r="J114" s="3"/>
      <c r="K114" s="3"/>
      <c r="L114" s="103"/>
      <c r="M114" s="108"/>
      <c r="N114" s="9"/>
    </row>
    <row r="115" spans="1:14" ht="13.95" customHeight="1">
      <c r="A115" s="1"/>
      <c r="B115" s="1"/>
      <c r="C115" s="33"/>
      <c r="D115" s="1"/>
      <c r="E115" s="3"/>
      <c r="F115" s="3"/>
      <c r="G115" s="5"/>
      <c r="I115" s="3"/>
      <c r="J115" s="3"/>
      <c r="K115" s="3"/>
      <c r="L115" s="103"/>
      <c r="M115" s="108"/>
      <c r="N115" s="9"/>
    </row>
    <row r="116" spans="1:14" ht="13.95" customHeight="1">
      <c r="A116" s="1"/>
      <c r="B116" s="1"/>
      <c r="C116" s="33" t="s">
        <v>226</v>
      </c>
      <c r="D116" s="1" t="s">
        <v>6</v>
      </c>
      <c r="E116" s="3">
        <f>SUM(I116:N116)</f>
        <v>0</v>
      </c>
      <c r="F116" s="3">
        <v>275</v>
      </c>
      <c r="G116" s="5">
        <f t="shared" ref="G116" si="27">+E116*F116</f>
        <v>0</v>
      </c>
      <c r="I116" s="3"/>
      <c r="J116" s="3"/>
      <c r="K116" s="3"/>
      <c r="L116" s="103"/>
      <c r="M116" s="108"/>
      <c r="N116" s="9"/>
    </row>
    <row r="117" spans="1:14" ht="13.95" customHeight="1">
      <c r="A117" s="1"/>
      <c r="B117" s="1"/>
      <c r="D117" s="1"/>
      <c r="E117" s="3"/>
      <c r="F117" s="4"/>
      <c r="G117" s="5"/>
      <c r="I117" s="3"/>
      <c r="J117" s="3"/>
      <c r="K117" s="3"/>
      <c r="L117" s="103"/>
      <c r="M117" s="108"/>
      <c r="N117" s="9"/>
    </row>
    <row r="118" spans="1:14" ht="13.95" customHeight="1">
      <c r="A118" s="1"/>
      <c r="B118" s="1"/>
      <c r="C118" s="42" t="s">
        <v>104</v>
      </c>
      <c r="D118" s="1"/>
      <c r="E118" s="3"/>
      <c r="F118" s="4"/>
      <c r="G118" s="5"/>
      <c r="I118" s="3"/>
      <c r="J118" s="3"/>
      <c r="K118" s="3"/>
      <c r="L118" s="103"/>
      <c r="M118" s="108"/>
      <c r="N118" s="9"/>
    </row>
    <row r="119" spans="1:14" ht="13.95" customHeight="1">
      <c r="A119" s="1"/>
      <c r="B119" s="1"/>
      <c r="C119" s="6"/>
      <c r="D119" s="1"/>
      <c r="E119" s="3"/>
      <c r="F119" s="4"/>
      <c r="G119" s="5"/>
      <c r="I119" s="3"/>
      <c r="J119" s="3"/>
      <c r="K119" s="3"/>
      <c r="L119" s="103"/>
      <c r="M119" s="108"/>
      <c r="N119" s="9"/>
    </row>
    <row r="120" spans="1:14" ht="13.95" customHeight="1">
      <c r="A120" s="1">
        <f>A114+1</f>
        <v>21</v>
      </c>
      <c r="B120" s="1"/>
      <c r="C120" s="6" t="s">
        <v>106</v>
      </c>
      <c r="D120" s="1" t="s">
        <v>1</v>
      </c>
      <c r="E120" s="3">
        <f>SUM(I120:AG120)</f>
        <v>195</v>
      </c>
      <c r="F120" s="3">
        <v>36</v>
      </c>
      <c r="G120" s="5">
        <f t="shared" ref="G120" si="28">+E120*F120</f>
        <v>7020</v>
      </c>
      <c r="I120" s="3">
        <v>195</v>
      </c>
      <c r="J120" s="3"/>
      <c r="K120" s="3"/>
      <c r="L120" s="103"/>
      <c r="M120" s="108"/>
      <c r="N120" s="9"/>
    </row>
    <row r="121" spans="1:14" ht="13.95" customHeight="1">
      <c r="A121" s="1"/>
      <c r="B121" s="1"/>
      <c r="C121" s="6"/>
      <c r="D121" s="1"/>
      <c r="E121" s="3"/>
      <c r="F121" s="4"/>
      <c r="G121" s="5"/>
      <c r="I121" s="3"/>
      <c r="J121" s="3"/>
      <c r="K121" s="3"/>
      <c r="L121" s="103"/>
      <c r="M121" s="108"/>
      <c r="N121" s="9"/>
    </row>
    <row r="122" spans="1:14" ht="13.95" customHeight="1">
      <c r="A122" s="1"/>
      <c r="B122" s="2" t="s">
        <v>91</v>
      </c>
      <c r="C122" s="34" t="s">
        <v>18</v>
      </c>
      <c r="D122" s="1"/>
      <c r="E122" s="3"/>
      <c r="F122" s="4"/>
      <c r="G122" s="5"/>
      <c r="I122" s="3"/>
      <c r="J122" s="3"/>
      <c r="K122" s="3"/>
      <c r="L122" s="103"/>
      <c r="M122" s="108"/>
      <c r="N122" s="9"/>
    </row>
    <row r="123" spans="1:14" ht="13.95" customHeight="1">
      <c r="A123" s="1"/>
      <c r="B123" s="1"/>
      <c r="C123" s="33"/>
      <c r="D123" s="1"/>
      <c r="E123" s="3"/>
      <c r="F123" s="4"/>
      <c r="G123" s="5"/>
      <c r="I123" s="3"/>
      <c r="J123" s="3"/>
      <c r="K123" s="3"/>
      <c r="L123" s="103"/>
      <c r="M123" s="108"/>
      <c r="N123" s="9"/>
    </row>
    <row r="124" spans="1:14" ht="13.95" customHeight="1">
      <c r="A124" s="1"/>
      <c r="B124" s="1" t="s">
        <v>84</v>
      </c>
      <c r="C124" s="32" t="s">
        <v>19</v>
      </c>
      <c r="D124" s="1"/>
      <c r="E124" s="3"/>
      <c r="F124" s="4"/>
      <c r="G124" s="5"/>
      <c r="I124" s="3"/>
      <c r="J124" s="3"/>
      <c r="K124" s="3"/>
      <c r="L124" s="103"/>
      <c r="M124" s="108"/>
      <c r="N124" s="9"/>
    </row>
    <row r="125" spans="1:14" ht="13.95" customHeight="1">
      <c r="A125" s="1"/>
      <c r="B125" s="1"/>
      <c r="C125" s="33"/>
      <c r="D125" s="1"/>
      <c r="E125" s="3"/>
      <c r="F125" s="4"/>
      <c r="G125" s="5"/>
      <c r="I125" s="3"/>
      <c r="J125" s="3"/>
      <c r="K125" s="3"/>
      <c r="L125" s="103"/>
      <c r="M125" s="108"/>
      <c r="N125" s="9"/>
    </row>
    <row r="126" spans="1:14" ht="13.95" customHeight="1">
      <c r="A126" s="1">
        <f>A120+1</f>
        <v>22</v>
      </c>
      <c r="B126" s="1"/>
      <c r="C126" s="33" t="s">
        <v>72</v>
      </c>
      <c r="D126" s="1" t="s">
        <v>2</v>
      </c>
      <c r="E126" s="3">
        <f>SUM(I126:N126)</f>
        <v>3.1</v>
      </c>
      <c r="F126" s="3">
        <v>25750</v>
      </c>
      <c r="G126" s="5">
        <f t="shared" ref="G126" si="29">+E126*F126</f>
        <v>79825</v>
      </c>
      <c r="I126" s="4">
        <v>3.1</v>
      </c>
      <c r="J126" s="4"/>
      <c r="K126" s="4"/>
      <c r="L126" s="103"/>
      <c r="M126" s="108"/>
      <c r="N126" s="9"/>
    </row>
    <row r="127" spans="1:14" ht="13.95" customHeight="1">
      <c r="A127" s="1"/>
      <c r="B127" s="1"/>
      <c r="C127" s="33"/>
      <c r="D127" s="1"/>
      <c r="E127" s="3"/>
      <c r="F127" s="4"/>
      <c r="G127" s="5"/>
      <c r="I127" s="3"/>
      <c r="J127" s="3"/>
      <c r="K127" s="3"/>
      <c r="L127" s="103"/>
      <c r="M127" s="108"/>
      <c r="N127" s="9"/>
    </row>
    <row r="128" spans="1:14" ht="13.95" customHeight="1">
      <c r="A128" s="1"/>
      <c r="B128" s="1" t="s">
        <v>92</v>
      </c>
      <c r="C128" s="32" t="s">
        <v>3</v>
      </c>
      <c r="D128" s="1"/>
      <c r="E128" s="3"/>
      <c r="F128" s="4"/>
      <c r="G128" s="5"/>
      <c r="I128" s="3"/>
      <c r="J128" s="3"/>
      <c r="K128" s="3"/>
      <c r="L128" s="103"/>
      <c r="M128" s="108"/>
      <c r="N128" s="9"/>
    </row>
    <row r="129" spans="1:14" ht="13.95" customHeight="1">
      <c r="A129" s="1"/>
      <c r="B129" s="1"/>
      <c r="C129" s="33"/>
      <c r="D129" s="1"/>
      <c r="E129" s="3"/>
      <c r="F129" s="4"/>
      <c r="G129" s="5"/>
      <c r="I129" s="3"/>
      <c r="J129" s="3"/>
      <c r="K129" s="3"/>
      <c r="L129" s="103"/>
      <c r="M129" s="108"/>
      <c r="N129" s="9"/>
    </row>
    <row r="130" spans="1:14" ht="13.95" customHeight="1">
      <c r="A130" s="1">
        <f>A126+1</f>
        <v>23</v>
      </c>
      <c r="B130" s="1"/>
      <c r="C130" s="33" t="s">
        <v>73</v>
      </c>
      <c r="D130" s="1" t="s">
        <v>60</v>
      </c>
      <c r="E130" s="3">
        <f>SUM(I130:N130)</f>
        <v>150</v>
      </c>
      <c r="F130" s="13">
        <v>345</v>
      </c>
      <c r="G130" s="5">
        <f t="shared" ref="G130" si="30">+E130*F130</f>
        <v>51750</v>
      </c>
      <c r="I130" s="3"/>
      <c r="J130" s="3">
        <v>150</v>
      </c>
      <c r="K130" s="3"/>
      <c r="L130" s="103"/>
      <c r="M130" s="108"/>
      <c r="N130" s="9"/>
    </row>
    <row r="131" spans="1:14" ht="13.95" customHeight="1">
      <c r="A131" s="1"/>
      <c r="B131" s="1"/>
      <c r="C131" s="33"/>
      <c r="D131" s="1"/>
      <c r="E131" s="3"/>
      <c r="F131" s="4"/>
      <c r="G131" s="5"/>
      <c r="I131" s="3"/>
      <c r="J131" s="3"/>
      <c r="K131" s="3"/>
      <c r="L131" s="103"/>
      <c r="M131" s="108"/>
      <c r="N131" s="9"/>
    </row>
    <row r="132" spans="1:14" ht="13.95" customHeight="1">
      <c r="A132" s="1"/>
      <c r="B132" s="36" t="s">
        <v>93</v>
      </c>
      <c r="C132" s="34" t="s">
        <v>4</v>
      </c>
      <c r="D132" s="1"/>
      <c r="E132" s="3"/>
      <c r="F132" s="4"/>
      <c r="G132" s="5"/>
      <c r="I132" s="3"/>
      <c r="J132" s="3"/>
      <c r="K132" s="3"/>
      <c r="L132" s="103"/>
      <c r="M132" s="108"/>
      <c r="N132" s="9"/>
    </row>
    <row r="133" spans="1:14" ht="13.95" customHeight="1">
      <c r="A133" s="1"/>
      <c r="C133" s="33"/>
      <c r="D133" s="1"/>
      <c r="E133" s="3"/>
      <c r="F133" s="4"/>
      <c r="G133" s="5"/>
      <c r="I133" s="3"/>
      <c r="J133" s="3"/>
      <c r="K133" s="3"/>
      <c r="L133" s="103"/>
      <c r="M133" s="108"/>
      <c r="N133" s="9"/>
    </row>
    <row r="134" spans="1:14" ht="13.95" customHeight="1">
      <c r="A134" s="1"/>
      <c r="B134" s="20" t="s">
        <v>94</v>
      </c>
      <c r="C134" s="32" t="s">
        <v>5</v>
      </c>
      <c r="D134" s="1"/>
      <c r="E134" s="3"/>
      <c r="F134" s="4"/>
      <c r="G134" s="5"/>
      <c r="I134" s="3"/>
      <c r="J134" s="3"/>
      <c r="K134" s="3"/>
      <c r="L134" s="103"/>
      <c r="M134" s="108"/>
      <c r="N134" s="9"/>
    </row>
    <row r="135" spans="1:14" ht="13.95" customHeight="1">
      <c r="A135" s="1"/>
      <c r="C135" s="33"/>
      <c r="D135" s="1"/>
      <c r="E135" s="3"/>
      <c r="F135" s="4"/>
      <c r="G135" s="5"/>
      <c r="I135" s="3"/>
      <c r="J135" s="3"/>
      <c r="K135" s="3"/>
      <c r="L135" s="103"/>
      <c r="M135" s="108"/>
      <c r="N135" s="9"/>
    </row>
    <row r="136" spans="1:14" ht="13.95" customHeight="1">
      <c r="A136" s="1"/>
      <c r="C136" s="33" t="s">
        <v>74</v>
      </c>
      <c r="D136" s="1"/>
      <c r="E136" s="3"/>
      <c r="F136" s="4"/>
      <c r="G136" s="5"/>
      <c r="I136" s="3"/>
      <c r="J136" s="3"/>
      <c r="K136" s="3"/>
      <c r="L136" s="103"/>
      <c r="M136" s="108"/>
      <c r="N136" s="9"/>
    </row>
    <row r="137" spans="1:14" ht="13.95" customHeight="1">
      <c r="A137" s="1"/>
      <c r="C137" s="33"/>
      <c r="D137" s="1"/>
      <c r="E137" s="3"/>
      <c r="F137" s="4"/>
      <c r="G137" s="5"/>
      <c r="I137" s="3"/>
      <c r="J137" s="3"/>
      <c r="K137" s="3"/>
      <c r="L137" s="103"/>
      <c r="M137" s="108"/>
      <c r="N137" s="9"/>
    </row>
    <row r="138" spans="1:14" ht="13.95" customHeight="1">
      <c r="A138" s="1">
        <f>A130+1</f>
        <v>24</v>
      </c>
      <c r="C138" s="33" t="s">
        <v>24</v>
      </c>
      <c r="D138" s="1" t="s">
        <v>60</v>
      </c>
      <c r="E138" s="3">
        <f>SUM(I138:N138)</f>
        <v>123</v>
      </c>
      <c r="F138" s="3">
        <v>175</v>
      </c>
      <c r="G138" s="5">
        <f t="shared" ref="G138" si="31">+E138*F138</f>
        <v>21525</v>
      </c>
      <c r="I138" s="3">
        <v>123</v>
      </c>
      <c r="J138" s="3"/>
      <c r="K138" s="3"/>
      <c r="L138" s="103"/>
      <c r="M138" s="108"/>
      <c r="N138" s="9"/>
    </row>
    <row r="139" spans="1:14" ht="13.95" customHeight="1">
      <c r="A139" s="1"/>
      <c r="C139" s="33"/>
      <c r="D139" s="1"/>
      <c r="E139" s="3"/>
      <c r="F139" s="3"/>
      <c r="G139" s="5"/>
      <c r="I139" s="3"/>
      <c r="J139" s="3"/>
      <c r="K139" s="3"/>
      <c r="L139" s="103"/>
      <c r="M139" s="108"/>
      <c r="N139" s="9"/>
    </row>
    <row r="140" spans="1:14" ht="13.95" customHeight="1">
      <c r="A140" s="1"/>
      <c r="C140" s="33"/>
      <c r="D140" s="1"/>
      <c r="E140" s="3"/>
      <c r="F140" s="3"/>
      <c r="G140" s="5"/>
      <c r="I140" s="3"/>
      <c r="J140" s="3"/>
      <c r="K140" s="3"/>
      <c r="L140" s="103"/>
      <c r="M140" s="108"/>
      <c r="N140" s="9"/>
    </row>
    <row r="141" spans="1:14" ht="13.95" customHeight="1">
      <c r="A141" s="1"/>
      <c r="C141" s="33"/>
      <c r="D141" s="1"/>
      <c r="E141" s="3"/>
      <c r="F141" s="3"/>
      <c r="G141" s="5"/>
      <c r="I141" s="3"/>
      <c r="J141" s="3"/>
      <c r="K141" s="3"/>
      <c r="L141" s="103"/>
      <c r="M141" s="108"/>
      <c r="N141" s="9"/>
    </row>
    <row r="142" spans="1:14" ht="13.95" customHeight="1">
      <c r="A142" s="1"/>
      <c r="C142" s="33"/>
      <c r="D142" s="1"/>
      <c r="E142" s="3"/>
      <c r="F142" s="3"/>
      <c r="G142" s="5"/>
      <c r="I142" s="3"/>
      <c r="J142" s="3"/>
      <c r="K142" s="3"/>
      <c r="L142" s="103"/>
      <c r="M142" s="108"/>
      <c r="N142" s="9"/>
    </row>
    <row r="143" spans="1:14" ht="13.95" customHeight="1">
      <c r="A143" s="1"/>
      <c r="C143" s="33"/>
      <c r="D143" s="1"/>
      <c r="E143" s="3"/>
      <c r="F143" s="3"/>
      <c r="G143" s="5"/>
      <c r="I143" s="3"/>
      <c r="J143" s="3"/>
      <c r="K143" s="3"/>
      <c r="L143" s="103"/>
      <c r="M143" s="108"/>
      <c r="N143" s="9"/>
    </row>
    <row r="144" spans="1:14" ht="13.95" customHeight="1">
      <c r="A144" s="1"/>
      <c r="C144" s="33"/>
      <c r="D144" s="1"/>
      <c r="E144" s="3"/>
      <c r="F144" s="3"/>
      <c r="G144" s="5"/>
      <c r="I144" s="3"/>
      <c r="J144" s="3"/>
      <c r="K144" s="3"/>
      <c r="L144" s="103"/>
      <c r="M144" s="108"/>
      <c r="N144" s="9"/>
    </row>
    <row r="145" spans="1:14" ht="13.95" customHeight="1">
      <c r="A145" s="1"/>
      <c r="B145" s="1"/>
      <c r="C145" s="33"/>
      <c r="D145" s="1"/>
      <c r="E145" s="3"/>
      <c r="F145" s="4"/>
      <c r="G145" s="5"/>
      <c r="I145" s="3"/>
      <c r="J145" s="3"/>
      <c r="K145" s="3"/>
      <c r="L145" s="103"/>
      <c r="M145" s="108"/>
      <c r="N145" s="9"/>
    </row>
    <row r="146" spans="1:14" ht="13.95" customHeight="1">
      <c r="A146" s="1"/>
      <c r="B146" s="1"/>
      <c r="C146" s="33"/>
      <c r="D146" s="1"/>
      <c r="E146" s="3"/>
      <c r="F146" s="4"/>
      <c r="G146" s="5"/>
      <c r="I146" s="3"/>
      <c r="J146" s="3"/>
      <c r="K146" s="3"/>
      <c r="L146" s="103"/>
      <c r="M146" s="108"/>
      <c r="N146" s="9"/>
    </row>
    <row r="147" spans="1:14" ht="13.95" customHeight="1">
      <c r="A147" s="1"/>
      <c r="B147" s="1"/>
      <c r="C147" s="33"/>
      <c r="D147" s="1"/>
      <c r="E147" s="3"/>
      <c r="F147" s="4"/>
      <c r="G147" s="5"/>
      <c r="I147" s="3"/>
      <c r="J147" s="3"/>
      <c r="K147" s="3"/>
      <c r="L147" s="103"/>
      <c r="M147" s="108"/>
      <c r="N147" s="9"/>
    </row>
    <row r="148" spans="1:14" ht="20.100000000000001" customHeight="1">
      <c r="A148" s="149" t="s">
        <v>66</v>
      </c>
      <c r="B148" s="150"/>
      <c r="C148" s="150"/>
      <c r="D148" s="150"/>
      <c r="E148" s="150"/>
      <c r="F148" s="151"/>
      <c r="G148" s="116">
        <f>SUM(G100:G147)</f>
        <v>275845</v>
      </c>
      <c r="I148" s="9"/>
      <c r="J148" s="9"/>
      <c r="K148" s="9"/>
      <c r="L148" s="103"/>
      <c r="M148" s="108"/>
      <c r="N148" s="9"/>
    </row>
    <row r="149" spans="1:14" ht="13.95" customHeight="1">
      <c r="A149" s="39"/>
      <c r="B149" s="39"/>
      <c r="C149" s="39"/>
      <c r="D149" s="39"/>
      <c r="E149" s="39"/>
      <c r="F149" s="39"/>
      <c r="G149" s="113"/>
      <c r="I149" s="9"/>
      <c r="J149" s="9"/>
      <c r="K149" s="9"/>
      <c r="L149" s="103"/>
      <c r="M149" s="108"/>
      <c r="N149" s="9"/>
    </row>
    <row r="150" spans="1:14" ht="13.95" customHeight="1">
      <c r="A150" s="39"/>
      <c r="B150" s="39"/>
      <c r="C150" s="39"/>
      <c r="D150" s="39"/>
      <c r="E150" s="39"/>
      <c r="F150" s="39"/>
      <c r="G150" s="113"/>
      <c r="I150" s="9"/>
      <c r="J150" s="9"/>
      <c r="K150" s="9"/>
      <c r="L150" s="103"/>
      <c r="M150" s="108"/>
      <c r="N150" s="9"/>
    </row>
    <row r="151" spans="1:14" ht="22.2" customHeight="1">
      <c r="A151" s="44" t="s">
        <v>8</v>
      </c>
      <c r="B151" s="48" t="s">
        <v>9</v>
      </c>
      <c r="C151" s="44" t="s">
        <v>10</v>
      </c>
      <c r="D151" s="48" t="s">
        <v>11</v>
      </c>
      <c r="E151" s="48" t="s">
        <v>59</v>
      </c>
      <c r="F151" s="49" t="s">
        <v>12</v>
      </c>
      <c r="G151" s="111" t="s">
        <v>13</v>
      </c>
      <c r="I151" s="9"/>
      <c r="J151" s="9"/>
      <c r="K151" s="9"/>
      <c r="L151" s="103"/>
      <c r="M151" s="108"/>
      <c r="N151" s="9"/>
    </row>
    <row r="152" spans="1:14" ht="20.100000000000001" customHeight="1">
      <c r="A152" s="149" t="s">
        <v>67</v>
      </c>
      <c r="B152" s="150"/>
      <c r="C152" s="150"/>
      <c r="D152" s="150"/>
      <c r="E152" s="150"/>
      <c r="F152" s="151"/>
      <c r="G152" s="116">
        <f>+G148</f>
        <v>275845</v>
      </c>
      <c r="I152" s="9"/>
      <c r="J152" s="9"/>
      <c r="K152" s="9"/>
      <c r="L152" s="103"/>
      <c r="M152" s="108"/>
      <c r="N152" s="9"/>
    </row>
    <row r="153" spans="1:14" ht="13.95" customHeight="1">
      <c r="A153" s="1"/>
      <c r="B153" s="1"/>
      <c r="C153" s="33"/>
      <c r="D153" s="1"/>
      <c r="E153" s="3"/>
      <c r="F153" s="4"/>
      <c r="G153" s="5"/>
      <c r="I153" s="3"/>
      <c r="J153" s="3"/>
      <c r="K153" s="3"/>
      <c r="L153" s="103"/>
      <c r="M153" s="108"/>
      <c r="N153" s="9"/>
    </row>
    <row r="154" spans="1:14" ht="13.95" customHeight="1">
      <c r="A154" s="1"/>
      <c r="B154" s="1"/>
      <c r="C154" s="32" t="s">
        <v>158</v>
      </c>
      <c r="D154" s="1"/>
      <c r="E154" s="3"/>
      <c r="F154" s="4"/>
      <c r="G154" s="5"/>
      <c r="I154" s="3"/>
      <c r="J154" s="3"/>
      <c r="K154" s="3"/>
      <c r="L154" s="103"/>
      <c r="M154" s="108"/>
      <c r="N154" s="9"/>
    </row>
    <row r="155" spans="1:14" ht="13.95" customHeight="1">
      <c r="A155" s="1"/>
      <c r="B155" s="1"/>
      <c r="C155" s="33"/>
      <c r="D155" s="1"/>
      <c r="E155" s="3"/>
      <c r="F155" s="4"/>
      <c r="G155" s="5"/>
      <c r="I155" s="3"/>
      <c r="J155" s="3"/>
      <c r="K155" s="3"/>
      <c r="L155" s="103"/>
      <c r="M155" s="108"/>
      <c r="N155" s="9"/>
    </row>
    <row r="156" spans="1:14" ht="13.95" customHeight="1">
      <c r="A156" s="1">
        <f>A138+1</f>
        <v>25</v>
      </c>
      <c r="B156" s="1"/>
      <c r="C156" s="33" t="s">
        <v>202</v>
      </c>
      <c r="D156" s="1" t="s">
        <v>51</v>
      </c>
      <c r="E156" s="3">
        <f>SUM(I156:N156)</f>
        <v>3</v>
      </c>
      <c r="F156" s="3">
        <v>3550</v>
      </c>
      <c r="G156" s="5">
        <f t="shared" ref="G156" si="32">+E156*F156</f>
        <v>10650</v>
      </c>
      <c r="I156" s="3">
        <v>3</v>
      </c>
      <c r="J156" s="3"/>
      <c r="K156" s="3"/>
      <c r="L156" s="103"/>
      <c r="M156" s="108"/>
      <c r="N156" s="9"/>
    </row>
    <row r="157" spans="1:14" ht="13.95" customHeight="1">
      <c r="A157" s="1"/>
      <c r="B157" s="1"/>
      <c r="C157" s="33"/>
      <c r="D157" s="1"/>
      <c r="E157" s="3"/>
      <c r="F157" s="3"/>
      <c r="G157" s="5"/>
      <c r="I157" s="3"/>
      <c r="J157" s="3"/>
      <c r="K157" s="3"/>
      <c r="L157" s="103"/>
      <c r="M157" s="108"/>
      <c r="N157" s="9"/>
    </row>
    <row r="158" spans="1:14" ht="13.95" customHeight="1">
      <c r="A158" s="1">
        <f>A156+1</f>
        <v>26</v>
      </c>
      <c r="B158" s="1"/>
      <c r="C158" s="33" t="s">
        <v>28</v>
      </c>
      <c r="D158" s="1" t="s">
        <v>51</v>
      </c>
      <c r="E158" s="3">
        <f>SUM(I158:N158)</f>
        <v>24</v>
      </c>
      <c r="F158" s="3">
        <v>3200</v>
      </c>
      <c r="G158" s="5">
        <f t="shared" ref="G158" si="33">+E158*F158</f>
        <v>76800</v>
      </c>
      <c r="I158" s="3">
        <v>24</v>
      </c>
      <c r="J158" s="3"/>
      <c r="K158" s="3"/>
      <c r="L158" s="103"/>
      <c r="M158" s="108"/>
      <c r="N158" s="9"/>
    </row>
    <row r="159" spans="1:14" ht="13.95" customHeight="1">
      <c r="A159" s="1"/>
      <c r="B159" s="1"/>
      <c r="C159" s="33"/>
      <c r="D159" s="1"/>
      <c r="E159" s="3"/>
      <c r="F159" s="3"/>
      <c r="G159" s="5"/>
      <c r="I159" s="3"/>
      <c r="J159" s="3"/>
      <c r="K159" s="3"/>
      <c r="L159" s="103"/>
      <c r="M159" s="108"/>
      <c r="N159" s="9"/>
    </row>
    <row r="160" spans="1:14" ht="13.95" customHeight="1">
      <c r="A160" s="1">
        <v>25</v>
      </c>
      <c r="B160" s="1"/>
      <c r="C160" s="33" t="s">
        <v>62</v>
      </c>
      <c r="D160" s="1" t="s">
        <v>51</v>
      </c>
      <c r="E160" s="3">
        <f>SUM(I160:N160)</f>
        <v>0</v>
      </c>
      <c r="F160" s="3">
        <v>3350</v>
      </c>
      <c r="G160" s="5">
        <f t="shared" ref="G160" si="34">+E160*F160</f>
        <v>0</v>
      </c>
      <c r="I160" s="3"/>
      <c r="J160" s="3"/>
      <c r="K160" s="3"/>
      <c r="L160" s="103"/>
      <c r="M160" s="108"/>
      <c r="N160" s="9"/>
    </row>
    <row r="161" spans="1:14" ht="13.95" customHeight="1">
      <c r="A161" s="1"/>
      <c r="B161" s="1"/>
      <c r="C161" s="33"/>
      <c r="D161" s="1"/>
      <c r="E161" s="3"/>
      <c r="F161" s="3"/>
      <c r="G161" s="5"/>
      <c r="I161" s="3"/>
      <c r="J161" s="3"/>
      <c r="K161" s="3"/>
      <c r="L161" s="103"/>
      <c r="M161" s="108"/>
      <c r="N161" s="9"/>
    </row>
    <row r="162" spans="1:14" ht="13.95" customHeight="1">
      <c r="A162" s="1">
        <v>26</v>
      </c>
      <c r="B162" s="1"/>
      <c r="C162" s="33" t="s">
        <v>27</v>
      </c>
      <c r="D162" s="1" t="s">
        <v>51</v>
      </c>
      <c r="E162" s="3">
        <f>SUM(I162:N162)</f>
        <v>26</v>
      </c>
      <c r="F162" s="3">
        <v>3200</v>
      </c>
      <c r="G162" s="5">
        <f t="shared" ref="G162" si="35">+E162*F162</f>
        <v>83200</v>
      </c>
      <c r="I162" s="3"/>
      <c r="J162" s="3">
        <v>26</v>
      </c>
      <c r="K162" s="3"/>
      <c r="L162" s="103"/>
      <c r="M162" s="108"/>
      <c r="N162" s="9"/>
    </row>
    <row r="163" spans="1:14" ht="13.95" customHeight="1">
      <c r="A163" s="1"/>
      <c r="B163" s="1"/>
      <c r="C163" s="33"/>
      <c r="D163" s="1"/>
      <c r="E163" s="3"/>
      <c r="F163" s="3"/>
      <c r="G163" s="5"/>
      <c r="I163" s="3"/>
      <c r="J163" s="3"/>
      <c r="K163" s="3"/>
      <c r="L163" s="103"/>
      <c r="M163" s="108"/>
      <c r="N163" s="9"/>
    </row>
    <row r="164" spans="1:14" ht="13.95" customHeight="1">
      <c r="A164" s="1">
        <f>A162+1</f>
        <v>27</v>
      </c>
      <c r="B164" s="1"/>
      <c r="C164" s="33" t="s">
        <v>250</v>
      </c>
      <c r="D164" s="1" t="s">
        <v>51</v>
      </c>
      <c r="E164" s="3">
        <f>SUM(I164:N164)</f>
        <v>0</v>
      </c>
      <c r="F164" s="3">
        <v>3650</v>
      </c>
      <c r="G164" s="5">
        <f t="shared" ref="G164" si="36">+E164*F164</f>
        <v>0</v>
      </c>
      <c r="I164" s="3"/>
      <c r="J164" s="3"/>
      <c r="K164" s="3"/>
      <c r="L164" s="103"/>
      <c r="M164" s="108"/>
      <c r="N164" s="9"/>
    </row>
    <row r="165" spans="1:14" ht="13.95" customHeight="1">
      <c r="A165" s="1"/>
      <c r="B165" s="1"/>
      <c r="C165" s="33"/>
      <c r="D165" s="1"/>
      <c r="E165" s="3"/>
      <c r="F165" s="4"/>
      <c r="G165" s="5"/>
      <c r="I165" s="3"/>
      <c r="J165" s="3"/>
      <c r="K165" s="3"/>
      <c r="L165" s="103"/>
      <c r="M165" s="108"/>
      <c r="N165" s="9"/>
    </row>
    <row r="166" spans="1:14" ht="13.95" customHeight="1">
      <c r="A166" s="1"/>
      <c r="B166" s="1" t="s">
        <v>96</v>
      </c>
      <c r="C166" s="32" t="s">
        <v>159</v>
      </c>
      <c r="D166" s="1"/>
      <c r="E166" s="3"/>
      <c r="F166" s="4"/>
      <c r="G166" s="5"/>
      <c r="I166" s="9"/>
      <c r="J166" s="9"/>
      <c r="K166" s="9"/>
      <c r="L166" s="103"/>
      <c r="M166" s="108"/>
      <c r="N166" s="9"/>
    </row>
    <row r="167" spans="1:14" ht="13.95" customHeight="1">
      <c r="A167" s="1"/>
      <c r="B167" s="1"/>
      <c r="C167" s="33"/>
      <c r="D167" s="1"/>
      <c r="E167" s="3"/>
      <c r="F167" s="4"/>
      <c r="G167" s="5"/>
      <c r="I167" s="9"/>
      <c r="J167" s="9"/>
      <c r="K167" s="9"/>
      <c r="L167" s="103"/>
      <c r="M167" s="108"/>
      <c r="N167" s="9"/>
    </row>
    <row r="168" spans="1:14" ht="13.95" customHeight="1">
      <c r="A168" s="1"/>
      <c r="B168" s="1"/>
      <c r="C168" s="33" t="s">
        <v>160</v>
      </c>
      <c r="D168" s="1"/>
      <c r="E168" s="3"/>
      <c r="F168" s="4"/>
      <c r="G168" s="5"/>
      <c r="I168" s="9"/>
      <c r="J168" s="9"/>
      <c r="K168" s="9"/>
      <c r="L168" s="103"/>
      <c r="M168" s="108"/>
      <c r="N168" s="9"/>
    </row>
    <row r="169" spans="1:14" ht="13.95" customHeight="1">
      <c r="A169" s="1"/>
      <c r="B169" s="1"/>
      <c r="C169" s="33"/>
      <c r="D169" s="1"/>
      <c r="E169" s="3"/>
      <c r="F169" s="4"/>
      <c r="G169" s="5"/>
      <c r="I169" s="9"/>
      <c r="J169" s="9"/>
      <c r="K169" s="9"/>
      <c r="L169" s="103"/>
      <c r="M169" s="108"/>
      <c r="N169" s="9"/>
    </row>
    <row r="170" spans="1:14" ht="13.95" customHeight="1">
      <c r="A170" s="1">
        <f>A164+1</f>
        <v>28</v>
      </c>
      <c r="B170" s="1"/>
      <c r="C170" s="33" t="s">
        <v>28</v>
      </c>
      <c r="D170" s="1" t="s">
        <v>60</v>
      </c>
      <c r="E170" s="3">
        <f>SUM(I170:N170)</f>
        <v>68</v>
      </c>
      <c r="F170" s="3">
        <v>46</v>
      </c>
      <c r="G170" s="5">
        <f t="shared" ref="G170" si="37">+E170*F170</f>
        <v>3128</v>
      </c>
      <c r="I170" s="3">
        <v>68</v>
      </c>
      <c r="J170" s="3"/>
      <c r="K170" s="3"/>
      <c r="L170" s="103"/>
      <c r="M170" s="108"/>
      <c r="N170" s="9"/>
    </row>
    <row r="171" spans="1:14" ht="13.95" customHeight="1">
      <c r="A171" s="1"/>
      <c r="B171" s="1"/>
      <c r="C171" s="33"/>
      <c r="D171" s="1"/>
      <c r="E171" s="3"/>
      <c r="F171" s="3"/>
      <c r="G171" s="5"/>
      <c r="I171" s="3"/>
      <c r="J171" s="3"/>
      <c r="K171" s="3"/>
      <c r="L171" s="103"/>
      <c r="M171" s="108"/>
      <c r="N171" s="9"/>
    </row>
    <row r="172" spans="1:14" ht="13.95" customHeight="1">
      <c r="A172" s="1"/>
      <c r="B172" s="1"/>
      <c r="C172" s="33" t="s">
        <v>196</v>
      </c>
      <c r="D172" s="1"/>
      <c r="E172" s="3"/>
      <c r="F172" s="3"/>
      <c r="G172" s="5"/>
      <c r="I172" s="3"/>
      <c r="J172" s="3"/>
      <c r="K172" s="3"/>
      <c r="L172" s="103"/>
      <c r="M172" s="108"/>
      <c r="N172" s="9"/>
    </row>
    <row r="173" spans="1:14" ht="13.95" customHeight="1">
      <c r="A173" s="1"/>
      <c r="B173" s="1"/>
      <c r="C173" s="33"/>
      <c r="D173" s="1"/>
      <c r="E173" s="3"/>
      <c r="F173" s="3"/>
      <c r="G173" s="5"/>
      <c r="I173" s="3"/>
      <c r="J173" s="3"/>
      <c r="K173" s="3"/>
      <c r="L173" s="103"/>
      <c r="M173" s="108"/>
      <c r="N173" s="9"/>
    </row>
    <row r="174" spans="1:14" ht="13.95" customHeight="1">
      <c r="A174" s="1">
        <f>A170+1</f>
        <v>29</v>
      </c>
      <c r="B174" s="1"/>
      <c r="C174" s="33" t="s">
        <v>29</v>
      </c>
      <c r="D174" s="1" t="s">
        <v>60</v>
      </c>
      <c r="E174" s="3">
        <f>SUM(I174:N174)</f>
        <v>150</v>
      </c>
      <c r="F174" s="3">
        <v>75</v>
      </c>
      <c r="G174" s="5">
        <f t="shared" ref="G174" si="38">+E174*F174</f>
        <v>11250</v>
      </c>
      <c r="I174" s="3"/>
      <c r="J174" s="3">
        <v>150</v>
      </c>
      <c r="K174" s="3"/>
      <c r="L174" s="103"/>
      <c r="M174" s="108"/>
      <c r="N174" s="9"/>
    </row>
    <row r="175" spans="1:14" ht="13.95" customHeight="1">
      <c r="A175" s="1"/>
      <c r="B175" s="1"/>
      <c r="C175" s="33"/>
      <c r="D175" s="1"/>
      <c r="E175" s="3"/>
      <c r="F175" s="4"/>
      <c r="G175" s="5"/>
      <c r="I175" s="3"/>
      <c r="J175" s="3"/>
      <c r="K175" s="3"/>
      <c r="L175" s="103"/>
      <c r="M175" s="108"/>
      <c r="N175" s="9"/>
    </row>
    <row r="176" spans="1:14" ht="13.95" customHeight="1">
      <c r="A176" s="1"/>
      <c r="B176" s="1" t="s">
        <v>97</v>
      </c>
      <c r="C176" s="34" t="s">
        <v>20</v>
      </c>
      <c r="D176" s="1"/>
      <c r="E176" s="3"/>
      <c r="F176" s="4"/>
      <c r="G176" s="5"/>
      <c r="I176" s="3"/>
      <c r="J176" s="3"/>
      <c r="K176" s="3"/>
      <c r="L176" s="103"/>
      <c r="M176" s="108"/>
      <c r="N176" s="9"/>
    </row>
    <row r="177" spans="1:14" ht="13.95" customHeight="1">
      <c r="A177" s="1"/>
      <c r="B177" s="1"/>
      <c r="C177" s="34"/>
      <c r="D177" s="1"/>
      <c r="E177" s="3"/>
      <c r="F177" s="4"/>
      <c r="G177" s="5"/>
      <c r="I177" s="3"/>
      <c r="J177" s="3"/>
      <c r="K177" s="3"/>
      <c r="L177" s="103"/>
      <c r="M177" s="108"/>
      <c r="N177" s="9"/>
    </row>
    <row r="178" spans="1:14" ht="13.95" customHeight="1">
      <c r="A178" s="1"/>
      <c r="B178" s="1"/>
      <c r="C178" s="32" t="s">
        <v>213</v>
      </c>
      <c r="D178" s="1"/>
      <c r="E178" s="3"/>
      <c r="F178" s="4"/>
      <c r="G178" s="5"/>
      <c r="I178" s="3"/>
      <c r="J178" s="3"/>
      <c r="K178" s="3"/>
      <c r="L178" s="103"/>
      <c r="M178" s="108"/>
      <c r="N178" s="9"/>
    </row>
    <row r="179" spans="1:14" ht="13.95" customHeight="1">
      <c r="A179" s="1"/>
      <c r="B179" s="1"/>
      <c r="C179" s="34"/>
      <c r="D179" s="1"/>
      <c r="E179" s="3"/>
      <c r="F179" s="4"/>
      <c r="G179" s="5"/>
      <c r="I179" s="3"/>
      <c r="J179" s="3"/>
      <c r="K179" s="3"/>
      <c r="L179" s="103"/>
      <c r="M179" s="108"/>
      <c r="N179" s="9"/>
    </row>
    <row r="180" spans="1:14" ht="27" customHeight="1">
      <c r="A180" s="1">
        <f>A174+1</f>
        <v>30</v>
      </c>
      <c r="B180" s="1"/>
      <c r="C180" s="33" t="s">
        <v>237</v>
      </c>
      <c r="D180" s="1" t="s">
        <v>1</v>
      </c>
      <c r="E180" s="3">
        <f>SUM(I180:N180)</f>
        <v>0</v>
      </c>
      <c r="F180" s="3">
        <v>375</v>
      </c>
      <c r="G180" s="5">
        <f t="shared" ref="G180" si="39">+E180*F180</f>
        <v>0</v>
      </c>
      <c r="I180" s="3"/>
      <c r="J180" s="3"/>
      <c r="K180" s="3"/>
      <c r="L180" s="103"/>
      <c r="M180" s="108"/>
      <c r="N180" s="9"/>
    </row>
    <row r="181" spans="1:14" ht="13.95" customHeight="1">
      <c r="A181" s="1"/>
      <c r="B181" s="1"/>
      <c r="C181" s="33"/>
      <c r="D181" s="1"/>
      <c r="E181" s="3"/>
      <c r="F181" s="3"/>
      <c r="G181" s="5"/>
      <c r="I181" s="3"/>
      <c r="J181" s="3"/>
      <c r="K181" s="3"/>
      <c r="L181" s="103"/>
      <c r="M181" s="108"/>
      <c r="N181" s="9"/>
    </row>
    <row r="182" spans="1:14" ht="24.6" customHeight="1">
      <c r="A182" s="1">
        <f>A180+1</f>
        <v>31</v>
      </c>
      <c r="B182" s="1"/>
      <c r="C182" s="33" t="s">
        <v>285</v>
      </c>
      <c r="D182" s="1" t="s">
        <v>1</v>
      </c>
      <c r="E182" s="3">
        <f>SUM(I182:N182)</f>
        <v>15</v>
      </c>
      <c r="F182" s="3">
        <v>355</v>
      </c>
      <c r="G182" s="5">
        <f t="shared" ref="G182" si="40">+E182*F182</f>
        <v>5325</v>
      </c>
      <c r="I182" s="3"/>
      <c r="J182" s="3">
        <v>15</v>
      </c>
      <c r="K182" s="3"/>
      <c r="L182" s="104"/>
      <c r="M182" s="108"/>
      <c r="N182" s="9"/>
    </row>
    <row r="183" spans="1:14" ht="13.95" customHeight="1">
      <c r="A183" s="1"/>
      <c r="B183" s="1"/>
      <c r="C183" s="33"/>
      <c r="D183" s="1"/>
      <c r="E183" s="3"/>
      <c r="F183" s="3"/>
      <c r="G183" s="5"/>
      <c r="I183" s="3"/>
      <c r="J183" s="3"/>
      <c r="K183" s="3"/>
      <c r="L183" s="103"/>
      <c r="M183" s="108"/>
      <c r="N183" s="9"/>
    </row>
    <row r="184" spans="1:14" ht="23.4" customHeight="1">
      <c r="A184" s="1">
        <f>A182+1</f>
        <v>32</v>
      </c>
      <c r="B184" s="1"/>
      <c r="C184" s="33" t="s">
        <v>243</v>
      </c>
      <c r="D184" s="1" t="s">
        <v>1</v>
      </c>
      <c r="E184" s="3">
        <f>SUM(I184:N184)</f>
        <v>74</v>
      </c>
      <c r="F184" s="3">
        <v>195</v>
      </c>
      <c r="G184" s="5">
        <f t="shared" ref="G184" si="41">+E184*F184</f>
        <v>14430</v>
      </c>
      <c r="I184" s="3">
        <v>24</v>
      </c>
      <c r="J184" s="3">
        <v>50</v>
      </c>
      <c r="K184" s="3"/>
      <c r="L184" s="103"/>
      <c r="M184" s="108"/>
      <c r="N184" s="9"/>
    </row>
    <row r="185" spans="1:14" ht="13.95" customHeight="1">
      <c r="A185" s="1"/>
      <c r="B185" s="1"/>
      <c r="C185" s="33"/>
      <c r="D185" s="1"/>
      <c r="E185" s="3"/>
      <c r="F185" s="3"/>
      <c r="G185" s="5"/>
      <c r="I185" s="3"/>
      <c r="J185" s="3"/>
      <c r="K185" s="3"/>
      <c r="L185" s="103"/>
      <c r="M185" s="108"/>
      <c r="N185" s="9"/>
    </row>
    <row r="186" spans="1:14" ht="13.95" customHeight="1">
      <c r="A186" s="1"/>
      <c r="B186" s="1"/>
      <c r="C186" s="33" t="s">
        <v>239</v>
      </c>
      <c r="D186" s="1" t="s">
        <v>1</v>
      </c>
      <c r="E186" s="3">
        <f>SUM(I186:N186)</f>
        <v>20</v>
      </c>
      <c r="F186" s="3">
        <v>155</v>
      </c>
      <c r="G186" s="5">
        <f t="shared" ref="G186" si="42">+E186*F186</f>
        <v>3100</v>
      </c>
      <c r="I186" s="3"/>
      <c r="J186" s="3">
        <v>20</v>
      </c>
      <c r="K186" s="3"/>
      <c r="L186" s="103"/>
      <c r="M186" s="108"/>
      <c r="N186" s="9"/>
    </row>
    <row r="187" spans="1:14" ht="13.95" customHeight="1">
      <c r="A187" s="1"/>
      <c r="B187" s="1"/>
      <c r="C187" s="33"/>
      <c r="D187" s="1"/>
      <c r="E187" s="3"/>
      <c r="F187" s="4"/>
      <c r="G187" s="5"/>
      <c r="I187" s="3"/>
      <c r="J187" s="3"/>
      <c r="K187" s="3"/>
      <c r="L187" s="103"/>
      <c r="M187" s="108"/>
      <c r="N187" s="9"/>
    </row>
    <row r="188" spans="1:14" ht="13.95" customHeight="1">
      <c r="A188" s="1"/>
      <c r="B188" s="1"/>
      <c r="C188" s="32" t="s">
        <v>198</v>
      </c>
      <c r="D188" s="1"/>
      <c r="E188" s="3"/>
      <c r="F188" s="4"/>
      <c r="G188" s="5"/>
      <c r="I188" s="3"/>
      <c r="J188" s="3"/>
      <c r="K188" s="3"/>
      <c r="L188" s="103"/>
      <c r="M188" s="108"/>
      <c r="N188" s="9"/>
    </row>
    <row r="189" spans="1:14" ht="13.95" customHeight="1">
      <c r="A189" s="1"/>
      <c r="B189" s="1"/>
      <c r="C189" s="33"/>
      <c r="D189" s="1"/>
      <c r="E189" s="3"/>
      <c r="F189" s="4"/>
      <c r="G189" s="5"/>
      <c r="I189" s="3"/>
      <c r="J189" s="3"/>
      <c r="K189" s="3"/>
      <c r="L189" s="103"/>
      <c r="M189" s="108"/>
      <c r="N189" s="9"/>
    </row>
    <row r="190" spans="1:14" ht="13.95" customHeight="1">
      <c r="A190" s="1">
        <f>A184+1</f>
        <v>33</v>
      </c>
      <c r="B190" s="1"/>
      <c r="C190" s="33" t="s">
        <v>199</v>
      </c>
      <c r="D190" s="1" t="s">
        <v>1</v>
      </c>
      <c r="E190" s="3">
        <f>SUM(I190:N190)</f>
        <v>0</v>
      </c>
      <c r="F190" s="3">
        <f>F180</f>
        <v>375</v>
      </c>
      <c r="G190" s="5">
        <f t="shared" ref="G190" si="43">+E190*F190</f>
        <v>0</v>
      </c>
      <c r="I190" s="3"/>
      <c r="J190" s="3"/>
      <c r="K190" s="3"/>
      <c r="L190" s="103"/>
      <c r="M190" s="108"/>
      <c r="N190" s="9"/>
    </row>
    <row r="191" spans="1:14" ht="13.95" customHeight="1">
      <c r="A191" s="1"/>
      <c r="B191" s="1"/>
      <c r="C191" s="33"/>
      <c r="D191" s="1"/>
      <c r="E191" s="3"/>
      <c r="F191" s="3"/>
      <c r="G191" s="5"/>
      <c r="I191" s="3"/>
      <c r="J191" s="3"/>
      <c r="K191" s="3"/>
      <c r="L191" s="103"/>
      <c r="M191" s="108"/>
      <c r="N191" s="9"/>
    </row>
    <row r="192" spans="1:14" ht="13.95" customHeight="1">
      <c r="A192" s="1">
        <f>A190+1</f>
        <v>34</v>
      </c>
      <c r="B192" s="1"/>
      <c r="C192" s="33" t="s">
        <v>200</v>
      </c>
      <c r="D192" s="1" t="s">
        <v>1</v>
      </c>
      <c r="E192" s="3">
        <f>SUM(I192:N192)</f>
        <v>0</v>
      </c>
      <c r="F192" s="3">
        <v>395</v>
      </c>
      <c r="G192" s="5">
        <f t="shared" ref="G192" si="44">+E192*F192</f>
        <v>0</v>
      </c>
      <c r="I192" s="3"/>
      <c r="J192" s="3"/>
      <c r="K192" s="3"/>
      <c r="L192" s="103"/>
      <c r="M192" s="108"/>
      <c r="N192" s="9"/>
    </row>
    <row r="193" spans="1:14" ht="13.95" customHeight="1">
      <c r="A193" s="1"/>
      <c r="B193" s="1"/>
      <c r="C193" s="33"/>
      <c r="D193" s="1"/>
      <c r="E193" s="3"/>
      <c r="F193" s="3"/>
      <c r="G193" s="5"/>
      <c r="I193" s="3"/>
      <c r="J193" s="3"/>
      <c r="K193" s="3"/>
      <c r="L193" s="103"/>
      <c r="M193" s="108"/>
      <c r="N193" s="9"/>
    </row>
    <row r="194" spans="1:14" ht="13.95" customHeight="1">
      <c r="A194" s="1">
        <f>A192+1</f>
        <v>35</v>
      </c>
      <c r="B194" s="1"/>
      <c r="C194" s="33" t="s">
        <v>214</v>
      </c>
      <c r="D194" s="1" t="s">
        <v>1</v>
      </c>
      <c r="E194" s="3">
        <f>SUM(I194:N194)</f>
        <v>0</v>
      </c>
      <c r="F194" s="3">
        <v>395</v>
      </c>
      <c r="G194" s="5">
        <f t="shared" ref="G194" si="45">+E194*F194</f>
        <v>0</v>
      </c>
      <c r="I194" s="3"/>
      <c r="J194" s="3"/>
      <c r="K194" s="3"/>
      <c r="L194" s="103"/>
      <c r="M194" s="108"/>
      <c r="N194" s="9"/>
    </row>
    <row r="195" spans="1:14" ht="13.95" customHeight="1">
      <c r="A195" s="1"/>
      <c r="B195" s="1"/>
      <c r="C195" s="33"/>
      <c r="D195" s="1"/>
      <c r="E195" s="3"/>
      <c r="F195" s="3"/>
      <c r="G195" s="5"/>
      <c r="I195" s="3"/>
      <c r="J195" s="3"/>
      <c r="K195" s="3"/>
      <c r="L195" s="103"/>
      <c r="M195" s="108"/>
      <c r="N195" s="9"/>
    </row>
    <row r="196" spans="1:14" ht="13.95" customHeight="1">
      <c r="A196" s="1"/>
      <c r="B196" s="1"/>
      <c r="C196" s="33"/>
      <c r="D196" s="1"/>
      <c r="E196" s="3"/>
      <c r="F196" s="4"/>
      <c r="G196" s="5"/>
      <c r="I196" s="3"/>
      <c r="J196" s="3"/>
      <c r="K196" s="3"/>
      <c r="L196" s="103"/>
      <c r="M196" s="108"/>
      <c r="N196" s="9"/>
    </row>
    <row r="197" spans="1:14" ht="13.95" customHeight="1">
      <c r="A197" s="1"/>
      <c r="B197" s="1"/>
      <c r="C197" s="33"/>
      <c r="D197" s="1"/>
      <c r="E197" s="3"/>
      <c r="F197" s="4"/>
      <c r="G197" s="5"/>
      <c r="I197" s="3"/>
      <c r="J197" s="3"/>
      <c r="K197" s="3"/>
      <c r="L197" s="103"/>
      <c r="M197" s="108"/>
      <c r="N197" s="9"/>
    </row>
    <row r="198" spans="1:14" ht="20.100000000000001" customHeight="1">
      <c r="A198" s="149" t="s">
        <v>66</v>
      </c>
      <c r="B198" s="150"/>
      <c r="C198" s="150"/>
      <c r="D198" s="150"/>
      <c r="E198" s="150"/>
      <c r="F198" s="151"/>
      <c r="G198" s="116">
        <f>SUM(G152:G197)</f>
        <v>483728</v>
      </c>
      <c r="I198" s="9"/>
      <c r="J198" s="9"/>
      <c r="K198" s="9"/>
      <c r="L198" s="103"/>
      <c r="M198" s="108"/>
      <c r="N198" s="9"/>
    </row>
    <row r="199" spans="1:14" ht="13.95" customHeight="1">
      <c r="A199" s="39"/>
      <c r="B199" s="39"/>
      <c r="C199" s="39"/>
      <c r="D199" s="39"/>
      <c r="E199" s="39"/>
      <c r="F199" s="39"/>
      <c r="G199" s="113"/>
      <c r="I199" s="9"/>
      <c r="J199" s="9"/>
      <c r="K199" s="9"/>
      <c r="L199" s="103"/>
      <c r="M199" s="108"/>
      <c r="N199" s="9"/>
    </row>
    <row r="200" spans="1:14" ht="13.95" customHeight="1">
      <c r="A200" s="39"/>
      <c r="B200" s="39"/>
      <c r="C200" s="39"/>
      <c r="D200" s="39"/>
      <c r="E200" s="39"/>
      <c r="F200" s="39"/>
      <c r="G200" s="113"/>
      <c r="I200" s="9"/>
      <c r="J200" s="9"/>
      <c r="K200" s="9"/>
      <c r="L200" s="103"/>
      <c r="M200" s="108"/>
      <c r="N200" s="9"/>
    </row>
    <row r="201" spans="1:14" ht="22.2" customHeight="1">
      <c r="A201" s="44" t="s">
        <v>8</v>
      </c>
      <c r="B201" s="48" t="s">
        <v>9</v>
      </c>
      <c r="C201" s="44" t="s">
        <v>10</v>
      </c>
      <c r="D201" s="48" t="s">
        <v>11</v>
      </c>
      <c r="E201" s="48" t="s">
        <v>59</v>
      </c>
      <c r="F201" s="49" t="s">
        <v>12</v>
      </c>
      <c r="G201" s="111" t="s">
        <v>13</v>
      </c>
      <c r="I201" s="9"/>
      <c r="J201" s="9"/>
      <c r="K201" s="9"/>
      <c r="L201" s="103"/>
      <c r="M201" s="108"/>
      <c r="N201" s="9"/>
    </row>
    <row r="202" spans="1:14" ht="20.100000000000001" customHeight="1">
      <c r="A202" s="149" t="s">
        <v>67</v>
      </c>
      <c r="B202" s="150"/>
      <c r="C202" s="150"/>
      <c r="D202" s="150"/>
      <c r="E202" s="150"/>
      <c r="F202" s="151"/>
      <c r="G202" s="116">
        <f>+G198</f>
        <v>483728</v>
      </c>
      <c r="I202" s="9"/>
      <c r="J202" s="9"/>
      <c r="K202" s="9"/>
      <c r="L202" s="103"/>
      <c r="M202" s="108"/>
      <c r="N202" s="9"/>
    </row>
    <row r="203" spans="1:14" ht="13.95" customHeight="1">
      <c r="A203" s="1"/>
      <c r="B203" s="1"/>
      <c r="C203" s="33"/>
      <c r="D203" s="1"/>
      <c r="E203" s="3"/>
      <c r="F203" s="4"/>
      <c r="G203" s="5"/>
      <c r="I203" s="3"/>
      <c r="J203" s="3"/>
      <c r="K203" s="3"/>
      <c r="L203" s="103"/>
      <c r="M203" s="108"/>
      <c r="N203" s="9"/>
    </row>
    <row r="204" spans="1:14" ht="13.95" customHeight="1">
      <c r="A204" s="9"/>
      <c r="B204" s="1" t="s">
        <v>98</v>
      </c>
      <c r="C204" s="34" t="s">
        <v>30</v>
      </c>
      <c r="D204" s="1"/>
      <c r="E204" s="3"/>
      <c r="F204" s="4"/>
      <c r="G204" s="5"/>
      <c r="I204" s="3"/>
      <c r="J204" s="3"/>
      <c r="K204" s="3"/>
      <c r="L204" s="103"/>
      <c r="M204" s="108"/>
      <c r="N204" s="9"/>
    </row>
    <row r="205" spans="1:14" ht="13.95" customHeight="1">
      <c r="A205" s="9"/>
      <c r="B205" s="1"/>
      <c r="C205" s="33"/>
      <c r="D205" s="1"/>
      <c r="E205" s="3"/>
      <c r="F205" s="4"/>
      <c r="G205" s="5"/>
      <c r="I205" s="3"/>
      <c r="J205" s="3"/>
      <c r="K205" s="3"/>
      <c r="L205" s="103"/>
      <c r="M205" s="108"/>
      <c r="N205" s="9"/>
    </row>
    <row r="206" spans="1:14" ht="13.95" customHeight="1">
      <c r="A206" s="9"/>
      <c r="B206" s="1"/>
      <c r="C206" s="33" t="s">
        <v>31</v>
      </c>
      <c r="D206" s="1"/>
      <c r="E206" s="3"/>
      <c r="F206" s="4"/>
      <c r="G206" s="5"/>
      <c r="I206" s="3"/>
      <c r="J206" s="3"/>
      <c r="K206" s="3"/>
      <c r="L206" s="103"/>
      <c r="M206" s="108"/>
      <c r="N206" s="9"/>
    </row>
    <row r="207" spans="1:14" ht="13.95" customHeight="1">
      <c r="A207" s="9"/>
      <c r="B207" s="1"/>
      <c r="C207" s="33"/>
      <c r="D207" s="1"/>
      <c r="E207" s="3"/>
      <c r="F207" s="4"/>
      <c r="G207" s="5"/>
      <c r="I207" s="3"/>
      <c r="J207" s="3"/>
      <c r="K207" s="3"/>
      <c r="L207" s="103"/>
      <c r="M207" s="108"/>
      <c r="N207" s="9"/>
    </row>
    <row r="208" spans="1:14" ht="13.95" customHeight="1">
      <c r="A208" s="9">
        <f>A194+1</f>
        <v>36</v>
      </c>
      <c r="B208" s="1"/>
      <c r="C208" s="33" t="s">
        <v>32</v>
      </c>
      <c r="D208" s="1" t="s">
        <v>51</v>
      </c>
      <c r="E208" s="3">
        <f>SUM(I208:N208)</f>
        <v>0.27</v>
      </c>
      <c r="F208" s="3">
        <v>35000</v>
      </c>
      <c r="G208" s="5">
        <f t="shared" ref="G208" si="46">+E208*F208</f>
        <v>9450</v>
      </c>
      <c r="I208" s="4">
        <v>0.27</v>
      </c>
      <c r="J208" s="4"/>
      <c r="K208" s="4"/>
      <c r="L208" s="103"/>
      <c r="M208" s="108"/>
      <c r="N208" s="9"/>
    </row>
    <row r="209" spans="1:14" ht="13.95" customHeight="1">
      <c r="A209" s="9"/>
      <c r="B209" s="1"/>
      <c r="C209" s="33"/>
      <c r="D209" s="1"/>
      <c r="E209" s="4"/>
      <c r="F209" s="3"/>
      <c r="G209" s="5"/>
      <c r="I209" s="4"/>
      <c r="J209" s="4"/>
      <c r="K209" s="4"/>
      <c r="L209" s="103"/>
      <c r="M209" s="108"/>
      <c r="N209" s="9"/>
    </row>
    <row r="210" spans="1:14" ht="13.95" customHeight="1">
      <c r="A210" s="9"/>
      <c r="B210" s="1"/>
      <c r="C210" s="37" t="s">
        <v>40</v>
      </c>
      <c r="D210" s="1"/>
      <c r="E210" s="4"/>
      <c r="F210" s="3"/>
      <c r="G210" s="5"/>
      <c r="I210" s="4"/>
      <c r="J210" s="4"/>
      <c r="K210" s="4"/>
      <c r="L210" s="103"/>
      <c r="M210" s="108"/>
      <c r="N210" s="9"/>
    </row>
    <row r="211" spans="1:14" ht="13.95" customHeight="1">
      <c r="A211" s="9"/>
      <c r="B211" s="1"/>
      <c r="C211" s="33"/>
      <c r="D211" s="1"/>
      <c r="E211" s="4"/>
      <c r="F211" s="3"/>
      <c r="G211" s="5"/>
      <c r="I211" s="4"/>
      <c r="J211" s="4"/>
      <c r="K211" s="4"/>
      <c r="L211" s="103"/>
      <c r="M211" s="108"/>
      <c r="N211" s="9"/>
    </row>
    <row r="212" spans="1:14" ht="13.95" customHeight="1">
      <c r="A212" s="9">
        <f>A208+1</f>
        <v>37</v>
      </c>
      <c r="B212" s="1"/>
      <c r="C212" s="33" t="s">
        <v>32</v>
      </c>
      <c r="D212" s="1" t="s">
        <v>51</v>
      </c>
      <c r="E212" s="3">
        <f>SUM(I212:N212)</f>
        <v>0.18</v>
      </c>
      <c r="F212" s="3">
        <f>F208</f>
        <v>35000</v>
      </c>
      <c r="G212" s="5">
        <f t="shared" ref="G212" si="47">+E212*F212</f>
        <v>6300</v>
      </c>
      <c r="I212" s="4">
        <v>0.18</v>
      </c>
      <c r="J212" s="4"/>
      <c r="K212" s="4"/>
      <c r="L212" s="103"/>
      <c r="M212" s="108"/>
      <c r="N212" s="9"/>
    </row>
    <row r="213" spans="1:14" ht="13.95" customHeight="1">
      <c r="A213" s="1"/>
      <c r="B213" s="1"/>
      <c r="C213" s="33"/>
      <c r="D213" s="1"/>
      <c r="E213" s="3"/>
      <c r="F213" s="4"/>
      <c r="G213" s="5"/>
      <c r="I213" s="3"/>
      <c r="J213" s="3"/>
      <c r="K213" s="3"/>
      <c r="L213" s="103"/>
      <c r="M213" s="108"/>
      <c r="N213" s="9"/>
    </row>
    <row r="214" spans="1:14" ht="24.6" customHeight="1">
      <c r="A214" s="9"/>
      <c r="B214" s="1" t="s">
        <v>99</v>
      </c>
      <c r="C214" s="34" t="s">
        <v>63</v>
      </c>
      <c r="D214" s="1"/>
      <c r="E214" s="3"/>
      <c r="F214" s="4"/>
      <c r="G214" s="5"/>
      <c r="I214" s="9"/>
      <c r="J214" s="9"/>
      <c r="K214" s="9"/>
      <c r="L214" s="103"/>
      <c r="M214" s="108"/>
      <c r="N214" s="9"/>
    </row>
    <row r="215" spans="1:14" ht="13.95" customHeight="1">
      <c r="A215" s="9"/>
      <c r="B215" s="1"/>
      <c r="C215" s="34"/>
      <c r="D215" s="1"/>
      <c r="E215" s="3"/>
      <c r="F215" s="4"/>
      <c r="G215" s="5"/>
      <c r="I215" s="9"/>
      <c r="J215" s="9"/>
      <c r="K215" s="9"/>
      <c r="L215" s="103"/>
      <c r="M215" s="108"/>
      <c r="N215" s="9"/>
    </row>
    <row r="216" spans="1:14" ht="22.95" customHeight="1">
      <c r="A216" s="9"/>
      <c r="B216" s="1"/>
      <c r="C216" s="34" t="s">
        <v>58</v>
      </c>
      <c r="D216" s="1"/>
      <c r="E216" s="3"/>
      <c r="F216" s="4"/>
      <c r="G216" s="5"/>
      <c r="I216" s="9"/>
      <c r="J216" s="9"/>
      <c r="K216" s="9"/>
      <c r="L216" s="103"/>
      <c r="M216" s="108"/>
      <c r="N216" s="9"/>
    </row>
    <row r="217" spans="1:14" ht="13.95" customHeight="1">
      <c r="A217" s="9"/>
      <c r="B217" s="1"/>
      <c r="C217" s="33"/>
      <c r="D217" s="1"/>
      <c r="E217" s="3"/>
      <c r="F217" s="4"/>
      <c r="G217" s="5"/>
      <c r="I217" s="9"/>
      <c r="J217" s="9"/>
      <c r="K217" s="9"/>
      <c r="L217" s="103"/>
      <c r="M217" s="108"/>
      <c r="N217" s="9"/>
    </row>
    <row r="218" spans="1:14" ht="46.2" customHeight="1">
      <c r="A218" s="9">
        <f>A212+1</f>
        <v>38</v>
      </c>
      <c r="B218" s="1"/>
      <c r="C218" s="33" t="s">
        <v>240</v>
      </c>
      <c r="D218" s="1" t="s">
        <v>6</v>
      </c>
      <c r="E218" s="3">
        <f>SUM(I218:N218)</f>
        <v>40</v>
      </c>
      <c r="F218" s="3">
        <v>275</v>
      </c>
      <c r="G218" s="5">
        <f t="shared" ref="G218" si="48">+E218*F218</f>
        <v>11000</v>
      </c>
      <c r="I218" s="9">
        <v>40</v>
      </c>
      <c r="J218" s="9"/>
      <c r="K218" s="9"/>
      <c r="L218" s="103"/>
      <c r="M218" s="108"/>
      <c r="N218" s="9"/>
    </row>
    <row r="219" spans="1:14" ht="13.95" customHeight="1">
      <c r="A219" s="9"/>
      <c r="B219" s="1"/>
      <c r="C219" s="33"/>
      <c r="D219" s="1"/>
      <c r="E219" s="3"/>
      <c r="F219" s="3"/>
      <c r="G219" s="5"/>
      <c r="I219" s="9"/>
      <c r="J219" s="9"/>
      <c r="K219" s="9"/>
      <c r="L219" s="103"/>
      <c r="M219" s="108"/>
      <c r="N219" s="9"/>
    </row>
    <row r="220" spans="1:14" ht="48" customHeight="1">
      <c r="A220" s="9">
        <f>A218+1</f>
        <v>39</v>
      </c>
      <c r="B220" s="1"/>
      <c r="C220" s="33" t="s">
        <v>227</v>
      </c>
      <c r="D220" s="1" t="s">
        <v>6</v>
      </c>
      <c r="E220" s="3">
        <f>SUM(I220:N220)</f>
        <v>0</v>
      </c>
      <c r="F220" s="3">
        <v>975</v>
      </c>
      <c r="G220" s="5">
        <f t="shared" ref="G220" si="49">+E220*F220</f>
        <v>0</v>
      </c>
      <c r="I220" s="45"/>
      <c r="J220" s="45"/>
      <c r="K220" s="45"/>
      <c r="L220" s="103"/>
      <c r="M220" s="108"/>
      <c r="N220" s="9"/>
    </row>
    <row r="221" spans="1:14" ht="12.6" customHeight="1">
      <c r="A221" s="9"/>
      <c r="B221" s="1"/>
      <c r="C221" s="33"/>
      <c r="D221" s="1"/>
      <c r="E221" s="3"/>
      <c r="F221" s="4"/>
      <c r="G221" s="5"/>
      <c r="I221" s="9"/>
      <c r="J221" s="9"/>
      <c r="K221" s="9"/>
      <c r="L221" s="103"/>
      <c r="M221" s="108"/>
      <c r="N221" s="9"/>
    </row>
    <row r="222" spans="1:14" ht="13.95" customHeight="1">
      <c r="A222" s="1"/>
      <c r="B222" s="1" t="s">
        <v>103</v>
      </c>
      <c r="C222" s="34" t="s">
        <v>7</v>
      </c>
      <c r="D222" s="1"/>
      <c r="E222" s="3"/>
      <c r="F222" s="4"/>
      <c r="G222" s="5"/>
      <c r="I222" s="9"/>
      <c r="J222" s="9"/>
      <c r="K222" s="9"/>
      <c r="L222" s="103"/>
      <c r="M222" s="108"/>
      <c r="N222" s="9"/>
    </row>
    <row r="223" spans="1:14" ht="13.95" customHeight="1">
      <c r="A223" s="1"/>
      <c r="B223" s="1"/>
      <c r="C223" s="33"/>
      <c r="D223" s="1"/>
      <c r="E223" s="3"/>
      <c r="F223" s="4"/>
      <c r="G223" s="5"/>
      <c r="I223" s="9"/>
      <c r="J223" s="9"/>
      <c r="K223" s="9"/>
      <c r="L223" s="103"/>
      <c r="M223" s="108"/>
      <c r="N223" s="9"/>
    </row>
    <row r="224" spans="1:14" ht="13.95" customHeight="1">
      <c r="A224" s="1"/>
      <c r="B224" s="1"/>
      <c r="C224" s="33" t="s">
        <v>68</v>
      </c>
      <c r="D224" s="1"/>
      <c r="E224" s="3"/>
      <c r="F224" s="4"/>
      <c r="G224" s="5"/>
      <c r="I224" s="9"/>
      <c r="J224" s="9"/>
      <c r="K224" s="9"/>
      <c r="L224" s="103"/>
      <c r="M224" s="108"/>
      <c r="N224" s="9"/>
    </row>
    <row r="225" spans="1:14" ht="13.95" customHeight="1">
      <c r="A225" s="1"/>
      <c r="B225" s="1"/>
      <c r="C225" s="33"/>
      <c r="D225" s="1"/>
      <c r="E225" s="3"/>
      <c r="F225" s="4"/>
      <c r="G225" s="5"/>
      <c r="I225" s="9"/>
      <c r="J225" s="9"/>
      <c r="K225" s="9"/>
      <c r="L225" s="103"/>
      <c r="M225" s="108"/>
      <c r="N225" s="9"/>
    </row>
    <row r="226" spans="1:14" ht="22.95" customHeight="1">
      <c r="A226" s="1">
        <f>A220+1</f>
        <v>40</v>
      </c>
      <c r="B226" s="1"/>
      <c r="C226" s="33" t="s">
        <v>197</v>
      </c>
      <c r="D226" s="1" t="s">
        <v>60</v>
      </c>
      <c r="E226" s="3">
        <f>SUM(I226:N226)</f>
        <v>150</v>
      </c>
      <c r="F226" s="13">
        <v>165</v>
      </c>
      <c r="G226" s="5">
        <f t="shared" ref="G226" si="50">+E226*F226</f>
        <v>24750</v>
      </c>
      <c r="I226" s="9"/>
      <c r="J226" s="9">
        <v>150</v>
      </c>
      <c r="K226" s="9"/>
      <c r="L226" s="103"/>
      <c r="M226" s="108"/>
      <c r="N226" s="9"/>
    </row>
    <row r="227" spans="1:14" ht="13.95" customHeight="1">
      <c r="A227" s="1"/>
      <c r="B227" s="1"/>
      <c r="C227" s="33"/>
      <c r="D227" s="35"/>
      <c r="E227" s="3"/>
      <c r="F227" s="4"/>
      <c r="G227" s="5"/>
      <c r="I227" s="9"/>
      <c r="J227" s="9"/>
      <c r="K227" s="9"/>
      <c r="L227" s="103"/>
      <c r="M227" s="108"/>
      <c r="N227" s="9"/>
    </row>
    <row r="228" spans="1:14" ht="13.95" customHeight="1">
      <c r="A228" s="1"/>
      <c r="B228" s="1"/>
      <c r="C228" s="46" t="s">
        <v>231</v>
      </c>
      <c r="D228" s="1"/>
      <c r="E228" s="3"/>
      <c r="F228" s="4"/>
      <c r="G228" s="5"/>
      <c r="I228" s="9"/>
      <c r="J228" s="9"/>
      <c r="K228" s="9"/>
      <c r="L228" s="103"/>
      <c r="M228" s="108"/>
      <c r="N228" s="9"/>
    </row>
    <row r="229" spans="1:14" ht="13.95" customHeight="1">
      <c r="A229" s="1"/>
      <c r="B229" s="1"/>
      <c r="C229" s="47"/>
      <c r="D229" s="35"/>
      <c r="E229" s="3"/>
      <c r="F229" s="4"/>
      <c r="G229" s="5"/>
      <c r="I229" s="9"/>
      <c r="J229" s="9"/>
      <c r="K229" s="9"/>
      <c r="L229" s="103"/>
      <c r="M229" s="108"/>
      <c r="N229" s="9"/>
    </row>
    <row r="230" spans="1:14" ht="48.6" customHeight="1">
      <c r="A230" s="1">
        <f>A226+1</f>
        <v>41</v>
      </c>
      <c r="B230" s="1"/>
      <c r="C230" s="55" t="s">
        <v>75</v>
      </c>
      <c r="D230" s="1" t="s">
        <v>51</v>
      </c>
      <c r="E230" s="3">
        <f>SUM(I230:N230)</f>
        <v>0</v>
      </c>
      <c r="F230" s="3">
        <v>1185</v>
      </c>
      <c r="G230" s="5">
        <f t="shared" ref="G230" si="51">+E230*F230</f>
        <v>0</v>
      </c>
      <c r="I230" s="9"/>
      <c r="J230" s="9"/>
      <c r="K230" s="9"/>
      <c r="L230" s="103"/>
      <c r="M230" s="108"/>
      <c r="N230" s="9"/>
    </row>
    <row r="231" spans="1:14">
      <c r="A231" s="1"/>
      <c r="B231" s="1"/>
      <c r="C231" s="55"/>
      <c r="D231" s="35"/>
      <c r="E231" s="3"/>
      <c r="F231" s="3"/>
      <c r="G231" s="5"/>
      <c r="I231" s="9"/>
      <c r="J231" s="9"/>
      <c r="K231" s="9"/>
      <c r="L231" s="103"/>
      <c r="M231" s="108"/>
      <c r="N231" s="9"/>
    </row>
    <row r="232" spans="1:14">
      <c r="A232" s="1"/>
      <c r="B232" s="1"/>
      <c r="C232" s="55"/>
      <c r="D232" s="35"/>
      <c r="E232" s="3"/>
      <c r="F232" s="3"/>
      <c r="G232" s="5"/>
      <c r="I232" s="9"/>
      <c r="J232" s="9"/>
      <c r="K232" s="9"/>
      <c r="L232" s="103"/>
      <c r="M232" s="108"/>
      <c r="N232" s="9"/>
    </row>
    <row r="233" spans="1:14">
      <c r="A233" s="1"/>
      <c r="B233" s="1"/>
      <c r="C233" s="55"/>
      <c r="D233" s="35"/>
      <c r="E233" s="3"/>
      <c r="F233" s="3"/>
      <c r="G233" s="5"/>
      <c r="I233" s="9"/>
      <c r="J233" s="9"/>
      <c r="K233" s="9"/>
      <c r="L233" s="103"/>
      <c r="M233" s="108"/>
      <c r="N233" s="9"/>
    </row>
    <row r="234" spans="1:14">
      <c r="A234" s="1"/>
      <c r="B234" s="1"/>
      <c r="C234" s="55"/>
      <c r="D234" s="35"/>
      <c r="E234" s="3"/>
      <c r="F234" s="3"/>
      <c r="G234" s="5"/>
      <c r="I234" s="9"/>
      <c r="J234" s="9"/>
      <c r="K234" s="9"/>
      <c r="L234" s="103"/>
      <c r="M234" s="108"/>
      <c r="N234" s="9"/>
    </row>
    <row r="235" spans="1:14">
      <c r="A235" s="1"/>
      <c r="B235" s="1"/>
      <c r="C235" s="55"/>
      <c r="D235" s="35"/>
      <c r="E235" s="3"/>
      <c r="F235" s="3"/>
      <c r="G235" s="5"/>
      <c r="I235" s="9"/>
      <c r="J235" s="9"/>
      <c r="K235" s="9"/>
      <c r="L235" s="103"/>
      <c r="M235" s="108"/>
      <c r="N235" s="9"/>
    </row>
    <row r="236" spans="1:14">
      <c r="A236" s="1"/>
      <c r="B236" s="1"/>
      <c r="C236" s="55"/>
      <c r="D236" s="35"/>
      <c r="E236" s="3"/>
      <c r="F236" s="3"/>
      <c r="G236" s="5"/>
      <c r="I236" s="9"/>
      <c r="J236" s="9"/>
      <c r="K236" s="9"/>
      <c r="L236" s="103"/>
      <c r="M236" s="108"/>
      <c r="N236" s="9"/>
    </row>
    <row r="237" spans="1:14" ht="13.95" customHeight="1">
      <c r="A237" s="1"/>
      <c r="B237" s="1"/>
      <c r="C237" s="55"/>
      <c r="D237" s="35"/>
      <c r="E237" s="3"/>
      <c r="F237" s="4"/>
      <c r="G237" s="5"/>
      <c r="I237" s="9"/>
      <c r="J237" s="9"/>
      <c r="K237" s="9"/>
      <c r="L237" s="103"/>
      <c r="M237" s="108"/>
      <c r="N237" s="9"/>
    </row>
    <row r="238" spans="1:14" ht="13.95" customHeight="1">
      <c r="A238" s="1"/>
      <c r="B238" s="1"/>
      <c r="C238" s="55"/>
      <c r="D238" s="35"/>
      <c r="E238" s="3"/>
      <c r="F238" s="4"/>
      <c r="G238" s="5"/>
      <c r="I238" s="9"/>
      <c r="J238" s="9"/>
      <c r="K238" s="9"/>
      <c r="L238" s="103"/>
      <c r="M238" s="108"/>
      <c r="N238" s="9"/>
    </row>
    <row r="239" spans="1:14" ht="13.95" customHeight="1">
      <c r="A239" s="1"/>
      <c r="B239" s="1"/>
      <c r="C239" s="55"/>
      <c r="D239" s="35"/>
      <c r="E239" s="3"/>
      <c r="F239" s="4"/>
      <c r="G239" s="5"/>
      <c r="I239" s="9"/>
      <c r="J239" s="9"/>
      <c r="K239" s="9"/>
      <c r="L239" s="103"/>
      <c r="M239" s="108"/>
      <c r="N239" s="9"/>
    </row>
    <row r="240" spans="1:14" ht="13.95" customHeight="1">
      <c r="A240" s="1"/>
      <c r="B240" s="1"/>
      <c r="C240" s="55"/>
      <c r="D240" s="35"/>
      <c r="E240" s="3"/>
      <c r="F240" s="4"/>
      <c r="G240" s="5"/>
      <c r="I240" s="9"/>
      <c r="J240" s="9"/>
      <c r="K240" s="9"/>
      <c r="L240" s="103"/>
      <c r="M240" s="108"/>
      <c r="N240" s="9"/>
    </row>
    <row r="241" spans="1:14" ht="13.95" customHeight="1">
      <c r="A241" s="1"/>
      <c r="B241" s="1"/>
      <c r="C241" s="55"/>
      <c r="D241" s="35"/>
      <c r="E241" s="3"/>
      <c r="F241" s="4"/>
      <c r="G241" s="5"/>
      <c r="I241" s="9"/>
      <c r="J241" s="9"/>
      <c r="K241" s="9"/>
      <c r="L241" s="103"/>
      <c r="M241" s="108"/>
      <c r="N241" s="9"/>
    </row>
    <row r="242" spans="1:14" ht="20.100000000000001" customHeight="1">
      <c r="A242" s="149" t="s">
        <v>66</v>
      </c>
      <c r="B242" s="150"/>
      <c r="C242" s="150"/>
      <c r="D242" s="150"/>
      <c r="E242" s="150"/>
      <c r="F242" s="151"/>
      <c r="G242" s="116">
        <f>SUM(G202:G241)</f>
        <v>535228</v>
      </c>
      <c r="I242" s="9"/>
      <c r="J242" s="9"/>
      <c r="K242" s="9"/>
      <c r="L242" s="103"/>
      <c r="M242" s="108"/>
      <c r="N242" s="9"/>
    </row>
    <row r="243" spans="1:14" ht="13.95" customHeight="1">
      <c r="A243" s="39"/>
      <c r="B243" s="39"/>
      <c r="C243" s="39"/>
      <c r="D243" s="39"/>
      <c r="E243" s="39"/>
      <c r="F243" s="39"/>
      <c r="G243" s="113"/>
      <c r="I243" s="9"/>
      <c r="J243" s="9"/>
      <c r="K243" s="9"/>
      <c r="L243" s="103"/>
      <c r="M243" s="108"/>
      <c r="N243" s="9"/>
    </row>
    <row r="244" spans="1:14" ht="13.95" customHeight="1">
      <c r="A244" s="39"/>
      <c r="B244" s="39"/>
      <c r="C244" s="39"/>
      <c r="D244" s="39"/>
      <c r="E244" s="39"/>
      <c r="F244" s="39"/>
      <c r="G244" s="113"/>
      <c r="I244" s="9"/>
      <c r="J244" s="9"/>
      <c r="K244" s="9"/>
      <c r="L244" s="103"/>
      <c r="M244" s="108"/>
      <c r="N244" s="9"/>
    </row>
    <row r="245" spans="1:14" ht="22.2" customHeight="1">
      <c r="A245" s="44" t="s">
        <v>8</v>
      </c>
      <c r="B245" s="48" t="s">
        <v>9</v>
      </c>
      <c r="C245" s="44" t="s">
        <v>10</v>
      </c>
      <c r="D245" s="48" t="s">
        <v>11</v>
      </c>
      <c r="E245" s="48" t="s">
        <v>59</v>
      </c>
      <c r="F245" s="49" t="s">
        <v>12</v>
      </c>
      <c r="G245" s="111" t="s">
        <v>13</v>
      </c>
      <c r="I245" s="9"/>
      <c r="J245" s="9"/>
      <c r="K245" s="9"/>
      <c r="L245" s="103"/>
      <c r="M245" s="108"/>
      <c r="N245" s="9"/>
    </row>
    <row r="246" spans="1:14" ht="20.100000000000001" customHeight="1">
      <c r="A246" s="149" t="s">
        <v>67</v>
      </c>
      <c r="B246" s="150"/>
      <c r="C246" s="150"/>
      <c r="D246" s="150"/>
      <c r="E246" s="150"/>
      <c r="F246" s="151"/>
      <c r="G246" s="116">
        <f>+G242</f>
        <v>535228</v>
      </c>
      <c r="I246" s="9"/>
      <c r="J246" s="9"/>
      <c r="K246" s="9"/>
      <c r="L246" s="103"/>
      <c r="M246" s="108"/>
      <c r="N246" s="9"/>
    </row>
    <row r="247" spans="1:14" ht="13.95" customHeight="1">
      <c r="A247" s="1"/>
      <c r="B247" s="1"/>
      <c r="C247" s="55"/>
      <c r="D247" s="35"/>
      <c r="E247" s="3"/>
      <c r="F247" s="4"/>
      <c r="G247" s="5"/>
      <c r="I247" s="9"/>
      <c r="J247" s="9"/>
      <c r="K247" s="9"/>
      <c r="L247" s="103"/>
      <c r="M247" s="108"/>
      <c r="N247" s="9"/>
    </row>
    <row r="248" spans="1:14" ht="13.95" customHeight="1">
      <c r="A248" s="1"/>
      <c r="B248" s="1"/>
      <c r="C248" s="56" t="s">
        <v>230</v>
      </c>
      <c r="D248" s="9"/>
      <c r="E248" s="9"/>
      <c r="F248" s="122"/>
      <c r="G248" s="5"/>
      <c r="I248" s="9"/>
      <c r="J248" s="9"/>
      <c r="K248" s="9"/>
      <c r="L248" s="103"/>
      <c r="M248" s="108"/>
      <c r="N248" s="9"/>
    </row>
    <row r="249" spans="1:14" ht="13.95" customHeight="1">
      <c r="A249" s="1"/>
      <c r="B249" s="1"/>
      <c r="C249" s="57"/>
      <c r="D249" s="9"/>
      <c r="E249" s="9"/>
      <c r="F249" s="122"/>
      <c r="G249" s="5"/>
      <c r="I249" s="9"/>
      <c r="J249" s="9"/>
      <c r="K249" s="9"/>
      <c r="L249" s="103"/>
      <c r="M249" s="108"/>
      <c r="N249" s="9"/>
    </row>
    <row r="250" spans="1:14" ht="48" customHeight="1">
      <c r="A250" s="1"/>
      <c r="B250" s="1"/>
      <c r="C250" s="33" t="s">
        <v>242</v>
      </c>
      <c r="D250" s="57"/>
      <c r="E250" s="57"/>
      <c r="F250" s="57"/>
      <c r="G250" s="5"/>
      <c r="I250" s="9"/>
      <c r="J250" s="9"/>
      <c r="K250" s="9"/>
      <c r="L250" s="103"/>
      <c r="M250" s="108"/>
      <c r="N250" s="9"/>
    </row>
    <row r="251" spans="1:14" ht="13.95" customHeight="1">
      <c r="A251" s="1"/>
      <c r="B251" s="1"/>
      <c r="C251" s="33"/>
      <c r="D251" s="9"/>
      <c r="E251" s="9"/>
      <c r="F251" s="122"/>
      <c r="G251" s="5"/>
      <c r="I251" s="9"/>
      <c r="J251" s="9"/>
      <c r="K251" s="9"/>
      <c r="L251" s="103"/>
      <c r="M251" s="108"/>
      <c r="N251" s="9"/>
    </row>
    <row r="252" spans="1:14" ht="25.95" customHeight="1">
      <c r="A252" s="1"/>
      <c r="B252" s="1"/>
      <c r="C252" s="33" t="s">
        <v>232</v>
      </c>
      <c r="D252" s="9"/>
      <c r="E252" s="9"/>
      <c r="F252" s="122"/>
      <c r="G252" s="5"/>
      <c r="I252" s="9"/>
      <c r="J252" s="9"/>
      <c r="K252" s="9"/>
      <c r="L252" s="103"/>
      <c r="M252" s="108"/>
      <c r="N252" s="9"/>
    </row>
    <row r="253" spans="1:14" ht="13.95" customHeight="1">
      <c r="A253" s="1"/>
      <c r="B253" s="1"/>
      <c r="C253" s="33"/>
      <c r="D253" s="9"/>
      <c r="E253" s="9"/>
      <c r="F253" s="122"/>
      <c r="G253" s="5"/>
      <c r="I253" s="9"/>
      <c r="J253" s="9"/>
      <c r="K253" s="9"/>
      <c r="L253" s="103"/>
      <c r="M253" s="108"/>
      <c r="N253" s="9"/>
    </row>
    <row r="254" spans="1:14" ht="38.4" customHeight="1">
      <c r="A254" s="1">
        <f>A230+1</f>
        <v>42</v>
      </c>
      <c r="B254" s="1"/>
      <c r="C254" s="33" t="s">
        <v>233</v>
      </c>
      <c r="D254" s="9" t="s">
        <v>1</v>
      </c>
      <c r="E254" s="3">
        <f>SUM(I254:N254)</f>
        <v>0</v>
      </c>
      <c r="F254" s="144">
        <v>775</v>
      </c>
      <c r="G254" s="5">
        <f t="shared" ref="G254" si="52">+E254*F254</f>
        <v>0</v>
      </c>
      <c r="I254" s="9"/>
      <c r="J254" s="9"/>
      <c r="K254" s="9"/>
      <c r="L254" s="103"/>
      <c r="M254" s="108"/>
      <c r="N254" s="9"/>
    </row>
    <row r="255" spans="1:14" ht="13.95" customHeight="1">
      <c r="A255" s="1"/>
      <c r="B255" s="1"/>
      <c r="C255" s="33"/>
      <c r="D255" s="9"/>
      <c r="E255" s="9"/>
      <c r="F255" s="144"/>
      <c r="G255" s="5"/>
      <c r="I255" s="9"/>
      <c r="J255" s="9"/>
      <c r="K255" s="9"/>
      <c r="L255" s="103"/>
      <c r="M255" s="108"/>
      <c r="N255" s="9"/>
    </row>
    <row r="256" spans="1:14" ht="25.95" customHeight="1">
      <c r="A256" s="1">
        <f>A254+1</f>
        <v>43</v>
      </c>
      <c r="B256" s="1"/>
      <c r="C256" s="33" t="s">
        <v>228</v>
      </c>
      <c r="D256" s="9" t="s">
        <v>6</v>
      </c>
      <c r="E256" s="3">
        <f>SUM(I256:N256)</f>
        <v>0</v>
      </c>
      <c r="F256" s="144">
        <v>275</v>
      </c>
      <c r="G256" s="5">
        <f t="shared" ref="G256" si="53">+E256*F256</f>
        <v>0</v>
      </c>
      <c r="I256" s="9"/>
      <c r="J256" s="9"/>
      <c r="K256" s="9"/>
      <c r="L256" s="103"/>
      <c r="M256" s="108"/>
      <c r="N256" s="9"/>
    </row>
    <row r="257" spans="1:14" ht="13.95" customHeight="1">
      <c r="A257" s="1"/>
      <c r="B257" s="1"/>
      <c r="C257" s="33"/>
      <c r="D257" s="9"/>
      <c r="E257" s="9"/>
      <c r="F257" s="144"/>
      <c r="G257" s="5"/>
      <c r="I257" s="9"/>
      <c r="J257" s="9"/>
      <c r="K257" s="9"/>
      <c r="L257" s="103"/>
      <c r="M257" s="108"/>
      <c r="N257" s="9"/>
    </row>
    <row r="258" spans="1:14" ht="13.95" customHeight="1">
      <c r="A258" s="1">
        <f>A256+1</f>
        <v>44</v>
      </c>
      <c r="B258" s="1"/>
      <c r="C258" s="33" t="s">
        <v>229</v>
      </c>
      <c r="D258" s="9" t="s">
        <v>6</v>
      </c>
      <c r="E258" s="3">
        <f>SUM(I258:N258)</f>
        <v>0</v>
      </c>
      <c r="F258" s="144">
        <v>650</v>
      </c>
      <c r="G258" s="5">
        <f t="shared" ref="G258" si="54">+E258*F258</f>
        <v>0</v>
      </c>
      <c r="I258" s="9"/>
      <c r="J258" s="9"/>
      <c r="K258" s="9"/>
      <c r="L258" s="103"/>
      <c r="M258" s="108"/>
      <c r="N258" s="9"/>
    </row>
    <row r="259" spans="1:14" ht="13.95" customHeight="1">
      <c r="A259" s="1"/>
      <c r="B259" s="1"/>
      <c r="C259" s="17"/>
      <c r="D259" s="35"/>
      <c r="E259" s="3"/>
      <c r="F259" s="14"/>
      <c r="G259" s="5"/>
      <c r="I259" s="9"/>
      <c r="J259" s="9"/>
      <c r="K259" s="9"/>
      <c r="L259" s="103"/>
      <c r="M259" s="108"/>
      <c r="N259" s="9"/>
    </row>
    <row r="260" spans="1:14">
      <c r="A260" s="16">
        <f>+A258+1</f>
        <v>45</v>
      </c>
      <c r="B260" s="16"/>
      <c r="C260" s="47" t="s">
        <v>241</v>
      </c>
      <c r="D260" s="58" t="s">
        <v>1</v>
      </c>
      <c r="E260" s="3">
        <f>SUM(I260:N260)</f>
        <v>0</v>
      </c>
      <c r="F260" s="13">
        <v>425</v>
      </c>
      <c r="G260" s="15">
        <f t="shared" ref="G260" si="55">+E260*F260</f>
        <v>0</v>
      </c>
      <c r="I260" s="9"/>
      <c r="J260" s="9"/>
      <c r="K260" s="9"/>
      <c r="L260" s="103"/>
      <c r="M260" s="108"/>
      <c r="N260" s="9"/>
    </row>
    <row r="261" spans="1:14" ht="13.95" customHeight="1">
      <c r="A261" s="1"/>
      <c r="B261" s="1"/>
      <c r="C261" s="17"/>
      <c r="D261" s="35"/>
      <c r="E261" s="3"/>
      <c r="F261" s="4"/>
      <c r="G261" s="5"/>
      <c r="I261" s="9"/>
      <c r="J261" s="9"/>
      <c r="K261" s="9"/>
      <c r="L261" s="103"/>
      <c r="M261" s="108"/>
      <c r="N261" s="9"/>
    </row>
    <row r="262" spans="1:14" ht="22.2" customHeight="1">
      <c r="A262" s="1"/>
      <c r="B262" s="51" t="s">
        <v>105</v>
      </c>
      <c r="C262" s="11" t="s">
        <v>204</v>
      </c>
      <c r="D262" s="40"/>
      <c r="E262" s="3"/>
      <c r="F262" s="4"/>
      <c r="G262" s="5"/>
      <c r="I262" s="9"/>
      <c r="J262" s="9"/>
      <c r="K262" s="9"/>
      <c r="L262" s="103"/>
      <c r="M262" s="108"/>
      <c r="N262" s="9"/>
    </row>
    <row r="263" spans="1:14" ht="13.95" customHeight="1">
      <c r="A263" s="1"/>
      <c r="B263" s="51"/>
      <c r="C263" s="6"/>
      <c r="D263" s="9"/>
      <c r="E263" s="3"/>
      <c r="F263" s="4"/>
      <c r="G263" s="5"/>
      <c r="I263" s="9"/>
      <c r="J263" s="9"/>
      <c r="K263" s="9"/>
      <c r="L263" s="103"/>
      <c r="M263" s="108"/>
      <c r="N263" s="9"/>
    </row>
    <row r="264" spans="1:14" ht="13.95" customHeight="1">
      <c r="A264" s="1"/>
      <c r="B264" s="51" t="s">
        <v>92</v>
      </c>
      <c r="C264" s="52" t="s">
        <v>205</v>
      </c>
      <c r="D264" s="9"/>
      <c r="E264" s="3"/>
      <c r="F264" s="4"/>
      <c r="G264" s="5"/>
      <c r="I264" s="9"/>
      <c r="J264" s="9"/>
      <c r="K264" s="9"/>
      <c r="L264" s="103"/>
      <c r="M264" s="108"/>
      <c r="N264" s="9"/>
    </row>
    <row r="265" spans="1:14" ht="13.95" customHeight="1">
      <c r="A265" s="1"/>
      <c r="B265" s="51"/>
      <c r="C265" s="6"/>
      <c r="D265" s="9"/>
      <c r="E265" s="3"/>
      <c r="F265" s="4"/>
      <c r="G265" s="5"/>
      <c r="I265" s="9"/>
      <c r="J265" s="9"/>
      <c r="K265" s="9"/>
      <c r="L265" s="103"/>
      <c r="M265" s="108"/>
      <c r="N265" s="9"/>
    </row>
    <row r="266" spans="1:14" ht="24" customHeight="1">
      <c r="A266" s="1"/>
      <c r="B266" s="51" t="s">
        <v>206</v>
      </c>
      <c r="C266" s="21" t="s">
        <v>207</v>
      </c>
      <c r="D266" s="9"/>
      <c r="E266" s="3"/>
      <c r="F266" s="4"/>
      <c r="G266" s="5"/>
      <c r="I266" s="9"/>
      <c r="J266" s="9"/>
      <c r="K266" s="9"/>
      <c r="L266" s="103"/>
      <c r="M266" s="108"/>
      <c r="N266" s="9"/>
    </row>
    <row r="267" spans="1:14" ht="13.95" customHeight="1">
      <c r="A267" s="1"/>
      <c r="B267" s="51"/>
      <c r="C267" s="6"/>
      <c r="D267" s="9"/>
      <c r="E267" s="3"/>
      <c r="F267" s="4"/>
      <c r="G267" s="5"/>
      <c r="I267" s="9"/>
      <c r="J267" s="9"/>
      <c r="K267" s="9"/>
      <c r="L267" s="103"/>
      <c r="M267" s="108"/>
      <c r="N267" s="9"/>
    </row>
    <row r="268" spans="1:14" ht="13.95" customHeight="1">
      <c r="A268" s="1">
        <f>A260+1</f>
        <v>46</v>
      </c>
      <c r="B268" s="51" t="s">
        <v>208</v>
      </c>
      <c r="C268" s="6" t="s">
        <v>21</v>
      </c>
      <c r="D268" s="9" t="s">
        <v>1</v>
      </c>
      <c r="E268" s="3">
        <f>SUM(I268:N268)</f>
        <v>0</v>
      </c>
      <c r="F268" s="13">
        <v>1950</v>
      </c>
      <c r="G268" s="5">
        <f t="shared" ref="G268" si="56">+E268*F268</f>
        <v>0</v>
      </c>
      <c r="I268" s="9"/>
      <c r="J268" s="9"/>
      <c r="K268" s="9"/>
      <c r="L268" s="103"/>
      <c r="M268" s="108"/>
      <c r="N268" s="9"/>
    </row>
    <row r="269" spans="1:14" ht="13.95" customHeight="1">
      <c r="A269" s="1"/>
      <c r="B269" s="51"/>
      <c r="C269" s="6"/>
      <c r="D269" s="9"/>
      <c r="E269" s="3"/>
      <c r="F269" s="13"/>
      <c r="G269" s="5"/>
      <c r="I269" s="9"/>
      <c r="J269" s="9"/>
      <c r="K269" s="9"/>
      <c r="L269" s="103"/>
      <c r="M269" s="108"/>
      <c r="N269" s="9"/>
    </row>
    <row r="270" spans="1:14" ht="12.6" customHeight="1">
      <c r="A270" s="1">
        <f>A268+1</f>
        <v>47</v>
      </c>
      <c r="B270" s="51" t="s">
        <v>209</v>
      </c>
      <c r="C270" s="18" t="s">
        <v>210</v>
      </c>
      <c r="D270" s="9" t="s">
        <v>6</v>
      </c>
      <c r="E270" s="3">
        <f>SUM(I270:N270)</f>
        <v>0</v>
      </c>
      <c r="F270" s="13">
        <v>350</v>
      </c>
      <c r="G270" s="5">
        <f t="shared" ref="G270" si="57">+E270*F270</f>
        <v>0</v>
      </c>
      <c r="I270" s="9"/>
      <c r="J270" s="9"/>
      <c r="K270" s="9"/>
      <c r="L270" s="103"/>
      <c r="M270" s="108"/>
      <c r="N270" s="9"/>
    </row>
    <row r="271" spans="1:14" ht="12.6" customHeight="1">
      <c r="A271" s="1"/>
      <c r="B271" s="1"/>
      <c r="C271" s="33"/>
      <c r="D271" s="35"/>
      <c r="E271" s="3"/>
      <c r="F271" s="13"/>
      <c r="G271" s="5"/>
      <c r="I271" s="9"/>
      <c r="J271" s="9"/>
      <c r="K271" s="9"/>
      <c r="L271" s="103"/>
      <c r="M271" s="108"/>
      <c r="N271" s="9"/>
    </row>
    <row r="272" spans="1:14" ht="12.6" customHeight="1">
      <c r="A272" s="1"/>
      <c r="B272" s="1"/>
      <c r="C272" s="123" t="s">
        <v>236</v>
      </c>
      <c r="D272" s="35"/>
      <c r="E272" s="3"/>
      <c r="F272" s="13"/>
      <c r="G272" s="5"/>
      <c r="I272" s="9"/>
      <c r="J272" s="9"/>
      <c r="K272" s="9"/>
      <c r="L272" s="103"/>
      <c r="M272" s="108"/>
      <c r="N272" s="9"/>
    </row>
    <row r="273" spans="1:14" ht="12.6" customHeight="1">
      <c r="A273" s="1"/>
      <c r="B273" s="1"/>
      <c r="C273" s="6"/>
      <c r="D273" s="35"/>
      <c r="E273" s="3"/>
      <c r="F273" s="13"/>
      <c r="G273" s="5"/>
      <c r="I273" s="9"/>
      <c r="J273" s="9"/>
      <c r="K273" s="9"/>
      <c r="L273" s="103"/>
      <c r="M273" s="108"/>
      <c r="N273" s="9"/>
    </row>
    <row r="274" spans="1:14" ht="12.6" customHeight="1">
      <c r="A274" s="1"/>
      <c r="B274" s="1"/>
      <c r="C274" s="124" t="s">
        <v>234</v>
      </c>
      <c r="D274" s="35"/>
      <c r="E274" s="3"/>
      <c r="F274" s="13"/>
      <c r="G274" s="5"/>
      <c r="I274" s="9"/>
      <c r="J274" s="9"/>
      <c r="K274" s="9"/>
      <c r="L274" s="103"/>
      <c r="M274" s="108"/>
      <c r="N274" s="9"/>
    </row>
    <row r="275" spans="1:14" ht="12.6" customHeight="1">
      <c r="A275" s="1"/>
      <c r="B275" s="1"/>
      <c r="C275" s="33"/>
      <c r="D275" s="35"/>
      <c r="E275" s="3"/>
      <c r="F275" s="13"/>
      <c r="G275" s="5"/>
      <c r="I275" s="9"/>
      <c r="J275" s="9"/>
      <c r="K275" s="9"/>
      <c r="L275" s="103"/>
      <c r="M275" s="108"/>
      <c r="N275" s="9"/>
    </row>
    <row r="276" spans="1:14" ht="38.4" customHeight="1">
      <c r="A276" s="1">
        <f>A270+1</f>
        <v>48</v>
      </c>
      <c r="B276" s="1"/>
      <c r="C276" s="125" t="s">
        <v>235</v>
      </c>
      <c r="D276" s="1" t="s">
        <v>60</v>
      </c>
      <c r="E276" s="3">
        <f>SUM(I276:N276)</f>
        <v>0</v>
      </c>
      <c r="F276" s="13">
        <v>3750</v>
      </c>
      <c r="G276" s="5">
        <f t="shared" ref="G276" si="58">+E276*F276</f>
        <v>0</v>
      </c>
      <c r="I276" s="9"/>
      <c r="J276" s="9"/>
      <c r="K276" s="9"/>
      <c r="L276" s="103"/>
      <c r="M276" s="108"/>
      <c r="N276" s="9"/>
    </row>
    <row r="277" spans="1:14" ht="12.6" customHeight="1">
      <c r="A277" s="1"/>
      <c r="B277" s="1"/>
      <c r="C277" s="33"/>
      <c r="D277" s="35"/>
      <c r="E277" s="3"/>
      <c r="F277" s="13"/>
      <c r="G277" s="5"/>
      <c r="I277" s="9"/>
      <c r="J277" s="9"/>
      <c r="K277" s="9"/>
      <c r="L277" s="103"/>
      <c r="M277" s="108"/>
      <c r="N277" s="9"/>
    </row>
    <row r="278" spans="1:14" ht="13.95" customHeight="1">
      <c r="A278" s="1"/>
      <c r="B278" s="1"/>
      <c r="C278" s="34" t="s">
        <v>212</v>
      </c>
      <c r="D278" s="1" t="s">
        <v>64</v>
      </c>
      <c r="E278" s="3"/>
      <c r="F278" s="14"/>
      <c r="G278" s="5"/>
      <c r="I278" s="9"/>
      <c r="J278" s="9"/>
      <c r="K278" s="9"/>
      <c r="L278" s="103"/>
      <c r="M278" s="108"/>
      <c r="N278" s="9"/>
    </row>
    <row r="279" spans="1:14" ht="13.95" customHeight="1">
      <c r="A279" s="1"/>
      <c r="B279" s="1"/>
      <c r="C279" s="33" t="s">
        <v>64</v>
      </c>
      <c r="D279" s="1" t="s">
        <v>64</v>
      </c>
      <c r="E279" s="3"/>
      <c r="F279" s="4"/>
      <c r="G279" s="5"/>
      <c r="I279" s="9"/>
      <c r="J279" s="9"/>
      <c r="K279" s="9"/>
      <c r="L279" s="103"/>
      <c r="M279" s="108"/>
      <c r="N279" s="9"/>
    </row>
    <row r="280" spans="1:14" ht="22.2" customHeight="1">
      <c r="A280" s="1">
        <f>A276+1</f>
        <v>49</v>
      </c>
      <c r="B280" s="1"/>
      <c r="C280" s="33" t="s">
        <v>217</v>
      </c>
      <c r="D280" s="1" t="s">
        <v>60</v>
      </c>
      <c r="E280" s="3">
        <f>SUM(I280:N280)</f>
        <v>413</v>
      </c>
      <c r="F280" s="3">
        <v>885</v>
      </c>
      <c r="G280" s="5">
        <f t="shared" ref="G280" si="59">+E280*F280</f>
        <v>365505</v>
      </c>
      <c r="I280" s="9"/>
      <c r="J280" s="9">
        <v>413</v>
      </c>
      <c r="K280" s="9"/>
      <c r="L280" s="103"/>
      <c r="M280" s="108"/>
      <c r="N280" s="9"/>
    </row>
    <row r="281" spans="1:14">
      <c r="A281" s="1"/>
      <c r="B281" s="1"/>
      <c r="C281" s="33"/>
      <c r="D281" s="35"/>
      <c r="E281" s="3"/>
      <c r="F281" s="3"/>
      <c r="G281" s="5"/>
      <c r="I281" s="9"/>
      <c r="J281" s="9"/>
      <c r="K281" s="9"/>
      <c r="L281" s="103"/>
      <c r="M281" s="108"/>
      <c r="N281" s="9"/>
    </row>
    <row r="282" spans="1:14" ht="13.95" customHeight="1">
      <c r="A282" s="1"/>
      <c r="B282" s="1"/>
      <c r="C282" s="33"/>
      <c r="D282" s="35"/>
      <c r="E282" s="3"/>
      <c r="F282" s="4"/>
      <c r="G282" s="5"/>
      <c r="I282" s="9"/>
      <c r="J282" s="9"/>
      <c r="K282" s="9"/>
      <c r="L282" s="103"/>
      <c r="M282" s="108"/>
      <c r="N282" s="9"/>
    </row>
    <row r="283" spans="1:14" ht="13.95" customHeight="1">
      <c r="A283" s="1"/>
      <c r="B283" s="1"/>
      <c r="C283" s="33"/>
      <c r="D283" s="35"/>
      <c r="E283" s="3"/>
      <c r="F283" s="4"/>
      <c r="G283" s="5"/>
      <c r="I283" s="9"/>
      <c r="J283" s="9"/>
      <c r="K283" s="9"/>
      <c r="L283" s="103"/>
      <c r="M283" s="108"/>
      <c r="N283" s="9"/>
    </row>
    <row r="284" spans="1:14" ht="13.95" customHeight="1">
      <c r="A284" s="1"/>
      <c r="B284" s="1"/>
      <c r="C284" s="33"/>
      <c r="D284" s="35"/>
      <c r="E284" s="3"/>
      <c r="F284" s="4"/>
      <c r="G284" s="5"/>
      <c r="I284" s="9"/>
      <c r="J284" s="9"/>
      <c r="K284" s="9"/>
      <c r="L284" s="103"/>
      <c r="M284" s="108"/>
      <c r="N284" s="9"/>
    </row>
    <row r="285" spans="1:14" ht="20.100000000000001" customHeight="1">
      <c r="A285" s="149" t="s">
        <v>66</v>
      </c>
      <c r="B285" s="150"/>
      <c r="C285" s="150"/>
      <c r="D285" s="150"/>
      <c r="E285" s="150"/>
      <c r="F285" s="151"/>
      <c r="G285" s="116">
        <f>SUM(G246:G284)</f>
        <v>900733</v>
      </c>
      <c r="I285" s="9"/>
      <c r="J285" s="9"/>
      <c r="K285" s="9"/>
      <c r="L285" s="103"/>
      <c r="M285" s="108"/>
      <c r="N285" s="9"/>
    </row>
    <row r="286" spans="1:14" ht="13.95" customHeight="1">
      <c r="A286" s="39"/>
      <c r="B286" s="39"/>
      <c r="C286" s="39"/>
      <c r="D286" s="39"/>
      <c r="E286" s="39"/>
      <c r="F286" s="39"/>
      <c r="G286" s="113"/>
      <c r="I286" s="9"/>
      <c r="J286" s="9"/>
      <c r="K286" s="9"/>
      <c r="L286" s="103"/>
      <c r="M286" s="108"/>
      <c r="N286" s="9"/>
    </row>
    <row r="287" spans="1:14" ht="13.95" customHeight="1">
      <c r="A287" s="39"/>
      <c r="B287" s="39"/>
      <c r="C287" s="39"/>
      <c r="D287" s="39"/>
      <c r="E287" s="39"/>
      <c r="F287" s="39"/>
      <c r="G287" s="113"/>
      <c r="I287" s="9"/>
      <c r="J287" s="9"/>
      <c r="K287" s="9"/>
      <c r="L287" s="103"/>
      <c r="M287" s="108"/>
      <c r="N287" s="9"/>
    </row>
    <row r="288" spans="1:14" ht="22.2" customHeight="1">
      <c r="A288" s="44" t="s">
        <v>8</v>
      </c>
      <c r="B288" s="48" t="s">
        <v>9</v>
      </c>
      <c r="C288" s="44" t="s">
        <v>10</v>
      </c>
      <c r="D288" s="48" t="s">
        <v>11</v>
      </c>
      <c r="E288" s="48" t="s">
        <v>59</v>
      </c>
      <c r="F288" s="49" t="s">
        <v>12</v>
      </c>
      <c r="G288" s="111" t="s">
        <v>13</v>
      </c>
      <c r="I288" s="9"/>
      <c r="J288" s="9"/>
      <c r="K288" s="9"/>
      <c r="L288" s="103"/>
      <c r="M288" s="108"/>
      <c r="N288" s="9"/>
    </row>
    <row r="289" spans="1:14" ht="20.100000000000001" customHeight="1">
      <c r="A289" s="149" t="s">
        <v>67</v>
      </c>
      <c r="B289" s="150"/>
      <c r="C289" s="150"/>
      <c r="D289" s="150"/>
      <c r="E289" s="150"/>
      <c r="F289" s="151"/>
      <c r="G289" s="116">
        <f>+G285</f>
        <v>900733</v>
      </c>
      <c r="I289" s="9"/>
      <c r="J289" s="9"/>
      <c r="K289" s="9"/>
      <c r="L289" s="103"/>
      <c r="M289" s="108"/>
      <c r="N289" s="9"/>
    </row>
    <row r="290" spans="1:14" ht="13.95" customHeight="1">
      <c r="A290" s="1"/>
      <c r="B290" s="1"/>
      <c r="C290" s="33"/>
      <c r="D290" s="35"/>
      <c r="E290" s="3"/>
      <c r="F290" s="4"/>
      <c r="G290" s="5"/>
      <c r="I290" s="9"/>
      <c r="J290" s="9"/>
      <c r="K290" s="9"/>
      <c r="L290" s="103"/>
      <c r="M290" s="108"/>
      <c r="N290" s="9"/>
    </row>
    <row r="291" spans="1:14" ht="13.95" customHeight="1">
      <c r="A291" s="16"/>
      <c r="B291" s="76" t="s">
        <v>167</v>
      </c>
      <c r="C291" s="74" t="s">
        <v>168</v>
      </c>
      <c r="D291" s="93"/>
      <c r="E291" s="94"/>
      <c r="F291" s="14"/>
      <c r="G291" s="15"/>
      <c r="I291" s="9"/>
      <c r="J291" s="9"/>
      <c r="K291" s="9"/>
      <c r="L291" s="103"/>
      <c r="M291" s="108"/>
      <c r="N291" s="9"/>
    </row>
    <row r="292" spans="1:14" ht="13.95" customHeight="1">
      <c r="A292" s="16"/>
      <c r="B292" s="12"/>
      <c r="C292" s="75"/>
      <c r="D292" s="93"/>
      <c r="E292" s="94"/>
      <c r="F292" s="14"/>
      <c r="G292" s="15"/>
      <c r="I292" s="9"/>
      <c r="J292" s="9"/>
      <c r="K292" s="9"/>
      <c r="L292" s="103"/>
      <c r="M292" s="108"/>
      <c r="N292" s="9"/>
    </row>
    <row r="293" spans="1:14" ht="13.95" customHeight="1">
      <c r="A293" s="16"/>
      <c r="B293" s="12" t="s">
        <v>193</v>
      </c>
      <c r="C293" s="70" t="s">
        <v>164</v>
      </c>
      <c r="D293" s="12"/>
      <c r="E293" s="94"/>
      <c r="F293" s="14"/>
      <c r="G293" s="15"/>
      <c r="I293" s="9"/>
      <c r="J293" s="9"/>
      <c r="K293" s="9"/>
      <c r="L293" s="103"/>
      <c r="M293" s="108"/>
      <c r="N293" s="9"/>
    </row>
    <row r="294" spans="1:14" ht="13.95" customHeight="1">
      <c r="A294" s="16"/>
      <c r="B294" s="73"/>
      <c r="C294" s="62"/>
      <c r="D294" s="12"/>
      <c r="E294" s="94"/>
      <c r="F294" s="14"/>
      <c r="G294" s="15"/>
      <c r="I294" s="9"/>
      <c r="J294" s="9"/>
      <c r="K294" s="9"/>
      <c r="L294" s="103"/>
      <c r="M294" s="108"/>
      <c r="N294" s="9"/>
    </row>
    <row r="295" spans="1:14" ht="13.95" customHeight="1">
      <c r="A295" s="16">
        <v>50</v>
      </c>
      <c r="B295" s="73"/>
      <c r="C295" s="75" t="s">
        <v>112</v>
      </c>
      <c r="D295" s="12" t="s">
        <v>60</v>
      </c>
      <c r="E295" s="3">
        <f>SUM(I295:N295)</f>
        <v>75</v>
      </c>
      <c r="F295" s="13">
        <v>890</v>
      </c>
      <c r="G295" s="15">
        <f>+E295*F295</f>
        <v>66750</v>
      </c>
      <c r="I295" s="9"/>
      <c r="J295" s="9"/>
      <c r="K295" s="9">
        <v>75</v>
      </c>
      <c r="L295" s="103"/>
      <c r="M295" s="108"/>
      <c r="N295" s="9"/>
    </row>
    <row r="296" spans="1:14" ht="13.95" customHeight="1">
      <c r="A296" s="16"/>
      <c r="B296" s="73"/>
      <c r="C296" s="62"/>
      <c r="D296" s="12"/>
      <c r="E296" s="94"/>
      <c r="F296" s="14"/>
      <c r="G296" s="15"/>
      <c r="I296" s="9"/>
      <c r="J296" s="9"/>
      <c r="K296" s="9"/>
      <c r="L296" s="103"/>
      <c r="M296" s="108"/>
      <c r="N296" s="9"/>
    </row>
    <row r="297" spans="1:14" ht="13.95" customHeight="1">
      <c r="A297" s="16"/>
      <c r="B297" s="12" t="s">
        <v>195</v>
      </c>
      <c r="C297" s="70" t="s">
        <v>194</v>
      </c>
      <c r="D297" s="12"/>
      <c r="E297" s="94"/>
      <c r="F297" s="14"/>
      <c r="G297" s="15"/>
      <c r="I297" s="9"/>
      <c r="J297" s="9"/>
      <c r="K297" s="9"/>
      <c r="L297" s="103"/>
      <c r="M297" s="108"/>
      <c r="N297" s="9"/>
    </row>
    <row r="298" spans="1:14" ht="13.95" customHeight="1">
      <c r="A298" s="16"/>
      <c r="B298" s="73"/>
      <c r="C298" s="62"/>
      <c r="D298" s="12"/>
      <c r="E298" s="94"/>
      <c r="F298" s="14"/>
      <c r="G298" s="15"/>
      <c r="I298" s="9"/>
      <c r="J298" s="9"/>
      <c r="K298" s="9"/>
      <c r="L298" s="103"/>
      <c r="M298" s="108"/>
      <c r="N298" s="9"/>
    </row>
    <row r="299" spans="1:14" ht="13.95" customHeight="1">
      <c r="A299" s="16">
        <v>51</v>
      </c>
      <c r="B299" s="73"/>
      <c r="C299" s="75" t="s">
        <v>165</v>
      </c>
      <c r="D299" s="12" t="s">
        <v>60</v>
      </c>
      <c r="E299" s="3">
        <f>SUM(I299:N299)</f>
        <v>150</v>
      </c>
      <c r="F299" s="14">
        <v>325</v>
      </c>
      <c r="G299" s="15">
        <f t="shared" ref="G299" si="60">+E299*F299</f>
        <v>48750</v>
      </c>
      <c r="I299" s="9"/>
      <c r="J299" s="9"/>
      <c r="K299" s="9">
        <v>150</v>
      </c>
      <c r="L299" s="103"/>
      <c r="M299" s="108"/>
      <c r="N299" s="9"/>
    </row>
    <row r="300" spans="1:14" ht="13.95" customHeight="1">
      <c r="A300" s="16"/>
      <c r="B300" s="12"/>
      <c r="C300" s="75"/>
      <c r="D300" s="93"/>
      <c r="E300" s="94"/>
      <c r="F300" s="14"/>
      <c r="G300" s="15"/>
      <c r="I300" s="9"/>
      <c r="J300" s="9"/>
      <c r="K300" s="9"/>
      <c r="L300" s="103"/>
      <c r="M300" s="108"/>
      <c r="N300" s="9"/>
    </row>
    <row r="301" spans="1:14" ht="24">
      <c r="A301" s="16"/>
      <c r="B301" s="76" t="s">
        <v>169</v>
      </c>
      <c r="C301" s="46" t="s">
        <v>216</v>
      </c>
      <c r="D301" s="12"/>
      <c r="E301" s="12"/>
      <c r="F301" s="145"/>
      <c r="G301" s="15"/>
      <c r="I301" s="9"/>
      <c r="J301" s="9"/>
      <c r="K301" s="9"/>
      <c r="L301" s="103"/>
      <c r="M301" s="108"/>
      <c r="N301" s="9"/>
    </row>
    <row r="302" spans="1:14" ht="13.95" customHeight="1">
      <c r="A302" s="16"/>
      <c r="B302" s="76"/>
      <c r="C302" s="75"/>
      <c r="D302" s="12"/>
      <c r="E302" s="12"/>
      <c r="F302" s="145"/>
      <c r="G302" s="15"/>
      <c r="I302" s="9"/>
      <c r="J302" s="9"/>
      <c r="K302" s="9"/>
      <c r="L302" s="103"/>
      <c r="M302" s="108"/>
      <c r="N302" s="9"/>
    </row>
    <row r="303" spans="1:14" ht="13.95" customHeight="1">
      <c r="A303" s="16"/>
      <c r="B303" s="76" t="s">
        <v>169</v>
      </c>
      <c r="C303" s="75" t="s">
        <v>170</v>
      </c>
      <c r="D303" s="12"/>
      <c r="E303" s="12"/>
      <c r="F303" s="145"/>
      <c r="G303" s="15"/>
      <c r="I303" s="9"/>
      <c r="J303" s="9"/>
      <c r="K303" s="9"/>
      <c r="L303" s="103"/>
      <c r="M303" s="108"/>
      <c r="N303" s="9"/>
    </row>
    <row r="304" spans="1:14" ht="13.95" customHeight="1">
      <c r="A304" s="16"/>
      <c r="B304" s="76"/>
      <c r="C304" s="75"/>
      <c r="D304" s="12"/>
      <c r="E304" s="12"/>
      <c r="F304" s="145"/>
      <c r="G304" s="15"/>
      <c r="I304" s="9"/>
      <c r="J304" s="9"/>
      <c r="K304" s="9"/>
      <c r="L304" s="103"/>
      <c r="M304" s="108"/>
      <c r="N304" s="9"/>
    </row>
    <row r="305" spans="1:15" ht="13.95" customHeight="1">
      <c r="A305" s="16">
        <v>52</v>
      </c>
      <c r="B305" s="76" t="s">
        <v>171</v>
      </c>
      <c r="C305" s="75" t="s">
        <v>172</v>
      </c>
      <c r="D305" s="12" t="s">
        <v>60</v>
      </c>
      <c r="E305" s="3">
        <f>SUM(I305:N305)</f>
        <v>150</v>
      </c>
      <c r="F305" s="94">
        <v>275</v>
      </c>
      <c r="G305" s="15">
        <f t="shared" ref="G305:G313" si="61">+E305*F305</f>
        <v>41250</v>
      </c>
      <c r="I305" s="9"/>
      <c r="J305" s="9"/>
      <c r="K305" s="9">
        <v>150</v>
      </c>
      <c r="L305" s="103"/>
      <c r="M305" s="108"/>
      <c r="N305" s="9"/>
    </row>
    <row r="306" spans="1:15" ht="13.95" customHeight="1">
      <c r="A306" s="16"/>
      <c r="B306" s="12"/>
      <c r="C306" s="75"/>
      <c r="D306" s="93"/>
      <c r="E306" s="94"/>
      <c r="F306" s="14"/>
      <c r="G306" s="15"/>
      <c r="I306" s="9"/>
      <c r="J306" s="9"/>
      <c r="K306" s="9"/>
      <c r="L306" s="103"/>
      <c r="M306" s="108"/>
      <c r="N306" s="9"/>
    </row>
    <row r="307" spans="1:15" ht="13.95" customHeight="1">
      <c r="A307" s="16"/>
      <c r="B307" s="12" t="s">
        <v>102</v>
      </c>
      <c r="C307" s="74" t="s">
        <v>166</v>
      </c>
      <c r="D307" s="12"/>
      <c r="E307" s="94"/>
      <c r="F307" s="14"/>
      <c r="G307" s="15"/>
      <c r="I307" s="9"/>
      <c r="J307" s="9"/>
      <c r="K307" s="9"/>
      <c r="L307" s="103"/>
      <c r="M307" s="108"/>
      <c r="N307" s="9"/>
    </row>
    <row r="308" spans="1:15" ht="13.95" customHeight="1">
      <c r="A308" s="16"/>
      <c r="B308" s="12"/>
      <c r="C308" s="95"/>
      <c r="D308" s="12"/>
      <c r="E308" s="94"/>
      <c r="F308" s="14"/>
      <c r="G308" s="15"/>
      <c r="I308" s="9"/>
      <c r="J308" s="9"/>
      <c r="K308" s="103"/>
      <c r="L308" s="103"/>
      <c r="M308" s="108"/>
      <c r="N308" s="9"/>
    </row>
    <row r="309" spans="1:15" ht="13.95" customHeight="1">
      <c r="A309" s="16"/>
      <c r="B309" s="12"/>
      <c r="C309" s="75" t="s">
        <v>78</v>
      </c>
      <c r="D309" s="12"/>
      <c r="E309" s="94"/>
      <c r="F309" s="14"/>
      <c r="G309" s="15"/>
      <c r="I309" s="103"/>
      <c r="J309" s="103"/>
      <c r="K309" s="103"/>
      <c r="L309" s="103"/>
      <c r="M309" s="134"/>
      <c r="N309" s="9"/>
    </row>
    <row r="310" spans="1:15" ht="13.95" customHeight="1">
      <c r="A310" s="16"/>
      <c r="B310" s="12"/>
      <c r="C310" s="75"/>
      <c r="D310" s="12"/>
      <c r="E310" s="94"/>
      <c r="F310" s="14"/>
      <c r="G310" s="15"/>
      <c r="I310" s="103"/>
      <c r="J310" s="103"/>
      <c r="K310" s="103"/>
      <c r="L310" s="103"/>
      <c r="M310" s="134"/>
      <c r="N310" s="9"/>
    </row>
    <row r="311" spans="1:15" ht="36">
      <c r="A311" s="16">
        <v>53</v>
      </c>
      <c r="B311" s="12"/>
      <c r="C311" s="47" t="s">
        <v>203</v>
      </c>
      <c r="D311" s="12" t="s">
        <v>6</v>
      </c>
      <c r="E311" s="3">
        <f>SUM(I311:N311)</f>
        <v>6</v>
      </c>
      <c r="F311" s="13">
        <v>16000</v>
      </c>
      <c r="G311" s="15">
        <f t="shared" si="61"/>
        <v>96000</v>
      </c>
      <c r="I311" s="103"/>
      <c r="J311" s="103"/>
      <c r="K311" s="103">
        <v>6</v>
      </c>
      <c r="L311" s="103"/>
      <c r="M311" s="134"/>
      <c r="N311" s="103"/>
      <c r="O311" s="41"/>
    </row>
    <row r="312" spans="1:15" ht="13.95" customHeight="1">
      <c r="A312" s="16"/>
      <c r="B312" s="12"/>
      <c r="C312" s="75"/>
      <c r="D312" s="93"/>
      <c r="E312" s="94"/>
      <c r="F312" s="13"/>
      <c r="G312" s="15"/>
      <c r="I312" s="103"/>
      <c r="J312" s="103"/>
      <c r="K312" s="103"/>
      <c r="L312" s="103"/>
      <c r="M312" s="134"/>
      <c r="N312" s="103"/>
      <c r="O312" s="41"/>
    </row>
    <row r="313" spans="1:15" ht="36">
      <c r="A313" s="16">
        <v>54</v>
      </c>
      <c r="B313" s="12"/>
      <c r="C313" s="47" t="s">
        <v>286</v>
      </c>
      <c r="D313" s="12" t="s">
        <v>6</v>
      </c>
      <c r="E313" s="3">
        <f>SUM(I313:N313)</f>
        <v>4</v>
      </c>
      <c r="F313" s="13">
        <v>65000</v>
      </c>
      <c r="G313" s="15">
        <f t="shared" si="61"/>
        <v>260000</v>
      </c>
      <c r="I313" s="103"/>
      <c r="J313" s="103"/>
      <c r="K313" s="103">
        <v>4</v>
      </c>
      <c r="L313" s="103"/>
      <c r="M313" s="134"/>
      <c r="N313" s="103"/>
      <c r="O313" s="41"/>
    </row>
    <row r="314" spans="1:15" ht="13.95" customHeight="1">
      <c r="A314" s="16"/>
      <c r="B314" s="12"/>
      <c r="C314" s="75"/>
      <c r="D314" s="93"/>
      <c r="E314" s="3"/>
      <c r="F314" s="13"/>
      <c r="G314" s="15"/>
      <c r="I314" s="103"/>
      <c r="J314" s="103"/>
      <c r="K314" s="103"/>
      <c r="L314" s="103"/>
      <c r="M314" s="134"/>
      <c r="N314" s="103"/>
      <c r="O314" s="41"/>
    </row>
    <row r="315" spans="1:15" ht="13.95" customHeight="1">
      <c r="A315" s="16"/>
      <c r="B315" s="12"/>
      <c r="C315" s="75"/>
      <c r="D315" s="93"/>
      <c r="E315" s="3"/>
      <c r="F315" s="13"/>
      <c r="G315" s="15"/>
      <c r="I315" s="103"/>
      <c r="J315" s="103"/>
      <c r="K315" s="103"/>
      <c r="L315" s="103"/>
      <c r="M315" s="134"/>
      <c r="N315" s="103"/>
      <c r="O315" s="41"/>
    </row>
    <row r="316" spans="1:15" ht="13.95" customHeight="1">
      <c r="A316" s="16"/>
      <c r="B316" s="12"/>
      <c r="C316" s="75"/>
      <c r="D316" s="93"/>
      <c r="E316" s="3"/>
      <c r="F316" s="13"/>
      <c r="G316" s="15"/>
      <c r="I316" s="103"/>
      <c r="J316" s="103"/>
      <c r="K316" s="103"/>
      <c r="L316" s="103"/>
      <c r="M316" s="134"/>
      <c r="N316" s="103"/>
      <c r="O316" s="41"/>
    </row>
    <row r="317" spans="1:15" ht="13.95" customHeight="1">
      <c r="A317" s="16"/>
      <c r="B317" s="12"/>
      <c r="C317" s="75"/>
      <c r="D317" s="93"/>
      <c r="E317" s="3"/>
      <c r="F317" s="13"/>
      <c r="G317" s="15"/>
      <c r="I317" s="103"/>
      <c r="J317" s="103"/>
      <c r="K317" s="103"/>
      <c r="L317" s="103"/>
      <c r="M317" s="134"/>
      <c r="N317" s="103"/>
      <c r="O317" s="41"/>
    </row>
    <row r="318" spans="1:15" ht="13.95" customHeight="1">
      <c r="A318" s="16"/>
      <c r="B318" s="12"/>
      <c r="C318" s="75"/>
      <c r="D318" s="93"/>
      <c r="E318" s="3"/>
      <c r="F318" s="13"/>
      <c r="G318" s="15"/>
      <c r="I318" s="103"/>
      <c r="J318" s="103"/>
      <c r="K318" s="103"/>
      <c r="L318" s="103"/>
      <c r="M318" s="134"/>
      <c r="N318" s="103"/>
      <c r="O318" s="41"/>
    </row>
    <row r="319" spans="1:15" ht="13.95" customHeight="1">
      <c r="A319" s="16"/>
      <c r="B319" s="12"/>
      <c r="C319" s="75"/>
      <c r="D319" s="93"/>
      <c r="E319" s="3"/>
      <c r="F319" s="13"/>
      <c r="G319" s="15"/>
      <c r="I319" s="103"/>
      <c r="J319" s="103"/>
      <c r="K319" s="103"/>
      <c r="L319" s="103"/>
      <c r="M319" s="134"/>
      <c r="N319" s="103"/>
      <c r="O319" s="41"/>
    </row>
    <row r="320" spans="1:15" ht="13.95" customHeight="1">
      <c r="A320" s="16"/>
      <c r="B320" s="12"/>
      <c r="C320" s="75"/>
      <c r="D320" s="93"/>
      <c r="E320" s="3"/>
      <c r="F320" s="13"/>
      <c r="G320" s="15"/>
      <c r="I320" s="103"/>
      <c r="J320" s="103"/>
      <c r="K320" s="103"/>
      <c r="L320" s="103"/>
      <c r="M320" s="134"/>
      <c r="N320" s="103"/>
      <c r="O320" s="41"/>
    </row>
    <row r="321" spans="1:15" ht="13.95" customHeight="1">
      <c r="A321" s="16"/>
      <c r="B321" s="12"/>
      <c r="C321" s="75"/>
      <c r="D321" s="93"/>
      <c r="E321" s="3"/>
      <c r="F321" s="13"/>
      <c r="G321" s="15"/>
      <c r="I321" s="103"/>
      <c r="J321" s="103"/>
      <c r="K321" s="103"/>
      <c r="L321" s="103"/>
      <c r="M321" s="134"/>
      <c r="N321" s="103"/>
      <c r="O321" s="41"/>
    </row>
    <row r="322" spans="1:15" ht="13.95" customHeight="1">
      <c r="A322" s="16"/>
      <c r="B322" s="12"/>
      <c r="C322" s="75"/>
      <c r="D322" s="93"/>
      <c r="E322" s="3"/>
      <c r="F322" s="13"/>
      <c r="G322" s="15"/>
      <c r="I322" s="103"/>
      <c r="J322" s="103"/>
      <c r="K322" s="103"/>
      <c r="L322" s="103"/>
      <c r="M322" s="134"/>
      <c r="N322" s="103"/>
      <c r="O322" s="41"/>
    </row>
    <row r="323" spans="1:15" ht="13.95" customHeight="1">
      <c r="A323" s="16"/>
      <c r="B323" s="12"/>
      <c r="C323" s="75"/>
      <c r="D323" s="93"/>
      <c r="E323" s="3"/>
      <c r="F323" s="13"/>
      <c r="G323" s="15"/>
      <c r="I323" s="103"/>
      <c r="J323" s="103"/>
      <c r="K323" s="103"/>
      <c r="L323" s="103"/>
      <c r="M323" s="134"/>
      <c r="N323" s="103"/>
      <c r="O323" s="41"/>
    </row>
    <row r="324" spans="1:15" ht="13.95" customHeight="1">
      <c r="A324" s="16"/>
      <c r="B324" s="12"/>
      <c r="C324" s="75"/>
      <c r="D324" s="93"/>
      <c r="E324" s="3"/>
      <c r="F324" s="13"/>
      <c r="G324" s="15"/>
      <c r="I324" s="103"/>
      <c r="J324" s="103"/>
      <c r="K324" s="103"/>
      <c r="L324" s="103"/>
      <c r="M324" s="134"/>
      <c r="N324" s="103"/>
      <c r="O324" s="41"/>
    </row>
    <row r="325" spans="1:15" ht="13.95" customHeight="1">
      <c r="A325" s="16"/>
      <c r="B325" s="12"/>
      <c r="C325" s="75"/>
      <c r="D325" s="93"/>
      <c r="E325" s="3"/>
      <c r="F325" s="13"/>
      <c r="G325" s="15"/>
      <c r="I325" s="103"/>
      <c r="J325" s="103"/>
      <c r="K325" s="103"/>
      <c r="L325" s="103"/>
      <c r="M325" s="134"/>
      <c r="N325" s="103"/>
      <c r="O325" s="41"/>
    </row>
    <row r="326" spans="1:15" ht="13.95" customHeight="1">
      <c r="A326" s="16"/>
      <c r="B326" s="12"/>
      <c r="C326" s="75"/>
      <c r="D326" s="93"/>
      <c r="E326" s="3"/>
      <c r="F326" s="13"/>
      <c r="G326" s="15"/>
      <c r="I326" s="103"/>
      <c r="J326" s="103"/>
      <c r="K326" s="103"/>
      <c r="L326" s="103"/>
      <c r="M326" s="134"/>
      <c r="N326" s="103"/>
      <c r="O326" s="41"/>
    </row>
    <row r="327" spans="1:15" ht="13.95" customHeight="1">
      <c r="A327" s="16"/>
      <c r="B327" s="12"/>
      <c r="C327" s="75"/>
      <c r="D327" s="93"/>
      <c r="E327" s="3"/>
      <c r="F327" s="13"/>
      <c r="G327" s="15"/>
      <c r="I327" s="103"/>
      <c r="J327" s="103"/>
      <c r="K327" s="103"/>
      <c r="L327" s="103"/>
      <c r="M327" s="134"/>
      <c r="N327" s="103"/>
      <c r="O327" s="41"/>
    </row>
    <row r="328" spans="1:15" ht="13.95" customHeight="1">
      <c r="A328" s="16"/>
      <c r="B328" s="12"/>
      <c r="C328" s="75"/>
      <c r="D328" s="93"/>
      <c r="E328" s="3"/>
      <c r="F328" s="13"/>
      <c r="G328" s="15"/>
      <c r="I328" s="103"/>
      <c r="J328" s="103"/>
      <c r="K328" s="103"/>
      <c r="L328" s="103"/>
      <c r="M328" s="134"/>
      <c r="N328" s="103"/>
      <c r="O328" s="41"/>
    </row>
    <row r="329" spans="1:15" ht="13.95" customHeight="1">
      <c r="A329" s="16"/>
      <c r="B329" s="12"/>
      <c r="C329" s="75"/>
      <c r="D329" s="93"/>
      <c r="E329" s="3"/>
      <c r="F329" s="13"/>
      <c r="G329" s="15"/>
      <c r="I329" s="103"/>
      <c r="J329" s="103"/>
      <c r="K329" s="103"/>
      <c r="L329" s="103"/>
      <c r="M329" s="134"/>
      <c r="N329" s="103"/>
      <c r="O329" s="41"/>
    </row>
    <row r="330" spans="1:15" ht="13.95" customHeight="1">
      <c r="A330" s="16"/>
      <c r="B330" s="12"/>
      <c r="C330" s="75"/>
      <c r="D330" s="93"/>
      <c r="E330" s="3"/>
      <c r="F330" s="13"/>
      <c r="G330" s="15"/>
      <c r="I330" s="103"/>
      <c r="J330" s="103"/>
      <c r="K330" s="103"/>
      <c r="L330" s="103"/>
      <c r="M330" s="134"/>
      <c r="N330" s="103"/>
      <c r="O330" s="41"/>
    </row>
    <row r="331" spans="1:15" ht="13.95" customHeight="1">
      <c r="A331" s="16"/>
      <c r="B331" s="16"/>
      <c r="C331" s="47"/>
      <c r="D331" s="58"/>
      <c r="E331" s="13"/>
      <c r="F331" s="14"/>
      <c r="G331" s="15"/>
      <c r="I331" s="105"/>
      <c r="J331" s="105"/>
      <c r="K331" s="105"/>
      <c r="L331" s="105"/>
      <c r="M331" s="135"/>
      <c r="N331" s="53"/>
      <c r="O331" s="41"/>
    </row>
    <row r="332" spans="1:15">
      <c r="A332" s="16"/>
      <c r="B332" s="16"/>
      <c r="C332" s="47"/>
      <c r="D332" s="58"/>
      <c r="E332" s="13"/>
      <c r="F332" s="14"/>
      <c r="G332" s="15"/>
    </row>
    <row r="333" spans="1:15">
      <c r="A333" s="16"/>
      <c r="B333" s="16"/>
      <c r="C333" s="47"/>
      <c r="D333" s="58"/>
      <c r="E333" s="13"/>
      <c r="F333" s="14"/>
      <c r="G333" s="15"/>
    </row>
    <row r="334" spans="1:15">
      <c r="A334" s="16"/>
      <c r="B334" s="16"/>
      <c r="C334" s="47"/>
      <c r="D334" s="58"/>
      <c r="E334" s="13"/>
      <c r="F334" s="14"/>
      <c r="G334" s="15"/>
    </row>
    <row r="335" spans="1:15" ht="20.399999999999999" customHeight="1">
      <c r="A335" s="156" t="s">
        <v>161</v>
      </c>
      <c r="B335" s="157"/>
      <c r="C335" s="157"/>
      <c r="D335" s="157"/>
      <c r="E335" s="157"/>
      <c r="F335" s="158"/>
      <c r="G335" s="78">
        <f>SUM(G289:G334)</f>
        <v>1413483</v>
      </c>
    </row>
  </sheetData>
  <mergeCells count="13">
    <mergeCell ref="A152:F152"/>
    <mergeCell ref="A335:F335"/>
    <mergeCell ref="A289:F289"/>
    <mergeCell ref="A48:F48"/>
    <mergeCell ref="A52:F52"/>
    <mergeCell ref="A96:F96"/>
    <mergeCell ref="A100:F100"/>
    <mergeCell ref="A148:F148"/>
    <mergeCell ref="A198:F198"/>
    <mergeCell ref="A202:F202"/>
    <mergeCell ref="A242:F242"/>
    <mergeCell ref="A246:F246"/>
    <mergeCell ref="A285:F285"/>
  </mergeCells>
  <pageMargins left="0.7" right="0.7" top="0.75" bottom="0.75" header="0.3" footer="0.3"/>
  <pageSetup paperSize="9" scale="92" orientation="portrait" r:id="rId1"/>
  <rowBreaks count="5" manualBreakCount="5">
    <brk id="49" max="6" man="1"/>
    <brk id="97" max="6" man="1"/>
    <brk id="149" max="6" man="1"/>
    <brk id="199" max="6" man="1"/>
    <brk id="243" max="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0C1DD-F851-4BBE-8C89-2E50B837E034}">
  <dimension ref="A1:O335"/>
  <sheetViews>
    <sheetView showGridLines="0" view="pageBreakPreview" topLeftCell="A313" zoomScaleNormal="100" zoomScaleSheetLayoutView="100" workbookViewId="0">
      <selection activeCell="Q6" sqref="Q6"/>
    </sheetView>
  </sheetViews>
  <sheetFormatPr defaultColWidth="13.109375" defaultRowHeight="12"/>
  <cols>
    <col min="1" max="1" width="4.88671875" style="22" customWidth="1"/>
    <col min="2" max="2" width="8.33203125" style="20" customWidth="1"/>
    <col min="3" max="3" width="40.6640625" style="21" customWidth="1"/>
    <col min="4" max="4" width="5.109375" style="22" customWidth="1"/>
    <col min="5" max="5" width="7.6640625" style="22" customWidth="1"/>
    <col min="6" max="6" width="8.6640625" style="23" customWidth="1"/>
    <col min="7" max="7" width="11.6640625" style="24" customWidth="1"/>
    <col min="8" max="8" width="4.33203125" style="6" customWidth="1"/>
    <col min="9" max="12" width="11.6640625" style="22" hidden="1" customWidth="1"/>
    <col min="13" max="13" width="13.109375" style="106" hidden="1" customWidth="1"/>
    <col min="14" max="14" width="0" style="22" hidden="1" customWidth="1"/>
    <col min="15" max="15" width="0" style="6" hidden="1" customWidth="1"/>
    <col min="16" max="16384" width="13.109375" style="6"/>
  </cols>
  <sheetData>
    <row r="1" spans="1:14" ht="20.399999999999999" hidden="1" customHeight="1">
      <c r="A1" s="19" t="s">
        <v>80</v>
      </c>
    </row>
    <row r="2" spans="1:14" ht="15" customHeight="1">
      <c r="A2" s="142" t="str">
        <f>Summary!A2</f>
        <v>NAFASI WATER - ARNOT WASTE TREATMENT PLANT</v>
      </c>
      <c r="G2" s="25" t="str">
        <f>Summary!C2</f>
        <v>Revision T1</v>
      </c>
    </row>
    <row r="3" spans="1:14" ht="15" customHeight="1">
      <c r="A3" s="19" t="str">
        <f>Summary!A3</f>
        <v>PILING AND CIVIL WORK</v>
      </c>
      <c r="G3" s="26"/>
    </row>
    <row r="4" spans="1:14" ht="15" customHeight="1">
      <c r="A4" s="19" t="s">
        <v>252</v>
      </c>
      <c r="G4" s="143">
        <f>Summary!C4</f>
        <v>45183</v>
      </c>
    </row>
    <row r="5" spans="1:14" ht="15" customHeight="1">
      <c r="A5" s="27"/>
      <c r="B5" s="28"/>
      <c r="C5" s="28"/>
      <c r="E5" s="29"/>
      <c r="G5" s="30"/>
    </row>
    <row r="6" spans="1:14" s="42" customFormat="1" ht="37.200000000000003" customHeight="1">
      <c r="A6" s="44" t="s">
        <v>8</v>
      </c>
      <c r="B6" s="48" t="s">
        <v>9</v>
      </c>
      <c r="C6" s="44" t="s">
        <v>10</v>
      </c>
      <c r="D6" s="48" t="s">
        <v>11</v>
      </c>
      <c r="E6" s="48" t="s">
        <v>59</v>
      </c>
      <c r="F6" s="49" t="s">
        <v>12</v>
      </c>
      <c r="G6" s="49" t="s">
        <v>13</v>
      </c>
      <c r="I6" s="100" t="s">
        <v>265</v>
      </c>
      <c r="J6" s="100" t="s">
        <v>245</v>
      </c>
      <c r="K6" s="100" t="s">
        <v>256</v>
      </c>
      <c r="L6" s="101"/>
      <c r="M6" s="100"/>
      <c r="N6" s="48"/>
    </row>
    <row r="7" spans="1:14" s="42" customFormat="1" ht="4.95" customHeight="1">
      <c r="A7" s="2"/>
      <c r="B7" s="40"/>
      <c r="C7" s="50"/>
      <c r="D7" s="40"/>
      <c r="E7" s="40"/>
      <c r="F7" s="54"/>
      <c r="G7" s="54"/>
      <c r="I7" s="40"/>
      <c r="J7" s="40"/>
      <c r="K7" s="40"/>
      <c r="L7" s="102"/>
      <c r="M7" s="107"/>
      <c r="N7" s="109"/>
    </row>
    <row r="8" spans="1:14" ht="19.2" customHeight="1">
      <c r="A8" s="1"/>
      <c r="B8" s="2"/>
      <c r="C8" s="11" t="s">
        <v>267</v>
      </c>
      <c r="D8" s="1"/>
      <c r="E8" s="1"/>
      <c r="F8" s="4"/>
      <c r="G8" s="5"/>
      <c r="I8" s="9"/>
      <c r="J8" s="9"/>
      <c r="K8" s="9"/>
      <c r="L8" s="103"/>
      <c r="M8" s="108"/>
      <c r="N8" s="9"/>
    </row>
    <row r="9" spans="1:14" ht="10.95" customHeight="1">
      <c r="A9" s="1"/>
      <c r="B9" s="2"/>
      <c r="C9" s="11"/>
      <c r="D9" s="1"/>
      <c r="E9" s="1"/>
      <c r="F9" s="4"/>
      <c r="G9" s="5"/>
      <c r="I9" s="9"/>
      <c r="J9" s="9"/>
      <c r="K9" s="9"/>
      <c r="L9" s="103"/>
      <c r="M9" s="108"/>
      <c r="N9" s="9"/>
    </row>
    <row r="10" spans="1:14" ht="22.2" customHeight="1">
      <c r="A10" s="1"/>
      <c r="B10" s="1" t="s">
        <v>22</v>
      </c>
      <c r="C10" s="34" t="s">
        <v>69</v>
      </c>
      <c r="D10" s="1"/>
      <c r="E10" s="3" t="str">
        <f>IF(SUM(H10:M10)&gt;0,SUM(H10:M10),"")</f>
        <v/>
      </c>
      <c r="F10" s="4"/>
      <c r="G10" s="5"/>
      <c r="I10" s="9"/>
      <c r="J10" s="9"/>
      <c r="K10" s="9"/>
      <c r="L10" s="103"/>
      <c r="M10" s="108"/>
      <c r="N10" s="9"/>
    </row>
    <row r="11" spans="1:14" ht="13.95" customHeight="1">
      <c r="A11" s="1"/>
      <c r="B11" s="1"/>
      <c r="C11" s="34"/>
      <c r="D11" s="1"/>
      <c r="E11" s="3" t="str">
        <f>IF(SUM(H11:M11)&gt;0,SUM(H11:M11),"")</f>
        <v/>
      </c>
      <c r="F11" s="4"/>
      <c r="G11" s="5"/>
      <c r="I11" s="9"/>
      <c r="J11" s="9"/>
      <c r="K11" s="9"/>
      <c r="L11" s="103"/>
      <c r="M11" s="108"/>
      <c r="N11" s="9"/>
    </row>
    <row r="12" spans="1:14" ht="13.95" customHeight="1">
      <c r="A12" s="1"/>
      <c r="B12" s="1"/>
      <c r="C12" s="32" t="s">
        <v>55</v>
      </c>
      <c r="D12" s="1"/>
      <c r="E12" s="3" t="str">
        <f>IF(SUM(H12:M12)&gt;0,SUM(H12:M12),"")</f>
        <v/>
      </c>
      <c r="F12" s="4"/>
      <c r="G12" s="5"/>
      <c r="I12" s="9"/>
      <c r="J12" s="9"/>
      <c r="K12" s="9"/>
      <c r="L12" s="103"/>
      <c r="M12" s="108"/>
      <c r="N12" s="9"/>
    </row>
    <row r="13" spans="1:14" ht="13.95" customHeight="1">
      <c r="A13" s="1"/>
      <c r="B13" s="1"/>
      <c r="C13" s="32"/>
      <c r="D13" s="1"/>
      <c r="E13" s="3" t="str">
        <f>IF(SUM(H13:M13)&gt;0,SUM(H13:M13),"")</f>
        <v/>
      </c>
      <c r="F13" s="4"/>
      <c r="G13" s="5"/>
      <c r="I13" s="9"/>
      <c r="J13" s="9"/>
      <c r="K13" s="9"/>
      <c r="L13" s="103"/>
      <c r="M13" s="108"/>
      <c r="N13" s="9"/>
    </row>
    <row r="14" spans="1:14" ht="22.2" customHeight="1">
      <c r="A14" s="1">
        <v>1</v>
      </c>
      <c r="B14" s="1"/>
      <c r="C14" s="33" t="s">
        <v>218</v>
      </c>
      <c r="D14" s="1" t="s">
        <v>6</v>
      </c>
      <c r="E14" s="3">
        <f>SUM(I14:N14)</f>
        <v>0</v>
      </c>
      <c r="F14" s="13">
        <v>1150</v>
      </c>
      <c r="G14" s="5">
        <f t="shared" ref="G14" si="0">+E14*F14</f>
        <v>0</v>
      </c>
      <c r="I14" s="137">
        <v>0</v>
      </c>
      <c r="J14" s="137">
        <v>0</v>
      </c>
      <c r="K14" s="137">
        <v>0</v>
      </c>
      <c r="L14" s="137">
        <v>0</v>
      </c>
      <c r="M14" s="137">
        <v>0</v>
      </c>
      <c r="N14" s="137">
        <v>0</v>
      </c>
    </row>
    <row r="15" spans="1:14" ht="13.95" customHeight="1">
      <c r="A15" s="1"/>
      <c r="B15" s="1"/>
      <c r="C15" s="32"/>
      <c r="D15" s="1"/>
      <c r="E15" s="3"/>
      <c r="F15" s="14"/>
      <c r="G15" s="5"/>
      <c r="I15" s="13"/>
      <c r="J15" s="13"/>
      <c r="K15" s="13"/>
      <c r="L15" s="13"/>
      <c r="M15" s="13"/>
      <c r="N15" s="13"/>
    </row>
    <row r="16" spans="1:14" ht="13.95" customHeight="1">
      <c r="A16" s="1"/>
      <c r="B16" s="1"/>
      <c r="C16" s="32" t="s">
        <v>221</v>
      </c>
      <c r="D16" s="1"/>
      <c r="E16" s="3"/>
      <c r="F16" s="14"/>
      <c r="G16" s="5"/>
      <c r="I16" s="13"/>
      <c r="J16" s="13"/>
      <c r="K16" s="13"/>
      <c r="L16" s="13"/>
      <c r="M16" s="13"/>
      <c r="N16" s="13"/>
    </row>
    <row r="17" spans="1:14" ht="34.950000000000003" customHeight="1">
      <c r="A17" s="1"/>
      <c r="B17" s="1"/>
      <c r="C17" s="33" t="s">
        <v>219</v>
      </c>
      <c r="D17" s="1"/>
      <c r="E17" s="3"/>
      <c r="F17" s="14"/>
      <c r="G17" s="5"/>
      <c r="I17" s="13"/>
      <c r="J17" s="13"/>
      <c r="K17" s="13"/>
      <c r="L17" s="13"/>
      <c r="M17" s="13"/>
      <c r="N17" s="13"/>
    </row>
    <row r="18" spans="1:14" ht="10.95" customHeight="1">
      <c r="A18" s="1"/>
      <c r="B18" s="1"/>
      <c r="C18" s="32"/>
      <c r="D18" s="1"/>
      <c r="E18" s="3"/>
      <c r="F18" s="13"/>
      <c r="G18" s="5"/>
      <c r="I18" s="13"/>
      <c r="J18" s="13"/>
      <c r="K18" s="13"/>
      <c r="L18" s="13"/>
      <c r="M18" s="13"/>
      <c r="N18" s="13"/>
    </row>
    <row r="19" spans="1:14" ht="13.2" customHeight="1">
      <c r="A19" s="1">
        <v>2</v>
      </c>
      <c r="B19" s="1"/>
      <c r="C19" s="33" t="s">
        <v>33</v>
      </c>
      <c r="D19" s="1" t="s">
        <v>1</v>
      </c>
      <c r="E19" s="3">
        <f>SUM(I19:N19)</f>
        <v>0</v>
      </c>
      <c r="F19" s="13">
        <v>1850</v>
      </c>
      <c r="G19" s="5">
        <f t="shared" ref="G19" si="1">+E19*F19</f>
        <v>0</v>
      </c>
      <c r="I19" s="138">
        <f t="shared" ref="I19:N19" si="2">I14*10</f>
        <v>0</v>
      </c>
      <c r="J19" s="138">
        <f t="shared" si="2"/>
        <v>0</v>
      </c>
      <c r="K19" s="138">
        <f t="shared" si="2"/>
        <v>0</v>
      </c>
      <c r="L19" s="138">
        <f t="shared" si="2"/>
        <v>0</v>
      </c>
      <c r="M19" s="138">
        <f t="shared" si="2"/>
        <v>0</v>
      </c>
      <c r="N19" s="138">
        <f t="shared" si="2"/>
        <v>0</v>
      </c>
    </row>
    <row r="20" spans="1:14" ht="13.2" customHeight="1">
      <c r="A20" s="1"/>
      <c r="B20" s="1"/>
      <c r="C20" s="32"/>
      <c r="D20" s="1"/>
      <c r="E20" s="3"/>
      <c r="F20" s="13"/>
      <c r="G20" s="5"/>
      <c r="I20" s="138"/>
      <c r="J20" s="138"/>
      <c r="K20" s="138"/>
      <c r="L20" s="138"/>
      <c r="M20" s="138"/>
      <c r="N20" s="138"/>
    </row>
    <row r="21" spans="1:14" ht="13.2" customHeight="1">
      <c r="A21" s="1">
        <v>3</v>
      </c>
      <c r="B21" s="1"/>
      <c r="C21" s="33" t="s">
        <v>34</v>
      </c>
      <c r="D21" s="1" t="s">
        <v>1</v>
      </c>
      <c r="E21" s="3">
        <f>SUM(I21:N21)</f>
        <v>0</v>
      </c>
      <c r="F21" s="13">
        <f>F19</f>
        <v>1850</v>
      </c>
      <c r="G21" s="5">
        <f t="shared" ref="G21" si="3">+E21*F21</f>
        <v>0</v>
      </c>
      <c r="I21" s="138">
        <f t="shared" ref="I21:N21" si="4">I14*5</f>
        <v>0</v>
      </c>
      <c r="J21" s="138">
        <f t="shared" si="4"/>
        <v>0</v>
      </c>
      <c r="K21" s="138">
        <f t="shared" si="4"/>
        <v>0</v>
      </c>
      <c r="L21" s="138">
        <f t="shared" si="4"/>
        <v>0</v>
      </c>
      <c r="M21" s="138">
        <f t="shared" si="4"/>
        <v>0</v>
      </c>
      <c r="N21" s="138">
        <f t="shared" si="4"/>
        <v>0</v>
      </c>
    </row>
    <row r="22" spans="1:14" ht="13.2" customHeight="1">
      <c r="A22" s="1"/>
      <c r="B22" s="1"/>
      <c r="C22" s="32"/>
      <c r="D22" s="1"/>
      <c r="E22" s="3"/>
      <c r="F22" s="13"/>
      <c r="G22" s="5"/>
      <c r="I22" s="138"/>
      <c r="J22" s="138"/>
      <c r="K22" s="138"/>
      <c r="L22" s="138"/>
      <c r="M22" s="138"/>
      <c r="N22" s="138"/>
    </row>
    <row r="23" spans="1:14" ht="13.2" customHeight="1">
      <c r="A23" s="1"/>
      <c r="B23" s="1"/>
      <c r="C23" s="32" t="s">
        <v>76</v>
      </c>
      <c r="D23" s="1"/>
      <c r="E23" s="3"/>
      <c r="F23" s="13"/>
      <c r="G23" s="5"/>
      <c r="I23" s="138"/>
      <c r="J23" s="138"/>
      <c r="K23" s="138"/>
      <c r="L23" s="138"/>
      <c r="M23" s="138"/>
      <c r="N23" s="138"/>
    </row>
    <row r="24" spans="1:14" ht="13.2" customHeight="1">
      <c r="A24" s="1"/>
      <c r="B24" s="1"/>
      <c r="C24" s="32"/>
      <c r="D24" s="1"/>
      <c r="E24" s="3"/>
      <c r="F24" s="13"/>
      <c r="G24" s="5"/>
      <c r="I24" s="138"/>
      <c r="J24" s="138"/>
      <c r="K24" s="138"/>
      <c r="L24" s="138"/>
      <c r="M24" s="138"/>
      <c r="N24" s="138"/>
    </row>
    <row r="25" spans="1:14" ht="13.2" customHeight="1">
      <c r="A25" s="1">
        <v>4</v>
      </c>
      <c r="B25" s="1"/>
      <c r="C25" s="47" t="s">
        <v>77</v>
      </c>
      <c r="D25" s="1" t="s">
        <v>6</v>
      </c>
      <c r="E25" s="3">
        <f>SUM(I25:N25)</f>
        <v>0</v>
      </c>
      <c r="F25" s="13">
        <v>1250</v>
      </c>
      <c r="G25" s="5">
        <f t="shared" ref="G25" si="5">+E25*F25</f>
        <v>0</v>
      </c>
      <c r="I25" s="138">
        <f t="shared" ref="I25:N25" si="6">I14</f>
        <v>0</v>
      </c>
      <c r="J25" s="138">
        <f t="shared" si="6"/>
        <v>0</v>
      </c>
      <c r="K25" s="138">
        <f t="shared" si="6"/>
        <v>0</v>
      </c>
      <c r="L25" s="138">
        <f t="shared" si="6"/>
        <v>0</v>
      </c>
      <c r="M25" s="138">
        <f t="shared" si="6"/>
        <v>0</v>
      </c>
      <c r="N25" s="138">
        <f t="shared" si="6"/>
        <v>0</v>
      </c>
    </row>
    <row r="26" spans="1:14" ht="13.2" customHeight="1">
      <c r="A26" s="1"/>
      <c r="B26" s="1"/>
      <c r="C26" s="32"/>
      <c r="D26" s="1"/>
      <c r="E26" s="3"/>
      <c r="F26" s="13"/>
      <c r="G26" s="5"/>
      <c r="I26" s="138"/>
      <c r="J26" s="138"/>
      <c r="K26" s="138"/>
      <c r="L26" s="138"/>
      <c r="M26" s="138"/>
      <c r="N26" s="138"/>
    </row>
    <row r="27" spans="1:14" ht="12.6" customHeight="1">
      <c r="A27" s="1"/>
      <c r="B27" s="1"/>
      <c r="C27" s="32" t="s">
        <v>71</v>
      </c>
      <c r="D27" s="1"/>
      <c r="E27" s="3"/>
      <c r="F27" s="13"/>
      <c r="G27" s="5"/>
      <c r="I27" s="138"/>
      <c r="J27" s="138"/>
      <c r="K27" s="138"/>
      <c r="L27" s="138"/>
      <c r="M27" s="138"/>
      <c r="N27" s="138"/>
    </row>
    <row r="28" spans="1:14" ht="12.6" customHeight="1">
      <c r="A28" s="1"/>
      <c r="B28" s="1"/>
      <c r="C28" s="33"/>
      <c r="D28" s="1"/>
      <c r="E28" s="3"/>
      <c r="F28" s="13"/>
      <c r="G28" s="5"/>
      <c r="I28" s="138"/>
      <c r="J28" s="138"/>
      <c r="K28" s="138"/>
      <c r="L28" s="138"/>
      <c r="M28" s="138"/>
      <c r="N28" s="138"/>
    </row>
    <row r="29" spans="1:14" ht="12.6" customHeight="1">
      <c r="A29" s="1">
        <v>5</v>
      </c>
      <c r="B29" s="1"/>
      <c r="C29" s="33" t="s">
        <v>223</v>
      </c>
      <c r="D29" s="1" t="s">
        <v>2</v>
      </c>
      <c r="E29" s="3">
        <f>SUM(I29:N29)</f>
        <v>0</v>
      </c>
      <c r="F29" s="13">
        <v>29500</v>
      </c>
      <c r="G29" s="5">
        <f t="shared" ref="G29" si="7">+E29*F29</f>
        <v>0</v>
      </c>
      <c r="I29" s="139">
        <f t="shared" ref="I29:N29" si="8">(I19+I21)*0.00325</f>
        <v>0</v>
      </c>
      <c r="J29" s="139">
        <f t="shared" si="8"/>
        <v>0</v>
      </c>
      <c r="K29" s="139">
        <f t="shared" si="8"/>
        <v>0</v>
      </c>
      <c r="L29" s="139">
        <f t="shared" si="8"/>
        <v>0</v>
      </c>
      <c r="M29" s="139">
        <f t="shared" si="8"/>
        <v>0</v>
      </c>
      <c r="N29" s="139">
        <f t="shared" si="8"/>
        <v>0</v>
      </c>
    </row>
    <row r="30" spans="1:14" ht="12.6" customHeight="1">
      <c r="A30" s="1"/>
      <c r="B30" s="1"/>
      <c r="C30" s="33"/>
      <c r="D30" s="1"/>
      <c r="E30" s="3"/>
      <c r="F30" s="13"/>
      <c r="G30" s="5"/>
      <c r="I30" s="138"/>
      <c r="J30" s="138"/>
      <c r="K30" s="138"/>
      <c r="L30" s="138"/>
      <c r="M30" s="138"/>
      <c r="N30" s="138"/>
    </row>
    <row r="31" spans="1:14" ht="12.6" customHeight="1">
      <c r="A31" s="1">
        <v>6</v>
      </c>
      <c r="B31" s="1"/>
      <c r="C31" s="33" t="s">
        <v>222</v>
      </c>
      <c r="D31" s="1" t="s">
        <v>2</v>
      </c>
      <c r="E31" s="3">
        <f>SUM(I31:AG31)</f>
        <v>0</v>
      </c>
      <c r="F31" s="13">
        <v>28000</v>
      </c>
      <c r="G31" s="5">
        <f t="shared" ref="G31" si="9">+E31*F31</f>
        <v>0</v>
      </c>
      <c r="I31" s="139">
        <f t="shared" ref="I31:N31" si="10">(I19+I21)*0.0215</f>
        <v>0</v>
      </c>
      <c r="J31" s="139">
        <f t="shared" si="10"/>
        <v>0</v>
      </c>
      <c r="K31" s="139">
        <f t="shared" si="10"/>
        <v>0</v>
      </c>
      <c r="L31" s="139">
        <f t="shared" si="10"/>
        <v>0</v>
      </c>
      <c r="M31" s="139">
        <f t="shared" si="10"/>
        <v>0</v>
      </c>
      <c r="N31" s="139">
        <f t="shared" si="10"/>
        <v>0</v>
      </c>
    </row>
    <row r="32" spans="1:14" ht="12.6" customHeight="1">
      <c r="A32" s="1"/>
      <c r="B32" s="1"/>
      <c r="C32" s="33"/>
      <c r="D32" s="1"/>
      <c r="E32" s="3"/>
      <c r="F32" s="13"/>
      <c r="G32" s="5"/>
      <c r="I32" s="138"/>
      <c r="J32" s="138"/>
      <c r="K32" s="138"/>
      <c r="L32" s="138"/>
      <c r="M32" s="138"/>
      <c r="N32" s="138"/>
    </row>
    <row r="33" spans="1:14" ht="12.6" customHeight="1">
      <c r="A33" s="1"/>
      <c r="B33" s="1"/>
      <c r="C33" s="32" t="s">
        <v>56</v>
      </c>
      <c r="D33" s="1"/>
      <c r="E33" s="3"/>
      <c r="F33" s="13"/>
      <c r="G33" s="5"/>
      <c r="I33" s="138"/>
      <c r="J33" s="138"/>
      <c r="K33" s="138"/>
      <c r="L33" s="138"/>
      <c r="M33" s="138"/>
      <c r="N33" s="138"/>
    </row>
    <row r="34" spans="1:14" ht="13.2" customHeight="1">
      <c r="A34" s="1"/>
      <c r="B34" s="1"/>
      <c r="C34" s="33"/>
      <c r="D34" s="1"/>
      <c r="E34" s="3"/>
      <c r="F34" s="13"/>
      <c r="G34" s="5"/>
      <c r="I34" s="138"/>
      <c r="J34" s="138"/>
      <c r="K34" s="138"/>
      <c r="L34" s="138"/>
      <c r="M34" s="138"/>
      <c r="N34" s="138"/>
    </row>
    <row r="35" spans="1:14" ht="13.2" customHeight="1">
      <c r="A35" s="1">
        <v>7</v>
      </c>
      <c r="B35" s="1"/>
      <c r="C35" s="33" t="s">
        <v>220</v>
      </c>
      <c r="D35" s="1"/>
      <c r="E35" s="3"/>
      <c r="F35" s="13"/>
      <c r="G35" s="5"/>
      <c r="I35" s="138"/>
      <c r="J35" s="138"/>
      <c r="K35" s="138"/>
      <c r="L35" s="138"/>
      <c r="M35" s="138"/>
      <c r="N35" s="138"/>
    </row>
    <row r="36" spans="1:14" ht="13.2" customHeight="1">
      <c r="A36" s="1"/>
      <c r="B36" s="1"/>
      <c r="C36" s="1"/>
      <c r="D36" s="1"/>
      <c r="E36" s="3"/>
      <c r="F36" s="13"/>
      <c r="G36" s="5"/>
      <c r="I36" s="138"/>
      <c r="J36" s="138"/>
      <c r="K36" s="138"/>
      <c r="L36" s="138"/>
      <c r="M36" s="138"/>
      <c r="N36" s="138"/>
    </row>
    <row r="37" spans="1:14" ht="13.2" customHeight="1">
      <c r="A37" s="1"/>
      <c r="B37" s="1"/>
      <c r="C37" s="33" t="s">
        <v>38</v>
      </c>
      <c r="D37" s="1" t="s">
        <v>51</v>
      </c>
      <c r="E37" s="3">
        <f>SUM(I37:N37)</f>
        <v>0</v>
      </c>
      <c r="F37" s="13">
        <v>3500</v>
      </c>
      <c r="G37" s="5">
        <f t="shared" ref="G37" si="11">+E37*F37</f>
        <v>0</v>
      </c>
      <c r="I37" s="139">
        <f t="shared" ref="I37:N37" si="12">((I19+I21)*0.292)+(I14*0.75)</f>
        <v>0</v>
      </c>
      <c r="J37" s="139">
        <f t="shared" si="12"/>
        <v>0</v>
      </c>
      <c r="K37" s="139">
        <f t="shared" si="12"/>
        <v>0</v>
      </c>
      <c r="L37" s="139">
        <f t="shared" si="12"/>
        <v>0</v>
      </c>
      <c r="M37" s="139">
        <f t="shared" si="12"/>
        <v>0</v>
      </c>
      <c r="N37" s="139">
        <f t="shared" si="12"/>
        <v>0</v>
      </c>
    </row>
    <row r="38" spans="1:14" ht="13.2" customHeight="1">
      <c r="A38" s="1"/>
      <c r="B38" s="1"/>
      <c r="C38" s="33"/>
      <c r="D38" s="1"/>
      <c r="E38" s="3"/>
      <c r="F38" s="13"/>
      <c r="G38" s="5"/>
      <c r="I38" s="138"/>
      <c r="J38" s="138"/>
      <c r="K38" s="138"/>
      <c r="L38" s="138"/>
      <c r="M38" s="138"/>
      <c r="N38" s="138"/>
    </row>
    <row r="39" spans="1:14" ht="13.2" customHeight="1">
      <c r="A39" s="1"/>
      <c r="B39" s="1" t="s">
        <v>23</v>
      </c>
      <c r="C39" s="32" t="s">
        <v>35</v>
      </c>
      <c r="D39" s="1"/>
      <c r="E39" s="3"/>
      <c r="F39" s="13"/>
      <c r="G39" s="5"/>
      <c r="I39" s="138"/>
      <c r="J39" s="138"/>
      <c r="K39" s="138"/>
      <c r="L39" s="138"/>
      <c r="M39" s="138"/>
      <c r="N39" s="138"/>
    </row>
    <row r="40" spans="1:14" ht="13.2" customHeight="1">
      <c r="A40" s="1"/>
      <c r="B40" s="1"/>
      <c r="C40" s="32"/>
      <c r="D40" s="1"/>
      <c r="E40" s="3"/>
      <c r="F40" s="13"/>
      <c r="G40" s="5"/>
      <c r="I40" s="138"/>
      <c r="J40" s="138"/>
      <c r="K40" s="138"/>
      <c r="L40" s="138"/>
      <c r="M40" s="138"/>
      <c r="N40" s="138"/>
    </row>
    <row r="41" spans="1:14" ht="13.2" customHeight="1">
      <c r="A41" s="1">
        <v>8</v>
      </c>
      <c r="B41" s="1"/>
      <c r="C41" s="33" t="s">
        <v>259</v>
      </c>
      <c r="D41" s="1" t="s">
        <v>6</v>
      </c>
      <c r="E41" s="3">
        <f>SUM(I41:N41)</f>
        <v>0</v>
      </c>
      <c r="F41" s="13">
        <v>875</v>
      </c>
      <c r="G41" s="5">
        <f t="shared" ref="G41" si="13">+E41*F41</f>
        <v>0</v>
      </c>
      <c r="I41" s="138">
        <f t="shared" ref="I41:N41" si="14">I14</f>
        <v>0</v>
      </c>
      <c r="J41" s="138">
        <f t="shared" si="14"/>
        <v>0</v>
      </c>
      <c r="K41" s="138">
        <f t="shared" si="14"/>
        <v>0</v>
      </c>
      <c r="L41" s="138">
        <f t="shared" si="14"/>
        <v>0</v>
      </c>
      <c r="M41" s="138">
        <f t="shared" si="14"/>
        <v>0</v>
      </c>
      <c r="N41" s="138">
        <f t="shared" si="14"/>
        <v>0</v>
      </c>
    </row>
    <row r="42" spans="1:14" ht="13.2" customHeight="1">
      <c r="A42" s="1"/>
      <c r="B42" s="2"/>
      <c r="C42" s="11"/>
      <c r="D42" s="1"/>
      <c r="E42" s="1"/>
      <c r="F42" s="13"/>
      <c r="G42" s="5"/>
      <c r="I42" s="1"/>
      <c r="J42" s="1"/>
      <c r="K42" s="1"/>
      <c r="L42" s="103"/>
      <c r="M42" s="108"/>
      <c r="N42" s="9"/>
    </row>
    <row r="43" spans="1:14" ht="24">
      <c r="A43" s="1"/>
      <c r="B43" s="2" t="s">
        <v>100</v>
      </c>
      <c r="C43" s="31" t="s">
        <v>79</v>
      </c>
      <c r="D43" s="1"/>
      <c r="E43" s="3"/>
      <c r="F43" s="14"/>
      <c r="G43" s="5"/>
      <c r="I43" s="3"/>
      <c r="J43" s="3"/>
      <c r="K43" s="3"/>
      <c r="L43" s="103"/>
      <c r="M43" s="108"/>
      <c r="N43" s="9"/>
    </row>
    <row r="44" spans="1:14" ht="13.95" customHeight="1">
      <c r="A44" s="1"/>
      <c r="B44" s="2"/>
      <c r="C44" s="8" t="s">
        <v>81</v>
      </c>
      <c r="D44" s="1"/>
      <c r="E44" s="3"/>
      <c r="F44" s="14"/>
      <c r="G44" s="5"/>
      <c r="I44" s="3"/>
      <c r="J44" s="3"/>
      <c r="K44" s="3"/>
      <c r="L44" s="103"/>
      <c r="M44" s="108"/>
      <c r="N44" s="9"/>
    </row>
    <row r="45" spans="1:14" ht="50.4" customHeight="1">
      <c r="A45" s="16">
        <v>9</v>
      </c>
      <c r="B45" s="33" t="s">
        <v>162</v>
      </c>
      <c r="C45" s="33" t="s">
        <v>163</v>
      </c>
      <c r="D45" s="9" t="s">
        <v>60</v>
      </c>
      <c r="E45" s="3">
        <f>SUM(I45:N45)</f>
        <v>220</v>
      </c>
      <c r="F45" s="13">
        <v>225</v>
      </c>
      <c r="G45" s="5">
        <f t="shared" ref="G45" si="15">+E45*F45</f>
        <v>49500</v>
      </c>
      <c r="I45" s="9"/>
      <c r="J45" s="9">
        <v>220</v>
      </c>
      <c r="K45" s="9"/>
      <c r="L45" s="103"/>
      <c r="M45" s="108"/>
      <c r="N45" s="9"/>
    </row>
    <row r="46" spans="1:14">
      <c r="A46" s="16"/>
      <c r="B46" s="33"/>
      <c r="D46" s="9"/>
      <c r="E46" s="3"/>
      <c r="F46" s="13"/>
      <c r="G46" s="5"/>
      <c r="I46" s="9"/>
      <c r="J46" s="9"/>
      <c r="K46" s="9"/>
      <c r="L46" s="103"/>
      <c r="M46" s="108"/>
      <c r="N46" s="9"/>
    </row>
    <row r="47" spans="1:14" ht="13.95" customHeight="1">
      <c r="A47" s="1"/>
      <c r="B47" s="2"/>
      <c r="C47" s="8"/>
      <c r="D47" s="9"/>
      <c r="E47" s="3"/>
      <c r="F47" s="4"/>
      <c r="G47" s="5"/>
      <c r="I47" s="9"/>
      <c r="J47" s="9"/>
      <c r="K47" s="9"/>
      <c r="L47" s="103"/>
      <c r="M47" s="108"/>
      <c r="N47" s="9"/>
    </row>
    <row r="48" spans="1:14" ht="20.100000000000001" customHeight="1">
      <c r="A48" s="149" t="s">
        <v>66</v>
      </c>
      <c r="B48" s="150"/>
      <c r="C48" s="150"/>
      <c r="D48" s="150"/>
      <c r="E48" s="150"/>
      <c r="F48" s="151"/>
      <c r="G48" s="116">
        <f>SUM(G8:G47)</f>
        <v>49500</v>
      </c>
      <c r="I48" s="9"/>
      <c r="J48" s="9"/>
      <c r="K48" s="9"/>
      <c r="L48" s="103"/>
      <c r="M48" s="108"/>
      <c r="N48" s="9"/>
    </row>
    <row r="49" spans="1:14">
      <c r="A49" s="39"/>
      <c r="B49" s="39"/>
      <c r="C49" s="39"/>
      <c r="D49" s="39"/>
      <c r="E49" s="39"/>
      <c r="F49" s="39"/>
      <c r="G49" s="113"/>
      <c r="I49" s="9"/>
      <c r="J49" s="9"/>
      <c r="K49" s="9"/>
      <c r="L49" s="103"/>
      <c r="M49" s="108"/>
      <c r="N49" s="9"/>
    </row>
    <row r="50" spans="1:14" ht="13.95" customHeight="1">
      <c r="A50" s="39"/>
      <c r="B50" s="39"/>
      <c r="C50" s="39"/>
      <c r="D50" s="39"/>
      <c r="E50" s="39"/>
      <c r="F50" s="39"/>
      <c r="G50" s="113"/>
      <c r="I50" s="9"/>
      <c r="J50" s="9"/>
      <c r="K50" s="9"/>
      <c r="L50" s="103"/>
      <c r="M50" s="108"/>
      <c r="N50" s="9"/>
    </row>
    <row r="51" spans="1:14" ht="24" customHeight="1">
      <c r="A51" s="44" t="s">
        <v>8</v>
      </c>
      <c r="B51" s="48" t="s">
        <v>9</v>
      </c>
      <c r="C51" s="44" t="s">
        <v>10</v>
      </c>
      <c r="D51" s="48" t="s">
        <v>11</v>
      </c>
      <c r="E51" s="48" t="s">
        <v>59</v>
      </c>
      <c r="F51" s="49" t="s">
        <v>12</v>
      </c>
      <c r="G51" s="111" t="s">
        <v>13</v>
      </c>
      <c r="I51" s="9"/>
      <c r="J51" s="9"/>
      <c r="K51" s="9"/>
      <c r="L51" s="103"/>
      <c r="M51" s="108"/>
      <c r="N51" s="9"/>
    </row>
    <row r="52" spans="1:14" ht="20.100000000000001" customHeight="1">
      <c r="A52" s="149" t="s">
        <v>67</v>
      </c>
      <c r="B52" s="150"/>
      <c r="C52" s="150"/>
      <c r="D52" s="150"/>
      <c r="E52" s="150"/>
      <c r="F52" s="151"/>
      <c r="G52" s="116">
        <f>+G48</f>
        <v>49500</v>
      </c>
      <c r="I52" s="9"/>
      <c r="J52" s="9"/>
      <c r="K52" s="9"/>
      <c r="L52" s="103"/>
      <c r="M52" s="108"/>
      <c r="N52" s="9"/>
    </row>
    <row r="53" spans="1:14" ht="9" customHeight="1">
      <c r="A53" s="1"/>
      <c r="B53" s="2"/>
      <c r="C53" s="8"/>
      <c r="D53" s="9"/>
      <c r="E53" s="3"/>
      <c r="F53" s="4"/>
      <c r="G53" s="5"/>
      <c r="I53" s="3"/>
      <c r="J53" s="3"/>
      <c r="K53" s="3"/>
      <c r="L53" s="103"/>
      <c r="M53" s="108"/>
      <c r="N53" s="9"/>
    </row>
    <row r="54" spans="1:14" ht="13.95" customHeight="1">
      <c r="A54" s="1"/>
      <c r="B54" s="2" t="s">
        <v>173</v>
      </c>
      <c r="C54" s="31" t="s">
        <v>79</v>
      </c>
      <c r="D54" s="1"/>
      <c r="E54" s="3"/>
      <c r="F54" s="4"/>
      <c r="G54" s="5"/>
      <c r="I54" s="3"/>
      <c r="J54" s="3"/>
      <c r="K54" s="3"/>
      <c r="L54" s="103"/>
      <c r="M54" s="108"/>
      <c r="N54" s="9"/>
    </row>
    <row r="55" spans="1:14" ht="13.95" customHeight="1">
      <c r="A55" s="1"/>
      <c r="B55" s="2"/>
      <c r="C55" s="8" t="s">
        <v>81</v>
      </c>
      <c r="D55" s="1"/>
      <c r="E55" s="3"/>
      <c r="F55" s="4"/>
      <c r="G55" s="5"/>
      <c r="I55" s="3"/>
      <c r="J55" s="3"/>
      <c r="K55" s="3"/>
      <c r="L55" s="103"/>
      <c r="M55" s="108"/>
      <c r="N55" s="9"/>
    </row>
    <row r="56" spans="1:14" ht="13.95" customHeight="1">
      <c r="A56" s="1"/>
      <c r="B56" s="1" t="s">
        <v>87</v>
      </c>
      <c r="C56" s="37" t="s">
        <v>0</v>
      </c>
      <c r="D56" s="1"/>
      <c r="E56" s="3"/>
      <c r="F56" s="4"/>
      <c r="G56" s="5"/>
      <c r="I56" s="3"/>
      <c r="J56" s="3"/>
      <c r="K56" s="3"/>
      <c r="L56" s="103"/>
      <c r="M56" s="108"/>
      <c r="N56" s="9"/>
    </row>
    <row r="57" spans="1:14" ht="13.95" customHeight="1">
      <c r="A57" s="1"/>
      <c r="B57" s="1"/>
      <c r="C57" s="33"/>
      <c r="D57" s="1"/>
      <c r="E57" s="3"/>
      <c r="F57" s="4"/>
      <c r="G57" s="5"/>
      <c r="I57" s="3"/>
      <c r="J57" s="3"/>
      <c r="K57" s="3"/>
      <c r="L57" s="103"/>
      <c r="M57" s="108"/>
      <c r="N57" s="9"/>
    </row>
    <row r="58" spans="1:14" ht="22.95" customHeight="1">
      <c r="A58" s="1"/>
      <c r="B58" s="1"/>
      <c r="C58" s="33" t="s">
        <v>61</v>
      </c>
      <c r="D58" s="1"/>
      <c r="E58" s="3"/>
      <c r="F58" s="4"/>
      <c r="G58" s="5"/>
      <c r="I58" s="3"/>
      <c r="J58" s="3"/>
      <c r="K58" s="3"/>
      <c r="L58" s="103"/>
      <c r="M58" s="108"/>
      <c r="N58" s="9"/>
    </row>
    <row r="59" spans="1:14" ht="13.95" customHeight="1">
      <c r="A59" s="1"/>
      <c r="B59" s="1"/>
      <c r="C59" s="6"/>
      <c r="D59" s="1"/>
      <c r="E59" s="3"/>
      <c r="F59" s="4"/>
      <c r="G59" s="5"/>
      <c r="I59" s="3"/>
      <c r="J59" s="3"/>
      <c r="K59" s="3"/>
      <c r="L59" s="103"/>
      <c r="M59" s="108"/>
      <c r="N59" s="9"/>
    </row>
    <row r="60" spans="1:14" ht="13.95" customHeight="1">
      <c r="A60" s="1">
        <v>10</v>
      </c>
      <c r="B60" s="1"/>
      <c r="C60" s="33" t="s">
        <v>14</v>
      </c>
      <c r="D60" s="1" t="s">
        <v>51</v>
      </c>
      <c r="E60" s="3">
        <f>SUM(I60:N60)</f>
        <v>61</v>
      </c>
      <c r="F60" s="13">
        <v>175</v>
      </c>
      <c r="G60" s="5">
        <f t="shared" ref="G60" si="16">+E60*F60</f>
        <v>10675</v>
      </c>
      <c r="I60" s="3">
        <v>61</v>
      </c>
      <c r="J60" s="3"/>
      <c r="K60" s="3"/>
      <c r="L60" s="103"/>
      <c r="M60" s="108"/>
      <c r="N60" s="9"/>
    </row>
    <row r="61" spans="1:14" ht="9.75" customHeight="1">
      <c r="A61" s="1"/>
      <c r="B61" s="1"/>
      <c r="C61" s="33"/>
      <c r="D61" s="1"/>
      <c r="E61" s="3"/>
      <c r="F61" s="13"/>
      <c r="G61" s="5"/>
      <c r="I61" s="3"/>
      <c r="J61" s="3"/>
      <c r="K61" s="3"/>
      <c r="L61" s="103"/>
      <c r="M61" s="108"/>
      <c r="N61" s="9"/>
    </row>
    <row r="62" spans="1:14" ht="13.95" customHeight="1">
      <c r="A62" s="1"/>
      <c r="B62" s="1"/>
      <c r="C62" s="37" t="s">
        <v>111</v>
      </c>
      <c r="D62" s="1"/>
      <c r="E62" s="3"/>
      <c r="F62" s="13"/>
      <c r="G62" s="5"/>
      <c r="I62" s="3"/>
      <c r="J62" s="3"/>
      <c r="K62" s="3"/>
      <c r="L62" s="103"/>
      <c r="M62" s="108"/>
      <c r="N62" s="9"/>
    </row>
    <row r="63" spans="1:14" ht="9" customHeight="1">
      <c r="A63" s="1"/>
      <c r="B63" s="1"/>
      <c r="C63" s="33"/>
      <c r="D63" s="1"/>
      <c r="E63" s="3"/>
      <c r="F63" s="13"/>
      <c r="G63" s="5"/>
      <c r="I63" s="3"/>
      <c r="J63" s="3"/>
      <c r="K63" s="3"/>
      <c r="L63" s="103"/>
      <c r="M63" s="108"/>
      <c r="N63" s="9"/>
    </row>
    <row r="64" spans="1:14" ht="28.95" customHeight="1">
      <c r="A64" s="1">
        <v>11</v>
      </c>
      <c r="B64" s="1"/>
      <c r="C64" s="33" t="s">
        <v>54</v>
      </c>
      <c r="D64" s="1" t="s">
        <v>51</v>
      </c>
      <c r="E64" s="3">
        <f>SUM(I64:N64)</f>
        <v>0</v>
      </c>
      <c r="F64" s="13">
        <v>950</v>
      </c>
      <c r="G64" s="5">
        <f t="shared" ref="G64" si="17">+E64*F64</f>
        <v>0</v>
      </c>
      <c r="I64" s="3"/>
      <c r="J64" s="3"/>
      <c r="K64" s="3"/>
      <c r="L64" s="103"/>
      <c r="M64" s="108"/>
      <c r="N64" s="9"/>
    </row>
    <row r="65" spans="1:14" ht="13.95" customHeight="1">
      <c r="A65" s="1"/>
      <c r="B65" s="1"/>
      <c r="C65" s="33"/>
      <c r="D65" s="1"/>
      <c r="E65" s="3"/>
      <c r="F65" s="13"/>
      <c r="G65" s="5"/>
      <c r="I65" s="3"/>
      <c r="J65" s="3"/>
      <c r="K65" s="3"/>
      <c r="L65" s="103"/>
      <c r="M65" s="108"/>
      <c r="N65" s="9"/>
    </row>
    <row r="66" spans="1:14" ht="22.2" customHeight="1">
      <c r="A66" s="1"/>
      <c r="B66" s="1"/>
      <c r="C66" s="33" t="s">
        <v>57</v>
      </c>
      <c r="D66" s="1"/>
      <c r="E66" s="3"/>
      <c r="F66" s="13"/>
      <c r="G66" s="5"/>
      <c r="I66" s="3"/>
      <c r="J66" s="3"/>
      <c r="K66" s="3"/>
      <c r="L66" s="103"/>
      <c r="M66" s="108"/>
      <c r="N66" s="9"/>
    </row>
    <row r="67" spans="1:14" ht="13.95" customHeight="1">
      <c r="A67" s="1"/>
      <c r="B67" s="2"/>
      <c r="C67" s="8"/>
      <c r="D67" s="9"/>
      <c r="E67" s="3"/>
      <c r="F67" s="13"/>
      <c r="G67" s="5"/>
      <c r="I67" s="3"/>
      <c r="J67" s="3"/>
      <c r="K67" s="3"/>
      <c r="L67" s="103"/>
      <c r="M67" s="108"/>
      <c r="N67" s="9"/>
    </row>
    <row r="68" spans="1:14" ht="13.95" customHeight="1">
      <c r="A68" s="1"/>
      <c r="B68" s="1" t="s">
        <v>83</v>
      </c>
      <c r="C68" s="10" t="s">
        <v>25</v>
      </c>
      <c r="D68" s="9"/>
      <c r="E68" s="3"/>
      <c r="F68" s="13"/>
      <c r="G68" s="5"/>
      <c r="I68" s="3"/>
      <c r="J68" s="3"/>
      <c r="K68" s="3"/>
      <c r="L68" s="103"/>
      <c r="M68" s="108"/>
      <c r="N68" s="9"/>
    </row>
    <row r="69" spans="1:14" ht="13.95" customHeight="1">
      <c r="A69" s="1"/>
      <c r="B69" s="2"/>
      <c r="C69" s="8"/>
      <c r="D69" s="9"/>
      <c r="E69" s="3"/>
      <c r="F69" s="13"/>
      <c r="G69" s="5"/>
      <c r="I69" s="3"/>
      <c r="J69" s="3"/>
      <c r="K69" s="3"/>
      <c r="L69" s="103"/>
      <c r="M69" s="108"/>
      <c r="N69" s="9"/>
    </row>
    <row r="70" spans="1:14" ht="23.4" customHeight="1">
      <c r="A70" s="1"/>
      <c r="B70" s="2"/>
      <c r="C70" s="8" t="s">
        <v>109</v>
      </c>
      <c r="D70" s="9"/>
      <c r="E70" s="3"/>
      <c r="F70" s="13"/>
      <c r="G70" s="5"/>
      <c r="I70" s="3"/>
      <c r="J70" s="3"/>
      <c r="K70" s="3"/>
      <c r="L70" s="103"/>
      <c r="M70" s="108"/>
      <c r="N70" s="9"/>
    </row>
    <row r="71" spans="1:14" ht="13.95" customHeight="1">
      <c r="A71" s="1"/>
      <c r="B71" s="2"/>
      <c r="C71" s="8"/>
      <c r="D71" s="9"/>
      <c r="E71" s="3"/>
      <c r="F71" s="13"/>
      <c r="G71" s="5"/>
      <c r="I71" s="3"/>
      <c r="J71" s="3"/>
      <c r="K71" s="3"/>
      <c r="L71" s="103"/>
      <c r="M71" s="108"/>
      <c r="N71" s="9"/>
    </row>
    <row r="72" spans="1:14" ht="33.6" customHeight="1">
      <c r="A72" s="1">
        <v>12</v>
      </c>
      <c r="B72" s="2"/>
      <c r="C72" s="8" t="s">
        <v>108</v>
      </c>
      <c r="D72" s="9" t="s">
        <v>51</v>
      </c>
      <c r="E72" s="3">
        <f>SUM(I72:N72)</f>
        <v>31</v>
      </c>
      <c r="F72" s="13">
        <v>725</v>
      </c>
      <c r="G72" s="5">
        <f t="shared" ref="G72" si="18">+E72*F72</f>
        <v>22475</v>
      </c>
      <c r="I72" s="3">
        <v>31</v>
      </c>
      <c r="J72" s="3"/>
      <c r="K72" s="3"/>
      <c r="L72" s="103"/>
      <c r="M72" s="108"/>
      <c r="N72" s="9"/>
    </row>
    <row r="73" spans="1:14" ht="13.95" customHeight="1">
      <c r="A73" s="1"/>
      <c r="B73" s="2"/>
      <c r="C73" s="8"/>
      <c r="D73" s="9"/>
      <c r="E73" s="3"/>
      <c r="F73" s="13"/>
      <c r="G73" s="5"/>
      <c r="I73" s="3"/>
      <c r="J73" s="3"/>
      <c r="K73" s="3"/>
      <c r="L73" s="103"/>
      <c r="M73" s="108"/>
      <c r="N73" s="9"/>
    </row>
    <row r="74" spans="1:14" ht="21.6" customHeight="1">
      <c r="A74" s="1"/>
      <c r="B74" s="2" t="s">
        <v>101</v>
      </c>
      <c r="C74" s="34" t="s">
        <v>155</v>
      </c>
      <c r="D74" s="1"/>
      <c r="E74" s="3"/>
      <c r="F74" s="13"/>
      <c r="G74" s="5"/>
      <c r="I74" s="3"/>
      <c r="J74" s="3"/>
      <c r="K74" s="3"/>
      <c r="L74" s="103"/>
      <c r="M74" s="108"/>
      <c r="N74" s="9"/>
    </row>
    <row r="75" spans="1:14" ht="13.95" customHeight="1">
      <c r="A75" s="1"/>
      <c r="B75" s="1"/>
      <c r="C75" s="33"/>
      <c r="D75" s="1"/>
      <c r="E75" s="3"/>
      <c r="F75" s="13"/>
      <c r="G75" s="5"/>
      <c r="I75" s="3"/>
      <c r="J75" s="3"/>
      <c r="K75" s="3"/>
      <c r="L75" s="103"/>
      <c r="M75" s="108"/>
      <c r="N75" s="9"/>
    </row>
    <row r="76" spans="1:14" ht="13.95" customHeight="1">
      <c r="A76" s="1"/>
      <c r="B76" s="1" t="s">
        <v>88</v>
      </c>
      <c r="C76" s="32" t="s">
        <v>15</v>
      </c>
      <c r="D76" s="1"/>
      <c r="E76" s="3"/>
      <c r="F76" s="13"/>
      <c r="G76" s="5"/>
      <c r="I76" s="3"/>
      <c r="J76" s="3"/>
      <c r="K76" s="3"/>
      <c r="L76" s="103"/>
      <c r="M76" s="108"/>
      <c r="N76" s="9"/>
    </row>
    <row r="77" spans="1:14" ht="13.95" customHeight="1">
      <c r="A77" s="1"/>
      <c r="B77" s="1"/>
      <c r="C77" s="33"/>
      <c r="D77" s="1"/>
      <c r="E77" s="3"/>
      <c r="F77" s="13"/>
      <c r="G77" s="5"/>
      <c r="I77" s="3"/>
      <c r="J77" s="3"/>
      <c r="K77" s="3"/>
      <c r="L77" s="103"/>
      <c r="M77" s="108"/>
      <c r="N77" s="9"/>
    </row>
    <row r="78" spans="1:14" ht="13.95" customHeight="1">
      <c r="A78" s="1"/>
      <c r="B78" s="1" t="s">
        <v>82</v>
      </c>
      <c r="C78" s="34" t="s">
        <v>16</v>
      </c>
      <c r="D78" s="1"/>
      <c r="E78" s="3"/>
      <c r="F78" s="13"/>
      <c r="G78" s="5"/>
      <c r="I78" s="3"/>
      <c r="J78" s="3"/>
      <c r="K78" s="3"/>
      <c r="L78" s="103"/>
      <c r="M78" s="108"/>
      <c r="N78" s="9"/>
    </row>
    <row r="79" spans="1:14" ht="13.95" customHeight="1">
      <c r="A79" s="1"/>
      <c r="B79" s="1"/>
      <c r="C79" s="33"/>
      <c r="D79" s="1"/>
      <c r="E79" s="3"/>
      <c r="F79" s="13"/>
      <c r="G79" s="5"/>
      <c r="I79" s="3"/>
      <c r="J79" s="3"/>
      <c r="K79" s="3"/>
      <c r="L79" s="103"/>
      <c r="M79" s="108"/>
      <c r="N79" s="9"/>
    </row>
    <row r="80" spans="1:14" ht="13.95" customHeight="1">
      <c r="A80" s="1"/>
      <c r="B80" s="1"/>
      <c r="C80" s="37" t="s">
        <v>17</v>
      </c>
      <c r="D80" s="1"/>
      <c r="E80" s="3"/>
      <c r="F80" s="13"/>
      <c r="G80" s="5"/>
      <c r="I80" s="3"/>
      <c r="J80" s="3"/>
      <c r="K80" s="3"/>
      <c r="L80" s="103"/>
      <c r="M80" s="108"/>
      <c r="N80" s="9"/>
    </row>
    <row r="81" spans="1:14" ht="13.95" customHeight="1">
      <c r="A81" s="1"/>
      <c r="B81" s="1"/>
      <c r="C81" s="37"/>
      <c r="D81" s="1"/>
      <c r="E81" s="3"/>
      <c r="F81" s="13"/>
      <c r="G81" s="5"/>
      <c r="I81" s="3"/>
      <c r="J81" s="3"/>
      <c r="K81" s="3"/>
      <c r="L81" s="103"/>
      <c r="M81" s="108"/>
      <c r="N81" s="9"/>
    </row>
    <row r="82" spans="1:14" ht="13.95" customHeight="1">
      <c r="A82" s="1">
        <v>13</v>
      </c>
      <c r="B82" s="1"/>
      <c r="C82" s="33" t="s">
        <v>28</v>
      </c>
      <c r="D82" s="1" t="s">
        <v>60</v>
      </c>
      <c r="E82" s="3">
        <f>SUM(I82:N82)</f>
        <v>72</v>
      </c>
      <c r="F82" s="13">
        <v>475</v>
      </c>
      <c r="G82" s="5">
        <f t="shared" ref="G82" si="19">+E82*F82</f>
        <v>34200</v>
      </c>
      <c r="I82" s="3">
        <v>72</v>
      </c>
      <c r="J82" s="3"/>
      <c r="K82" s="3"/>
      <c r="L82" s="103"/>
      <c r="M82" s="108"/>
      <c r="N82" s="9"/>
    </row>
    <row r="83" spans="1:14" ht="13.95" customHeight="1">
      <c r="A83" s="1"/>
      <c r="B83" s="1"/>
      <c r="C83" s="33"/>
      <c r="D83" s="1"/>
      <c r="E83" s="3"/>
      <c r="F83" s="13"/>
      <c r="G83" s="5"/>
      <c r="I83" s="3"/>
      <c r="J83" s="3"/>
      <c r="K83" s="3"/>
      <c r="L83" s="103"/>
      <c r="M83" s="108"/>
      <c r="N83" s="9"/>
    </row>
    <row r="84" spans="1:14" ht="19.95" customHeight="1">
      <c r="A84" s="1"/>
      <c r="B84" s="1" t="s">
        <v>86</v>
      </c>
      <c r="C84" s="34" t="s">
        <v>26</v>
      </c>
      <c r="D84" s="1"/>
      <c r="E84" s="3"/>
      <c r="F84" s="13"/>
      <c r="G84" s="5"/>
      <c r="I84" s="3"/>
      <c r="J84" s="3"/>
      <c r="K84" s="3"/>
      <c r="L84" s="103"/>
      <c r="M84" s="108"/>
      <c r="N84" s="9"/>
    </row>
    <row r="85" spans="1:14" ht="13.95" customHeight="1">
      <c r="A85" s="1"/>
      <c r="B85" s="1"/>
      <c r="C85" s="33"/>
      <c r="D85" s="1"/>
      <c r="E85" s="3"/>
      <c r="F85" s="13"/>
      <c r="G85" s="5"/>
      <c r="I85" s="3"/>
      <c r="J85" s="3"/>
      <c r="K85" s="3"/>
      <c r="L85" s="103"/>
      <c r="M85" s="108"/>
      <c r="N85" s="9"/>
    </row>
    <row r="86" spans="1:14" ht="13.95" customHeight="1">
      <c r="A86" s="1"/>
      <c r="B86" s="1"/>
      <c r="C86" s="37" t="s">
        <v>17</v>
      </c>
      <c r="D86" s="1"/>
      <c r="E86" s="3"/>
      <c r="F86" s="13"/>
      <c r="G86" s="5"/>
      <c r="I86" s="3"/>
      <c r="J86" s="3"/>
      <c r="K86" s="3"/>
      <c r="L86" s="103"/>
      <c r="M86" s="108"/>
      <c r="N86" s="9"/>
    </row>
    <row r="87" spans="1:14" ht="13.95" customHeight="1">
      <c r="A87" s="1"/>
      <c r="B87" s="1"/>
      <c r="C87" s="33"/>
      <c r="D87" s="1"/>
      <c r="E87" s="3"/>
      <c r="F87" s="13"/>
      <c r="G87" s="5"/>
      <c r="I87" s="3"/>
      <c r="J87" s="3"/>
      <c r="K87" s="3"/>
      <c r="L87" s="103"/>
      <c r="M87" s="108"/>
      <c r="N87" s="9"/>
    </row>
    <row r="88" spans="1:14" ht="13.95" customHeight="1">
      <c r="A88" s="1">
        <v>14</v>
      </c>
      <c r="B88" s="1"/>
      <c r="C88" s="33" t="s">
        <v>201</v>
      </c>
      <c r="D88" s="1" t="s">
        <v>60</v>
      </c>
      <c r="E88" s="3">
        <f>SUM(I88:N88)</f>
        <v>20</v>
      </c>
      <c r="F88" s="13">
        <v>750</v>
      </c>
      <c r="G88" s="5">
        <f t="shared" ref="G88" si="20">+E88*F88</f>
        <v>15000</v>
      </c>
      <c r="I88" s="3">
        <v>20</v>
      </c>
      <c r="J88" s="3"/>
      <c r="K88" s="3"/>
      <c r="L88" s="103"/>
      <c r="M88" s="108"/>
      <c r="N88" s="9"/>
    </row>
    <row r="89" spans="1:14" ht="13.95" customHeight="1">
      <c r="A89" s="1"/>
      <c r="B89" s="1"/>
      <c r="C89" s="33"/>
      <c r="D89" s="1"/>
      <c r="E89" s="3"/>
      <c r="F89" s="13"/>
      <c r="G89" s="5"/>
      <c r="I89" s="3"/>
      <c r="J89" s="3"/>
      <c r="K89" s="3"/>
      <c r="L89" s="103"/>
      <c r="M89" s="108"/>
      <c r="N89" s="9"/>
    </row>
    <row r="90" spans="1:14" ht="13.95" customHeight="1">
      <c r="A90" s="1">
        <v>15</v>
      </c>
      <c r="B90" s="1"/>
      <c r="C90" s="33" t="s">
        <v>224</v>
      </c>
      <c r="D90" s="1" t="s">
        <v>60</v>
      </c>
      <c r="E90" s="3">
        <f>SUM(I90:N90)</f>
        <v>0</v>
      </c>
      <c r="F90" s="13">
        <v>635</v>
      </c>
      <c r="G90" s="5">
        <f t="shared" ref="G90" si="21">+E90*F90</f>
        <v>0</v>
      </c>
      <c r="I90" s="3"/>
      <c r="J90" s="3"/>
      <c r="K90" s="3"/>
      <c r="L90" s="103"/>
      <c r="M90" s="108"/>
      <c r="N90" s="9"/>
    </row>
    <row r="91" spans="1:14" ht="13.95" customHeight="1">
      <c r="A91" s="1"/>
      <c r="B91" s="1"/>
      <c r="C91" s="33"/>
      <c r="D91" s="1"/>
      <c r="E91" s="3"/>
      <c r="F91" s="13"/>
      <c r="G91" s="5"/>
      <c r="I91" s="3"/>
      <c r="J91" s="3"/>
      <c r="K91" s="3"/>
      <c r="L91" s="103"/>
      <c r="M91" s="108"/>
      <c r="N91" s="9"/>
    </row>
    <row r="92" spans="1:14" ht="13.95" customHeight="1">
      <c r="A92" s="1">
        <v>16</v>
      </c>
      <c r="B92" s="1"/>
      <c r="C92" s="33" t="s">
        <v>39</v>
      </c>
      <c r="D92" s="1" t="s">
        <v>60</v>
      </c>
      <c r="E92" s="3">
        <f>SUM(I92:N92)</f>
        <v>0</v>
      </c>
      <c r="F92" s="13">
        <v>850</v>
      </c>
      <c r="G92" s="5">
        <f t="shared" ref="G92" si="22">+E92*F92</f>
        <v>0</v>
      </c>
      <c r="I92" s="3"/>
      <c r="J92" s="3"/>
      <c r="K92" s="3"/>
      <c r="L92" s="103"/>
      <c r="M92" s="108"/>
      <c r="N92" s="9"/>
    </row>
    <row r="93" spans="1:14" ht="13.95" customHeight="1">
      <c r="A93" s="1"/>
      <c r="B93" s="1"/>
      <c r="C93" s="33"/>
      <c r="D93" s="1"/>
      <c r="E93" s="3"/>
      <c r="F93" s="13"/>
      <c r="G93" s="5"/>
      <c r="I93" s="3"/>
      <c r="J93" s="3"/>
      <c r="K93" s="3"/>
      <c r="L93" s="103"/>
      <c r="M93" s="108"/>
      <c r="N93" s="9"/>
    </row>
    <row r="94" spans="1:14" ht="13.95" customHeight="1">
      <c r="A94" s="1">
        <v>17</v>
      </c>
      <c r="B94" s="1"/>
      <c r="C94" s="33" t="s">
        <v>247</v>
      </c>
      <c r="D94" s="1" t="s">
        <v>60</v>
      </c>
      <c r="E94" s="3">
        <f>SUM(I94:N94)</f>
        <v>0</v>
      </c>
      <c r="F94" s="13">
        <v>775</v>
      </c>
      <c r="G94" s="5">
        <f t="shared" ref="G94" si="23">+E94*F94</f>
        <v>0</v>
      </c>
      <c r="I94" s="3"/>
      <c r="J94" s="3"/>
      <c r="K94" s="3"/>
      <c r="L94" s="103"/>
      <c r="M94" s="108"/>
      <c r="N94" s="9"/>
    </row>
    <row r="95" spans="1:14" ht="13.95" customHeight="1">
      <c r="A95" s="1"/>
      <c r="B95" s="1"/>
      <c r="C95" s="33"/>
      <c r="D95" s="1"/>
      <c r="E95" s="3"/>
      <c r="F95" s="4"/>
      <c r="G95" s="5"/>
      <c r="I95" s="3"/>
      <c r="J95" s="3"/>
      <c r="K95" s="3"/>
      <c r="L95" s="103"/>
      <c r="M95" s="108"/>
      <c r="N95" s="9"/>
    </row>
    <row r="96" spans="1:14" ht="20.100000000000001" customHeight="1">
      <c r="A96" s="149" t="s">
        <v>66</v>
      </c>
      <c r="B96" s="150"/>
      <c r="C96" s="150"/>
      <c r="D96" s="150"/>
      <c r="E96" s="150"/>
      <c r="F96" s="151"/>
      <c r="G96" s="116">
        <f>SUM(G52:G95)</f>
        <v>131850</v>
      </c>
      <c r="I96" s="9"/>
      <c r="J96" s="9"/>
      <c r="K96" s="9"/>
      <c r="L96" s="103"/>
      <c r="M96" s="108"/>
      <c r="N96" s="9"/>
    </row>
    <row r="97" spans="1:14" ht="13.95" customHeight="1">
      <c r="A97" s="39"/>
      <c r="B97" s="39"/>
      <c r="C97" s="39"/>
      <c r="D97" s="39"/>
      <c r="E97" s="39"/>
      <c r="F97" s="39"/>
      <c r="G97" s="113"/>
      <c r="I97" s="9"/>
      <c r="J97" s="9"/>
      <c r="K97" s="9"/>
      <c r="L97" s="103"/>
      <c r="M97" s="108"/>
      <c r="N97" s="9"/>
    </row>
    <row r="98" spans="1:14" ht="13.95" customHeight="1">
      <c r="A98" s="39"/>
      <c r="B98" s="39"/>
      <c r="C98" s="39"/>
      <c r="D98" s="39"/>
      <c r="E98" s="39"/>
      <c r="F98" s="39"/>
      <c r="G98" s="113"/>
      <c r="I98" s="9"/>
      <c r="J98" s="9"/>
      <c r="K98" s="9"/>
      <c r="L98" s="103"/>
      <c r="M98" s="108"/>
      <c r="N98" s="9"/>
    </row>
    <row r="99" spans="1:14" ht="22.2" customHeight="1">
      <c r="A99" s="44" t="s">
        <v>8</v>
      </c>
      <c r="B99" s="48" t="s">
        <v>9</v>
      </c>
      <c r="C99" s="44" t="s">
        <v>10</v>
      </c>
      <c r="D99" s="48" t="s">
        <v>11</v>
      </c>
      <c r="E99" s="48" t="s">
        <v>59</v>
      </c>
      <c r="F99" s="49" t="s">
        <v>12</v>
      </c>
      <c r="G99" s="111" t="s">
        <v>13</v>
      </c>
      <c r="I99" s="9"/>
      <c r="J99" s="9"/>
      <c r="K99" s="9"/>
      <c r="L99" s="103"/>
      <c r="M99" s="108"/>
      <c r="N99" s="9"/>
    </row>
    <row r="100" spans="1:14" ht="20.100000000000001" customHeight="1">
      <c r="A100" s="149" t="s">
        <v>67</v>
      </c>
      <c r="B100" s="150"/>
      <c r="C100" s="150"/>
      <c r="D100" s="150"/>
      <c r="E100" s="150"/>
      <c r="F100" s="151"/>
      <c r="G100" s="116">
        <f>+G96</f>
        <v>131850</v>
      </c>
      <c r="I100" s="9"/>
      <c r="J100" s="9"/>
      <c r="K100" s="9"/>
      <c r="L100" s="103"/>
      <c r="M100" s="108"/>
      <c r="N100" s="9"/>
    </row>
    <row r="101" spans="1:14" ht="13.95" customHeight="1">
      <c r="A101" s="1"/>
      <c r="B101" s="1"/>
      <c r="C101" s="33"/>
      <c r="D101" s="1"/>
      <c r="E101" s="3"/>
      <c r="F101" s="13"/>
      <c r="G101" s="5"/>
      <c r="I101" s="9"/>
      <c r="J101" s="9"/>
      <c r="K101" s="9"/>
      <c r="L101" s="103"/>
      <c r="M101" s="108"/>
      <c r="N101" s="9"/>
    </row>
    <row r="102" spans="1:14" ht="13.95" customHeight="1">
      <c r="A102" s="1"/>
      <c r="B102" s="1"/>
      <c r="C102" s="37" t="s">
        <v>248</v>
      </c>
      <c r="D102" s="1"/>
      <c r="E102" s="3"/>
      <c r="F102" s="13"/>
      <c r="G102" s="5"/>
      <c r="I102" s="3"/>
      <c r="J102" s="3"/>
      <c r="K102" s="3"/>
      <c r="L102" s="103"/>
      <c r="M102" s="108"/>
      <c r="N102" s="9"/>
    </row>
    <row r="103" spans="1:14" ht="13.95" customHeight="1">
      <c r="A103" s="1"/>
      <c r="B103" s="1"/>
      <c r="C103" s="33"/>
      <c r="D103" s="1"/>
      <c r="E103" s="3"/>
      <c r="F103" s="13"/>
      <c r="G103" s="5"/>
      <c r="I103" s="3"/>
      <c r="J103" s="3"/>
      <c r="K103" s="3"/>
      <c r="L103" s="103"/>
      <c r="M103" s="108"/>
      <c r="N103" s="9"/>
    </row>
    <row r="104" spans="1:14" ht="13.95" customHeight="1">
      <c r="A104" s="1">
        <v>18</v>
      </c>
      <c r="B104" s="1"/>
      <c r="C104" s="33" t="s">
        <v>249</v>
      </c>
      <c r="D104" s="1" t="s">
        <v>60</v>
      </c>
      <c r="E104" s="3">
        <f>SUM(I104:N104)</f>
        <v>0</v>
      </c>
      <c r="F104" s="13">
        <v>1150</v>
      </c>
      <c r="G104" s="5">
        <f t="shared" ref="G104" si="24">+E104*F104</f>
        <v>0</v>
      </c>
      <c r="I104" s="3"/>
      <c r="J104" s="3"/>
      <c r="K104" s="3"/>
      <c r="L104" s="103"/>
      <c r="M104" s="108"/>
      <c r="N104" s="9"/>
    </row>
    <row r="105" spans="1:14" ht="13.95" customHeight="1">
      <c r="A105" s="1"/>
      <c r="B105" s="1"/>
      <c r="C105" s="33"/>
      <c r="D105" s="1"/>
      <c r="E105" s="3"/>
      <c r="F105" s="13"/>
      <c r="G105" s="5"/>
      <c r="I105" s="9"/>
      <c r="J105" s="9"/>
      <c r="K105" s="9"/>
      <c r="L105" s="103"/>
      <c r="M105" s="108"/>
      <c r="N105" s="9"/>
    </row>
    <row r="106" spans="1:14" ht="13.95" customHeight="1">
      <c r="A106" s="1"/>
      <c r="B106" s="1" t="s">
        <v>89</v>
      </c>
      <c r="C106" s="32" t="s">
        <v>156</v>
      </c>
      <c r="D106" s="1"/>
      <c r="E106" s="3"/>
      <c r="F106" s="4"/>
      <c r="G106" s="5"/>
      <c r="I106" s="9"/>
      <c r="J106" s="9"/>
      <c r="K106" s="9"/>
      <c r="L106" s="103"/>
      <c r="M106" s="108"/>
      <c r="N106" s="9"/>
    </row>
    <row r="107" spans="1:14" ht="13.95" customHeight="1">
      <c r="A107" s="1"/>
      <c r="B107" s="1"/>
      <c r="C107" s="33"/>
      <c r="D107" s="1"/>
      <c r="E107" s="3"/>
      <c r="F107" s="4"/>
      <c r="G107" s="5"/>
      <c r="I107" s="9"/>
      <c r="J107" s="9"/>
      <c r="K107" s="9"/>
      <c r="L107" s="103"/>
      <c r="M107" s="108"/>
      <c r="N107" s="9"/>
    </row>
    <row r="108" spans="1:14" ht="13.95" customHeight="1">
      <c r="A108" s="1">
        <v>19</v>
      </c>
      <c r="B108" s="1"/>
      <c r="C108" s="47" t="s">
        <v>244</v>
      </c>
      <c r="D108" s="1" t="s">
        <v>1</v>
      </c>
      <c r="E108" s="3">
        <f>SUM(I108:N108)</f>
        <v>60</v>
      </c>
      <c r="F108" s="3">
        <v>135</v>
      </c>
      <c r="G108" s="5">
        <f t="shared" ref="G108" si="25">+E108*F108</f>
        <v>8100</v>
      </c>
      <c r="I108" s="3"/>
      <c r="J108" s="3">
        <v>60</v>
      </c>
      <c r="K108" s="3"/>
      <c r="L108" s="103"/>
      <c r="M108" s="108"/>
      <c r="N108" s="9"/>
    </row>
    <row r="109" spans="1:14" ht="13.95" customHeight="1">
      <c r="A109" s="1"/>
      <c r="B109" s="1"/>
      <c r="C109" s="33"/>
      <c r="D109" s="1"/>
      <c r="E109" s="3"/>
      <c r="F109" s="4"/>
      <c r="G109" s="5"/>
      <c r="I109" s="3"/>
      <c r="J109" s="3"/>
      <c r="K109" s="3"/>
      <c r="L109" s="103"/>
      <c r="M109" s="108"/>
      <c r="N109" s="9"/>
    </row>
    <row r="110" spans="1:14" ht="13.95" customHeight="1">
      <c r="A110" s="1"/>
      <c r="B110" s="1" t="s">
        <v>90</v>
      </c>
      <c r="C110" s="32" t="s">
        <v>36</v>
      </c>
      <c r="D110" s="1"/>
      <c r="E110" s="3"/>
      <c r="F110" s="4"/>
      <c r="G110" s="5"/>
      <c r="I110" s="3"/>
      <c r="J110" s="3"/>
      <c r="K110" s="3"/>
      <c r="L110" s="103"/>
      <c r="M110" s="108"/>
      <c r="N110" s="9"/>
    </row>
    <row r="111" spans="1:14" ht="13.95" customHeight="1">
      <c r="A111" s="1"/>
      <c r="B111" s="1"/>
      <c r="C111" s="33"/>
      <c r="D111" s="1"/>
      <c r="E111" s="3"/>
      <c r="F111" s="4"/>
      <c r="G111" s="5"/>
      <c r="I111" s="3"/>
      <c r="J111" s="3"/>
      <c r="K111" s="3"/>
      <c r="L111" s="103"/>
      <c r="M111" s="108"/>
      <c r="N111" s="9"/>
    </row>
    <row r="112" spans="1:14" ht="24" customHeight="1">
      <c r="A112" s="1"/>
      <c r="B112" s="1"/>
      <c r="C112" s="33" t="s">
        <v>225</v>
      </c>
      <c r="D112" s="1"/>
      <c r="E112" s="3"/>
      <c r="F112" s="4"/>
      <c r="G112" s="5"/>
      <c r="I112" s="3"/>
      <c r="J112" s="3"/>
      <c r="K112" s="3"/>
      <c r="L112" s="103"/>
      <c r="M112" s="108"/>
      <c r="N112" s="9"/>
    </row>
    <row r="113" spans="1:14" ht="13.95" customHeight="1">
      <c r="A113" s="1"/>
      <c r="B113" s="1"/>
      <c r="C113" s="33"/>
      <c r="D113" s="1"/>
      <c r="E113" s="3"/>
      <c r="F113" s="4"/>
      <c r="G113" s="5"/>
      <c r="I113" s="3"/>
      <c r="J113" s="3"/>
      <c r="K113" s="3"/>
      <c r="L113" s="103"/>
      <c r="M113" s="108"/>
      <c r="N113" s="9"/>
    </row>
    <row r="114" spans="1:14" ht="13.95" customHeight="1">
      <c r="A114" s="1">
        <v>20</v>
      </c>
      <c r="B114" s="1"/>
      <c r="C114" s="33" t="s">
        <v>37</v>
      </c>
      <c r="D114" s="1" t="s">
        <v>6</v>
      </c>
      <c r="E114" s="3">
        <f>SUM(I114:N114)</f>
        <v>48</v>
      </c>
      <c r="F114" s="3">
        <v>75</v>
      </c>
      <c r="G114" s="5">
        <f t="shared" ref="G114" si="26">+E114*F114</f>
        <v>3600</v>
      </c>
      <c r="I114" s="3">
        <v>48</v>
      </c>
      <c r="J114" s="3"/>
      <c r="K114" s="3"/>
      <c r="L114" s="103"/>
      <c r="M114" s="108"/>
      <c r="N114" s="9"/>
    </row>
    <row r="115" spans="1:14" ht="13.95" customHeight="1">
      <c r="A115" s="1"/>
      <c r="B115" s="1"/>
      <c r="C115" s="33"/>
      <c r="D115" s="1"/>
      <c r="E115" s="3"/>
      <c r="F115" s="3"/>
      <c r="G115" s="5"/>
      <c r="I115" s="3"/>
      <c r="J115" s="3"/>
      <c r="K115" s="3"/>
      <c r="L115" s="103"/>
      <c r="M115" s="108"/>
      <c r="N115" s="9"/>
    </row>
    <row r="116" spans="1:14" ht="13.95" customHeight="1">
      <c r="A116" s="1"/>
      <c r="B116" s="1"/>
      <c r="C116" s="33" t="s">
        <v>226</v>
      </c>
      <c r="D116" s="1" t="s">
        <v>6</v>
      </c>
      <c r="E116" s="3">
        <f>SUM(I116:N116)</f>
        <v>0</v>
      </c>
      <c r="F116" s="3">
        <v>275</v>
      </c>
      <c r="G116" s="5">
        <f t="shared" ref="G116" si="27">+E116*F116</f>
        <v>0</v>
      </c>
      <c r="I116" s="3"/>
      <c r="J116" s="3"/>
      <c r="K116" s="3"/>
      <c r="L116" s="103"/>
      <c r="M116" s="108"/>
      <c r="N116" s="9"/>
    </row>
    <row r="117" spans="1:14" ht="13.95" customHeight="1">
      <c r="A117" s="1"/>
      <c r="B117" s="1"/>
      <c r="D117" s="1"/>
      <c r="E117" s="3"/>
      <c r="F117" s="4"/>
      <c r="G117" s="5"/>
      <c r="I117" s="3"/>
      <c r="J117" s="3"/>
      <c r="K117" s="3"/>
      <c r="L117" s="103"/>
      <c r="M117" s="108"/>
      <c r="N117" s="9"/>
    </row>
    <row r="118" spans="1:14" ht="13.95" customHeight="1">
      <c r="A118" s="1"/>
      <c r="B118" s="1"/>
      <c r="C118" s="42" t="s">
        <v>104</v>
      </c>
      <c r="D118" s="1"/>
      <c r="E118" s="3"/>
      <c r="F118" s="4"/>
      <c r="G118" s="5"/>
      <c r="I118" s="3"/>
      <c r="J118" s="3"/>
      <c r="K118" s="3"/>
      <c r="L118" s="103"/>
      <c r="M118" s="108"/>
      <c r="N118" s="9"/>
    </row>
    <row r="119" spans="1:14" ht="13.95" customHeight="1">
      <c r="A119" s="1"/>
      <c r="B119" s="1"/>
      <c r="C119" s="6"/>
      <c r="D119" s="1"/>
      <c r="E119" s="3"/>
      <c r="F119" s="4"/>
      <c r="G119" s="5"/>
      <c r="I119" s="3"/>
      <c r="J119" s="3"/>
      <c r="K119" s="3"/>
      <c r="L119" s="103"/>
      <c r="M119" s="108"/>
      <c r="N119" s="9"/>
    </row>
    <row r="120" spans="1:14" ht="13.95" customHeight="1">
      <c r="A120" s="1">
        <f>A114+1</f>
        <v>21</v>
      </c>
      <c r="B120" s="1"/>
      <c r="C120" s="6" t="s">
        <v>106</v>
      </c>
      <c r="D120" s="1" t="s">
        <v>1</v>
      </c>
      <c r="E120" s="3">
        <f>SUM(I120:AG120)</f>
        <v>234</v>
      </c>
      <c r="F120" s="3">
        <v>36</v>
      </c>
      <c r="G120" s="5">
        <f t="shared" ref="G120" si="28">+E120*F120</f>
        <v>8424</v>
      </c>
      <c r="I120" s="3">
        <v>234</v>
      </c>
      <c r="J120" s="3"/>
      <c r="K120" s="3"/>
      <c r="L120" s="103"/>
      <c r="M120" s="108"/>
      <c r="N120" s="9"/>
    </row>
    <row r="121" spans="1:14" ht="13.95" customHeight="1">
      <c r="A121" s="1"/>
      <c r="B121" s="1"/>
      <c r="C121" s="6"/>
      <c r="D121" s="1"/>
      <c r="E121" s="3"/>
      <c r="F121" s="4"/>
      <c r="G121" s="5"/>
      <c r="I121" s="3"/>
      <c r="J121" s="3"/>
      <c r="K121" s="3"/>
      <c r="L121" s="103"/>
      <c r="M121" s="108"/>
      <c r="N121" s="9"/>
    </row>
    <row r="122" spans="1:14" ht="13.95" customHeight="1">
      <c r="A122" s="1"/>
      <c r="B122" s="2" t="s">
        <v>91</v>
      </c>
      <c r="C122" s="34" t="s">
        <v>18</v>
      </c>
      <c r="D122" s="1"/>
      <c r="E122" s="3"/>
      <c r="F122" s="4"/>
      <c r="G122" s="5"/>
      <c r="I122" s="3"/>
      <c r="J122" s="3"/>
      <c r="K122" s="3"/>
      <c r="L122" s="103"/>
      <c r="M122" s="108"/>
      <c r="N122" s="9"/>
    </row>
    <row r="123" spans="1:14" ht="13.95" customHeight="1">
      <c r="A123" s="1"/>
      <c r="B123" s="1"/>
      <c r="C123" s="33"/>
      <c r="D123" s="1"/>
      <c r="E123" s="3"/>
      <c r="F123" s="4"/>
      <c r="G123" s="5"/>
      <c r="I123" s="3"/>
      <c r="J123" s="3"/>
      <c r="K123" s="3"/>
      <c r="L123" s="103"/>
      <c r="M123" s="108"/>
      <c r="N123" s="9"/>
    </row>
    <row r="124" spans="1:14" ht="13.95" customHeight="1">
      <c r="A124" s="1"/>
      <c r="B124" s="1" t="s">
        <v>84</v>
      </c>
      <c r="C124" s="32" t="s">
        <v>19</v>
      </c>
      <c r="D124" s="1"/>
      <c r="E124" s="3"/>
      <c r="F124" s="4"/>
      <c r="G124" s="5"/>
      <c r="I124" s="3"/>
      <c r="J124" s="3"/>
      <c r="K124" s="3"/>
      <c r="L124" s="103"/>
      <c r="M124" s="108"/>
      <c r="N124" s="9"/>
    </row>
    <row r="125" spans="1:14" ht="13.95" customHeight="1">
      <c r="A125" s="1"/>
      <c r="B125" s="1"/>
      <c r="C125" s="33"/>
      <c r="D125" s="1"/>
      <c r="E125" s="3"/>
      <c r="F125" s="4"/>
      <c r="G125" s="5"/>
      <c r="I125" s="3"/>
      <c r="J125" s="3"/>
      <c r="K125" s="3"/>
      <c r="L125" s="103"/>
      <c r="M125" s="108"/>
      <c r="N125" s="9"/>
    </row>
    <row r="126" spans="1:14" ht="13.95" customHeight="1">
      <c r="A126" s="1">
        <f>A120+1</f>
        <v>22</v>
      </c>
      <c r="B126" s="1"/>
      <c r="C126" s="33" t="s">
        <v>72</v>
      </c>
      <c r="D126" s="1" t="s">
        <v>2</v>
      </c>
      <c r="E126" s="3">
        <f>SUM(I126:N126)</f>
        <v>4</v>
      </c>
      <c r="F126" s="3">
        <v>25750</v>
      </c>
      <c r="G126" s="5">
        <f t="shared" ref="G126" si="29">+E126*F126</f>
        <v>103000</v>
      </c>
      <c r="I126" s="4">
        <v>4</v>
      </c>
      <c r="J126" s="4"/>
      <c r="K126" s="4"/>
      <c r="L126" s="103"/>
      <c r="M126" s="108"/>
      <c r="N126" s="9"/>
    </row>
    <row r="127" spans="1:14" ht="13.95" customHeight="1">
      <c r="A127" s="1"/>
      <c r="B127" s="1"/>
      <c r="C127" s="33"/>
      <c r="D127" s="1"/>
      <c r="E127" s="3"/>
      <c r="F127" s="4"/>
      <c r="G127" s="5"/>
      <c r="I127" s="3"/>
      <c r="J127" s="3"/>
      <c r="K127" s="3"/>
      <c r="L127" s="103"/>
      <c r="M127" s="108"/>
      <c r="N127" s="9"/>
    </row>
    <row r="128" spans="1:14" ht="13.95" customHeight="1">
      <c r="A128" s="1"/>
      <c r="B128" s="1" t="s">
        <v>92</v>
      </c>
      <c r="C128" s="32" t="s">
        <v>3</v>
      </c>
      <c r="D128" s="1"/>
      <c r="E128" s="3"/>
      <c r="F128" s="4"/>
      <c r="G128" s="5"/>
      <c r="I128" s="3"/>
      <c r="J128" s="3"/>
      <c r="K128" s="3"/>
      <c r="L128" s="103"/>
      <c r="M128" s="108"/>
      <c r="N128" s="9"/>
    </row>
    <row r="129" spans="1:14" ht="13.95" customHeight="1">
      <c r="A129" s="1"/>
      <c r="B129" s="1"/>
      <c r="C129" s="33"/>
      <c r="D129" s="1"/>
      <c r="E129" s="3"/>
      <c r="F129" s="4"/>
      <c r="G129" s="5"/>
      <c r="I129" s="3"/>
      <c r="J129" s="3"/>
      <c r="K129" s="3"/>
      <c r="L129" s="103"/>
      <c r="M129" s="108"/>
      <c r="N129" s="9"/>
    </row>
    <row r="130" spans="1:14" ht="13.95" customHeight="1">
      <c r="A130" s="1">
        <f>A126+1</f>
        <v>23</v>
      </c>
      <c r="B130" s="1"/>
      <c r="C130" s="33" t="s">
        <v>73</v>
      </c>
      <c r="D130" s="1" t="s">
        <v>60</v>
      </c>
      <c r="E130" s="3">
        <f>SUM(I130:N130)</f>
        <v>200</v>
      </c>
      <c r="F130" s="13">
        <v>345</v>
      </c>
      <c r="G130" s="5">
        <f t="shared" ref="G130" si="30">+E130*F130</f>
        <v>69000</v>
      </c>
      <c r="I130" s="3"/>
      <c r="J130" s="3">
        <v>200</v>
      </c>
      <c r="K130" s="3"/>
      <c r="L130" s="103"/>
      <c r="M130" s="108"/>
      <c r="N130" s="9"/>
    </row>
    <row r="131" spans="1:14" ht="13.95" customHeight="1">
      <c r="A131" s="1"/>
      <c r="B131" s="1"/>
      <c r="C131" s="33"/>
      <c r="D131" s="1"/>
      <c r="E131" s="3"/>
      <c r="F131" s="4"/>
      <c r="G131" s="5"/>
      <c r="I131" s="3"/>
      <c r="J131" s="3"/>
      <c r="K131" s="3"/>
      <c r="L131" s="103"/>
      <c r="M131" s="108"/>
      <c r="N131" s="9"/>
    </row>
    <row r="132" spans="1:14" ht="13.95" customHeight="1">
      <c r="A132" s="1"/>
      <c r="B132" s="36" t="s">
        <v>93</v>
      </c>
      <c r="C132" s="34" t="s">
        <v>4</v>
      </c>
      <c r="D132" s="1"/>
      <c r="E132" s="3"/>
      <c r="F132" s="4"/>
      <c r="G132" s="5"/>
      <c r="I132" s="3"/>
      <c r="J132" s="3"/>
      <c r="K132" s="3"/>
      <c r="L132" s="103"/>
      <c r="M132" s="108"/>
      <c r="N132" s="9"/>
    </row>
    <row r="133" spans="1:14" ht="13.95" customHeight="1">
      <c r="A133" s="1"/>
      <c r="C133" s="33"/>
      <c r="D133" s="1"/>
      <c r="E133" s="3"/>
      <c r="F133" s="4"/>
      <c r="G133" s="5"/>
      <c r="I133" s="3"/>
      <c r="J133" s="3"/>
      <c r="K133" s="3"/>
      <c r="L133" s="103"/>
      <c r="M133" s="108"/>
      <c r="N133" s="9"/>
    </row>
    <row r="134" spans="1:14" ht="13.95" customHeight="1">
      <c r="A134" s="1"/>
      <c r="B134" s="20" t="s">
        <v>94</v>
      </c>
      <c r="C134" s="32" t="s">
        <v>5</v>
      </c>
      <c r="D134" s="1"/>
      <c r="E134" s="3"/>
      <c r="F134" s="4"/>
      <c r="G134" s="5"/>
      <c r="I134" s="3"/>
      <c r="J134" s="3"/>
      <c r="K134" s="3"/>
      <c r="L134" s="103"/>
      <c r="M134" s="108"/>
      <c r="N134" s="9"/>
    </row>
    <row r="135" spans="1:14" ht="13.95" customHeight="1">
      <c r="A135" s="1"/>
      <c r="C135" s="33"/>
      <c r="D135" s="1"/>
      <c r="E135" s="3"/>
      <c r="F135" s="4"/>
      <c r="G135" s="5"/>
      <c r="I135" s="3"/>
      <c r="J135" s="3"/>
      <c r="K135" s="3"/>
      <c r="L135" s="103"/>
      <c r="M135" s="108"/>
      <c r="N135" s="9"/>
    </row>
    <row r="136" spans="1:14" ht="13.95" customHeight="1">
      <c r="A136" s="1"/>
      <c r="C136" s="33" t="s">
        <v>74</v>
      </c>
      <c r="D136" s="1"/>
      <c r="E136" s="3"/>
      <c r="F136" s="4"/>
      <c r="G136" s="5"/>
      <c r="I136" s="3"/>
      <c r="J136" s="3"/>
      <c r="K136" s="3"/>
      <c r="L136" s="103"/>
      <c r="M136" s="108"/>
      <c r="N136" s="9"/>
    </row>
    <row r="137" spans="1:14" ht="13.95" customHeight="1">
      <c r="A137" s="1"/>
      <c r="C137" s="33"/>
      <c r="D137" s="1"/>
      <c r="E137" s="3"/>
      <c r="F137" s="4"/>
      <c r="G137" s="5"/>
      <c r="I137" s="3"/>
      <c r="J137" s="3"/>
      <c r="K137" s="3"/>
      <c r="L137" s="103"/>
      <c r="M137" s="108"/>
      <c r="N137" s="9"/>
    </row>
    <row r="138" spans="1:14" ht="13.95" customHeight="1">
      <c r="A138" s="1">
        <f>A130+1</f>
        <v>24</v>
      </c>
      <c r="C138" s="33" t="s">
        <v>24</v>
      </c>
      <c r="D138" s="1" t="s">
        <v>60</v>
      </c>
      <c r="E138" s="3">
        <f>SUM(I138:N138)</f>
        <v>148</v>
      </c>
      <c r="F138" s="3">
        <v>175</v>
      </c>
      <c r="G138" s="5">
        <f t="shared" ref="G138" si="31">+E138*F138</f>
        <v>25900</v>
      </c>
      <c r="I138" s="3">
        <v>148</v>
      </c>
      <c r="J138" s="3"/>
      <c r="K138" s="3"/>
      <c r="L138" s="103"/>
      <c r="M138" s="108"/>
      <c r="N138" s="9"/>
    </row>
    <row r="139" spans="1:14" ht="13.95" customHeight="1">
      <c r="A139" s="1"/>
      <c r="C139" s="33"/>
      <c r="D139" s="1"/>
      <c r="E139" s="3"/>
      <c r="F139" s="3"/>
      <c r="G139" s="5"/>
      <c r="I139" s="3"/>
      <c r="J139" s="3"/>
      <c r="K139" s="3"/>
      <c r="L139" s="103"/>
      <c r="M139" s="108"/>
      <c r="N139" s="9"/>
    </row>
    <row r="140" spans="1:14" ht="13.95" customHeight="1">
      <c r="A140" s="1"/>
      <c r="C140" s="33"/>
      <c r="D140" s="1"/>
      <c r="E140" s="3"/>
      <c r="F140" s="3"/>
      <c r="G140" s="5"/>
      <c r="I140" s="3"/>
      <c r="J140" s="3"/>
      <c r="K140" s="3"/>
      <c r="L140" s="103"/>
      <c r="M140" s="108"/>
      <c r="N140" s="9"/>
    </row>
    <row r="141" spans="1:14" ht="13.95" customHeight="1">
      <c r="A141" s="1"/>
      <c r="C141" s="33"/>
      <c r="D141" s="1"/>
      <c r="E141" s="3"/>
      <c r="F141" s="3"/>
      <c r="G141" s="5"/>
      <c r="I141" s="3"/>
      <c r="J141" s="3"/>
      <c r="K141" s="3"/>
      <c r="L141" s="103"/>
      <c r="M141" s="108"/>
      <c r="N141" s="9"/>
    </row>
    <row r="142" spans="1:14" ht="13.95" customHeight="1">
      <c r="A142" s="1"/>
      <c r="C142" s="33"/>
      <c r="D142" s="1"/>
      <c r="E142" s="3"/>
      <c r="F142" s="3"/>
      <c r="G142" s="5"/>
      <c r="I142" s="3"/>
      <c r="J142" s="3"/>
      <c r="K142" s="3"/>
      <c r="L142" s="103"/>
      <c r="M142" s="108"/>
      <c r="N142" s="9"/>
    </row>
    <row r="143" spans="1:14" ht="13.95" customHeight="1">
      <c r="A143" s="1"/>
      <c r="C143" s="33"/>
      <c r="D143" s="1"/>
      <c r="E143" s="3"/>
      <c r="F143" s="3"/>
      <c r="G143" s="5"/>
      <c r="I143" s="3"/>
      <c r="J143" s="3"/>
      <c r="K143" s="3"/>
      <c r="L143" s="103"/>
      <c r="M143" s="108"/>
      <c r="N143" s="9"/>
    </row>
    <row r="144" spans="1:14" ht="13.95" customHeight="1">
      <c r="A144" s="1"/>
      <c r="C144" s="33"/>
      <c r="D144" s="1"/>
      <c r="E144" s="3"/>
      <c r="F144" s="3"/>
      <c r="G144" s="5"/>
      <c r="I144" s="3"/>
      <c r="J144" s="3"/>
      <c r="K144" s="3"/>
      <c r="L144" s="103"/>
      <c r="M144" s="108"/>
      <c r="N144" s="9"/>
    </row>
    <row r="145" spans="1:14" ht="13.95" customHeight="1">
      <c r="A145" s="1"/>
      <c r="B145" s="1"/>
      <c r="C145" s="33"/>
      <c r="D145" s="1"/>
      <c r="E145" s="3"/>
      <c r="F145" s="4"/>
      <c r="G145" s="5"/>
      <c r="I145" s="3"/>
      <c r="J145" s="3"/>
      <c r="K145" s="3"/>
      <c r="L145" s="103"/>
      <c r="M145" s="108"/>
      <c r="N145" s="9"/>
    </row>
    <row r="146" spans="1:14" ht="13.95" customHeight="1">
      <c r="A146" s="1"/>
      <c r="B146" s="1"/>
      <c r="C146" s="33"/>
      <c r="D146" s="1"/>
      <c r="E146" s="3"/>
      <c r="F146" s="4"/>
      <c r="G146" s="5"/>
      <c r="I146" s="3"/>
      <c r="J146" s="3"/>
      <c r="K146" s="3"/>
      <c r="L146" s="103"/>
      <c r="M146" s="108"/>
      <c r="N146" s="9"/>
    </row>
    <row r="147" spans="1:14" ht="13.95" customHeight="1">
      <c r="A147" s="1"/>
      <c r="B147" s="1"/>
      <c r="C147" s="33"/>
      <c r="D147" s="1"/>
      <c r="E147" s="3"/>
      <c r="F147" s="4"/>
      <c r="G147" s="5"/>
      <c r="I147" s="3"/>
      <c r="J147" s="3"/>
      <c r="K147" s="3"/>
      <c r="L147" s="103"/>
      <c r="M147" s="108"/>
      <c r="N147" s="9"/>
    </row>
    <row r="148" spans="1:14" ht="20.100000000000001" customHeight="1">
      <c r="A148" s="149" t="s">
        <v>66</v>
      </c>
      <c r="B148" s="150"/>
      <c r="C148" s="150"/>
      <c r="D148" s="150"/>
      <c r="E148" s="150"/>
      <c r="F148" s="151"/>
      <c r="G148" s="116">
        <f>SUM(G100:G147)</f>
        <v>349874</v>
      </c>
      <c r="I148" s="9"/>
      <c r="J148" s="9"/>
      <c r="K148" s="9"/>
      <c r="L148" s="103"/>
      <c r="M148" s="108"/>
      <c r="N148" s="9"/>
    </row>
    <row r="149" spans="1:14" ht="13.95" customHeight="1">
      <c r="A149" s="39"/>
      <c r="B149" s="39"/>
      <c r="C149" s="39"/>
      <c r="D149" s="39"/>
      <c r="E149" s="39"/>
      <c r="F149" s="39"/>
      <c r="G149" s="113"/>
      <c r="I149" s="9"/>
      <c r="J149" s="9"/>
      <c r="K149" s="9"/>
      <c r="L149" s="103"/>
      <c r="M149" s="108"/>
      <c r="N149" s="9"/>
    </row>
    <row r="150" spans="1:14" ht="13.95" customHeight="1">
      <c r="A150" s="39"/>
      <c r="B150" s="39"/>
      <c r="C150" s="39"/>
      <c r="D150" s="39"/>
      <c r="E150" s="39"/>
      <c r="F150" s="39"/>
      <c r="G150" s="113"/>
      <c r="I150" s="9"/>
      <c r="J150" s="9"/>
      <c r="K150" s="9"/>
      <c r="L150" s="103"/>
      <c r="M150" s="108"/>
      <c r="N150" s="9"/>
    </row>
    <row r="151" spans="1:14" ht="22.2" customHeight="1">
      <c r="A151" s="44" t="s">
        <v>8</v>
      </c>
      <c r="B151" s="48" t="s">
        <v>9</v>
      </c>
      <c r="C151" s="44" t="s">
        <v>10</v>
      </c>
      <c r="D151" s="48" t="s">
        <v>11</v>
      </c>
      <c r="E151" s="48" t="s">
        <v>59</v>
      </c>
      <c r="F151" s="49" t="s">
        <v>12</v>
      </c>
      <c r="G151" s="111" t="s">
        <v>13</v>
      </c>
      <c r="I151" s="9"/>
      <c r="J151" s="9"/>
      <c r="K151" s="9"/>
      <c r="L151" s="103"/>
      <c r="M151" s="108"/>
      <c r="N151" s="9"/>
    </row>
    <row r="152" spans="1:14" ht="20.100000000000001" customHeight="1">
      <c r="A152" s="149" t="s">
        <v>67</v>
      </c>
      <c r="B152" s="150"/>
      <c r="C152" s="150"/>
      <c r="D152" s="150"/>
      <c r="E152" s="150"/>
      <c r="F152" s="151"/>
      <c r="G152" s="116">
        <f>+G148</f>
        <v>349874</v>
      </c>
      <c r="I152" s="9"/>
      <c r="J152" s="9"/>
      <c r="K152" s="9"/>
      <c r="L152" s="103"/>
      <c r="M152" s="108"/>
      <c r="N152" s="9"/>
    </row>
    <row r="153" spans="1:14" ht="13.95" customHeight="1">
      <c r="A153" s="1"/>
      <c r="B153" s="1"/>
      <c r="C153" s="33"/>
      <c r="D153" s="1"/>
      <c r="E153" s="3"/>
      <c r="F153" s="4"/>
      <c r="G153" s="5"/>
      <c r="I153" s="3"/>
      <c r="J153" s="3"/>
      <c r="K153" s="3"/>
      <c r="L153" s="103"/>
      <c r="M153" s="108"/>
      <c r="N153" s="9"/>
    </row>
    <row r="154" spans="1:14" ht="13.95" customHeight="1">
      <c r="A154" s="1"/>
      <c r="B154" s="1"/>
      <c r="C154" s="32" t="s">
        <v>158</v>
      </c>
      <c r="D154" s="1"/>
      <c r="E154" s="3"/>
      <c r="F154" s="4"/>
      <c r="G154" s="5"/>
      <c r="I154" s="3"/>
      <c r="J154" s="3"/>
      <c r="K154" s="3"/>
      <c r="L154" s="103"/>
      <c r="M154" s="108"/>
      <c r="N154" s="9"/>
    </row>
    <row r="155" spans="1:14" ht="13.95" customHeight="1">
      <c r="A155" s="1"/>
      <c r="B155" s="1"/>
      <c r="C155" s="33"/>
      <c r="D155" s="1"/>
      <c r="E155" s="3"/>
      <c r="F155" s="4"/>
      <c r="G155" s="5"/>
      <c r="I155" s="3"/>
      <c r="J155" s="3"/>
      <c r="K155" s="3"/>
      <c r="L155" s="103"/>
      <c r="M155" s="108"/>
      <c r="N155" s="9"/>
    </row>
    <row r="156" spans="1:14" ht="13.95" customHeight="1">
      <c r="A156" s="1">
        <f>A138+1</f>
        <v>25</v>
      </c>
      <c r="B156" s="1"/>
      <c r="C156" s="33" t="s">
        <v>202</v>
      </c>
      <c r="D156" s="1" t="s">
        <v>51</v>
      </c>
      <c r="E156" s="3">
        <f>SUM(I156:N156)</f>
        <v>3</v>
      </c>
      <c r="F156" s="3">
        <v>3550</v>
      </c>
      <c r="G156" s="5">
        <f t="shared" ref="G156" si="32">+E156*F156</f>
        <v>10650</v>
      </c>
      <c r="I156" s="3">
        <v>3</v>
      </c>
      <c r="J156" s="3"/>
      <c r="K156" s="3"/>
      <c r="L156" s="103"/>
      <c r="M156" s="108"/>
      <c r="N156" s="9"/>
    </row>
    <row r="157" spans="1:14" ht="13.95" customHeight="1">
      <c r="A157" s="1"/>
      <c r="B157" s="1"/>
      <c r="C157" s="33"/>
      <c r="D157" s="1"/>
      <c r="E157" s="3"/>
      <c r="F157" s="3"/>
      <c r="G157" s="5"/>
      <c r="I157" s="3"/>
      <c r="J157" s="3"/>
      <c r="K157" s="3"/>
      <c r="L157" s="103"/>
      <c r="M157" s="108"/>
      <c r="N157" s="9"/>
    </row>
    <row r="158" spans="1:14" ht="13.95" customHeight="1">
      <c r="A158" s="1">
        <f>A156+1</f>
        <v>26</v>
      </c>
      <c r="B158" s="1"/>
      <c r="C158" s="33" t="s">
        <v>28</v>
      </c>
      <c r="D158" s="1" t="s">
        <v>51</v>
      </c>
      <c r="E158" s="3">
        <f>SUM(I158:N158)</f>
        <v>29</v>
      </c>
      <c r="F158" s="3">
        <v>3200</v>
      </c>
      <c r="G158" s="5">
        <f t="shared" ref="G158" si="33">+E158*F158</f>
        <v>92800</v>
      </c>
      <c r="I158" s="3">
        <v>29</v>
      </c>
      <c r="J158" s="3"/>
      <c r="K158" s="3"/>
      <c r="L158" s="103"/>
      <c r="M158" s="108"/>
      <c r="N158" s="9"/>
    </row>
    <row r="159" spans="1:14" ht="13.95" customHeight="1">
      <c r="A159" s="1"/>
      <c r="B159" s="1"/>
      <c r="C159" s="33"/>
      <c r="D159" s="1"/>
      <c r="E159" s="3"/>
      <c r="F159" s="3"/>
      <c r="G159" s="5"/>
      <c r="I159" s="3"/>
      <c r="J159" s="3"/>
      <c r="K159" s="3"/>
      <c r="L159" s="103"/>
      <c r="M159" s="108"/>
      <c r="N159" s="9"/>
    </row>
    <row r="160" spans="1:14" ht="13.95" customHeight="1">
      <c r="A160" s="1">
        <v>25</v>
      </c>
      <c r="B160" s="1"/>
      <c r="C160" s="33" t="s">
        <v>62</v>
      </c>
      <c r="D160" s="1" t="s">
        <v>51</v>
      </c>
      <c r="E160" s="3">
        <f>SUM(I160:N160)</f>
        <v>0</v>
      </c>
      <c r="F160" s="3">
        <v>3350</v>
      </c>
      <c r="G160" s="5">
        <f t="shared" ref="G160" si="34">+E160*F160</f>
        <v>0</v>
      </c>
      <c r="I160" s="3"/>
      <c r="J160" s="3"/>
      <c r="K160" s="3"/>
      <c r="L160" s="103"/>
      <c r="M160" s="108"/>
      <c r="N160" s="9"/>
    </row>
    <row r="161" spans="1:14" ht="13.95" customHeight="1">
      <c r="A161" s="1"/>
      <c r="B161" s="1"/>
      <c r="C161" s="33"/>
      <c r="D161" s="1"/>
      <c r="E161" s="3"/>
      <c r="F161" s="3"/>
      <c r="G161" s="5"/>
      <c r="I161" s="3"/>
      <c r="J161" s="3"/>
      <c r="K161" s="3"/>
      <c r="L161" s="103"/>
      <c r="M161" s="108"/>
      <c r="N161" s="9"/>
    </row>
    <row r="162" spans="1:14" ht="13.95" customHeight="1">
      <c r="A162" s="1">
        <v>26</v>
      </c>
      <c r="B162" s="1"/>
      <c r="C162" s="33" t="s">
        <v>27</v>
      </c>
      <c r="D162" s="1" t="s">
        <v>51</v>
      </c>
      <c r="E162" s="3">
        <f>SUM(I162:N162)</f>
        <v>35</v>
      </c>
      <c r="F162" s="3">
        <v>3200</v>
      </c>
      <c r="G162" s="5">
        <f t="shared" ref="G162" si="35">+E162*F162</f>
        <v>112000</v>
      </c>
      <c r="I162" s="3"/>
      <c r="J162" s="3">
        <v>35</v>
      </c>
      <c r="K162" s="3"/>
      <c r="L162" s="103"/>
      <c r="M162" s="108"/>
      <c r="N162" s="9"/>
    </row>
    <row r="163" spans="1:14" ht="13.95" customHeight="1">
      <c r="A163" s="1"/>
      <c r="B163" s="1"/>
      <c r="C163" s="33"/>
      <c r="D163" s="1"/>
      <c r="E163" s="3"/>
      <c r="F163" s="3"/>
      <c r="G163" s="5"/>
      <c r="I163" s="3"/>
      <c r="J163" s="3"/>
      <c r="K163" s="3"/>
      <c r="L163" s="103"/>
      <c r="M163" s="108"/>
      <c r="N163" s="9"/>
    </row>
    <row r="164" spans="1:14" ht="13.95" customHeight="1">
      <c r="A164" s="1">
        <f>A162+1</f>
        <v>27</v>
      </c>
      <c r="B164" s="1"/>
      <c r="C164" s="33" t="s">
        <v>250</v>
      </c>
      <c r="D164" s="1" t="s">
        <v>51</v>
      </c>
      <c r="E164" s="3">
        <f>SUM(I164:N164)</f>
        <v>0</v>
      </c>
      <c r="F164" s="3">
        <v>3650</v>
      </c>
      <c r="G164" s="5">
        <f t="shared" ref="G164" si="36">+E164*F164</f>
        <v>0</v>
      </c>
      <c r="I164" s="3"/>
      <c r="J164" s="3"/>
      <c r="K164" s="3"/>
      <c r="L164" s="103"/>
      <c r="M164" s="108"/>
      <c r="N164" s="9"/>
    </row>
    <row r="165" spans="1:14" ht="13.95" customHeight="1">
      <c r="A165" s="1"/>
      <c r="B165" s="1"/>
      <c r="C165" s="33"/>
      <c r="D165" s="1"/>
      <c r="E165" s="3"/>
      <c r="F165" s="4"/>
      <c r="G165" s="5"/>
      <c r="I165" s="3"/>
      <c r="J165" s="3"/>
      <c r="K165" s="3"/>
      <c r="L165" s="103"/>
      <c r="M165" s="108"/>
      <c r="N165" s="9"/>
    </row>
    <row r="166" spans="1:14" ht="13.95" customHeight="1">
      <c r="A166" s="1"/>
      <c r="B166" s="1" t="s">
        <v>96</v>
      </c>
      <c r="C166" s="32" t="s">
        <v>159</v>
      </c>
      <c r="D166" s="1"/>
      <c r="E166" s="3"/>
      <c r="F166" s="4"/>
      <c r="G166" s="5"/>
      <c r="I166" s="9"/>
      <c r="J166" s="9"/>
      <c r="K166" s="9"/>
      <c r="L166" s="103"/>
      <c r="M166" s="108"/>
      <c r="N166" s="9"/>
    </row>
    <row r="167" spans="1:14" ht="13.95" customHeight="1">
      <c r="A167" s="1"/>
      <c r="B167" s="1"/>
      <c r="C167" s="33"/>
      <c r="D167" s="1"/>
      <c r="E167" s="3"/>
      <c r="F167" s="4"/>
      <c r="G167" s="5"/>
      <c r="I167" s="9"/>
      <c r="J167" s="9"/>
      <c r="K167" s="9"/>
      <c r="L167" s="103"/>
      <c r="M167" s="108"/>
      <c r="N167" s="9"/>
    </row>
    <row r="168" spans="1:14" ht="13.95" customHeight="1">
      <c r="A168" s="1"/>
      <c r="B168" s="1"/>
      <c r="C168" s="33" t="s">
        <v>160</v>
      </c>
      <c r="D168" s="1"/>
      <c r="E168" s="3"/>
      <c r="F168" s="4"/>
      <c r="G168" s="5"/>
      <c r="I168" s="9"/>
      <c r="J168" s="9"/>
      <c r="K168" s="9"/>
      <c r="L168" s="103"/>
      <c r="M168" s="108"/>
      <c r="N168" s="9"/>
    </row>
    <row r="169" spans="1:14" ht="13.95" customHeight="1">
      <c r="A169" s="1"/>
      <c r="B169" s="1"/>
      <c r="C169" s="33"/>
      <c r="D169" s="1"/>
      <c r="E169" s="3"/>
      <c r="F169" s="4"/>
      <c r="G169" s="5"/>
      <c r="I169" s="9"/>
      <c r="J169" s="9"/>
      <c r="K169" s="9"/>
      <c r="L169" s="103"/>
      <c r="M169" s="108"/>
      <c r="N169" s="9"/>
    </row>
    <row r="170" spans="1:14" ht="13.95" customHeight="1">
      <c r="A170" s="1">
        <f>A164+1</f>
        <v>28</v>
      </c>
      <c r="B170" s="1"/>
      <c r="C170" s="33" t="s">
        <v>28</v>
      </c>
      <c r="D170" s="1" t="s">
        <v>60</v>
      </c>
      <c r="E170" s="3">
        <f>SUM(I170:N170)</f>
        <v>82</v>
      </c>
      <c r="F170" s="3">
        <v>46</v>
      </c>
      <c r="G170" s="5">
        <f t="shared" ref="G170" si="37">+E170*F170</f>
        <v>3772</v>
      </c>
      <c r="I170" s="3">
        <v>82</v>
      </c>
      <c r="J170" s="3"/>
      <c r="K170" s="3"/>
      <c r="L170" s="103"/>
      <c r="M170" s="108"/>
      <c r="N170" s="9"/>
    </row>
    <row r="171" spans="1:14" ht="13.95" customHeight="1">
      <c r="A171" s="1"/>
      <c r="B171" s="1"/>
      <c r="C171" s="33"/>
      <c r="D171" s="1"/>
      <c r="E171" s="3"/>
      <c r="F171" s="3"/>
      <c r="G171" s="5"/>
      <c r="I171" s="3"/>
      <c r="J171" s="3"/>
      <c r="K171" s="3"/>
      <c r="L171" s="103"/>
      <c r="M171" s="108"/>
      <c r="N171" s="9"/>
    </row>
    <row r="172" spans="1:14" ht="13.95" customHeight="1">
      <c r="A172" s="1"/>
      <c r="B172" s="1"/>
      <c r="C172" s="33" t="s">
        <v>196</v>
      </c>
      <c r="D172" s="1"/>
      <c r="E172" s="3"/>
      <c r="F172" s="3"/>
      <c r="G172" s="5"/>
      <c r="I172" s="3"/>
      <c r="J172" s="3"/>
      <c r="K172" s="3"/>
      <c r="L172" s="103"/>
      <c r="M172" s="108"/>
      <c r="N172" s="9"/>
    </row>
    <row r="173" spans="1:14" ht="13.95" customHeight="1">
      <c r="A173" s="1"/>
      <c r="B173" s="1"/>
      <c r="C173" s="33"/>
      <c r="D173" s="1"/>
      <c r="E173" s="3"/>
      <c r="F173" s="3"/>
      <c r="G173" s="5"/>
      <c r="I173" s="3"/>
      <c r="J173" s="3"/>
      <c r="K173" s="3"/>
      <c r="L173" s="103"/>
      <c r="M173" s="108"/>
      <c r="N173" s="9"/>
    </row>
    <row r="174" spans="1:14" ht="13.95" customHeight="1">
      <c r="A174" s="1">
        <f>A170+1</f>
        <v>29</v>
      </c>
      <c r="B174" s="1"/>
      <c r="C174" s="33" t="s">
        <v>29</v>
      </c>
      <c r="D174" s="1" t="s">
        <v>60</v>
      </c>
      <c r="E174" s="3">
        <f>SUM(I174:N174)</f>
        <v>200</v>
      </c>
      <c r="F174" s="3">
        <v>75</v>
      </c>
      <c r="G174" s="5">
        <f t="shared" ref="G174" si="38">+E174*F174</f>
        <v>15000</v>
      </c>
      <c r="I174" s="3"/>
      <c r="J174" s="3">
        <v>200</v>
      </c>
      <c r="K174" s="3"/>
      <c r="L174" s="103"/>
      <c r="M174" s="108"/>
      <c r="N174" s="9"/>
    </row>
    <row r="175" spans="1:14" ht="13.95" customHeight="1">
      <c r="A175" s="1"/>
      <c r="B175" s="1"/>
      <c r="C175" s="33"/>
      <c r="D175" s="1"/>
      <c r="E175" s="3"/>
      <c r="F175" s="4"/>
      <c r="G175" s="5"/>
      <c r="I175" s="3"/>
      <c r="J175" s="3"/>
      <c r="K175" s="3"/>
      <c r="L175" s="103"/>
      <c r="M175" s="108"/>
      <c r="N175" s="9"/>
    </row>
    <row r="176" spans="1:14" ht="13.95" customHeight="1">
      <c r="A176" s="1"/>
      <c r="B176" s="1" t="s">
        <v>97</v>
      </c>
      <c r="C176" s="34" t="s">
        <v>20</v>
      </c>
      <c r="D176" s="1"/>
      <c r="E176" s="3"/>
      <c r="F176" s="4"/>
      <c r="G176" s="5"/>
      <c r="I176" s="3"/>
      <c r="J176" s="3"/>
      <c r="K176" s="3"/>
      <c r="L176" s="103"/>
      <c r="M176" s="108"/>
      <c r="N176" s="9"/>
    </row>
    <row r="177" spans="1:14" ht="13.95" customHeight="1">
      <c r="A177" s="1"/>
      <c r="B177" s="1"/>
      <c r="C177" s="34"/>
      <c r="D177" s="1"/>
      <c r="E177" s="3"/>
      <c r="F177" s="4"/>
      <c r="G177" s="5"/>
      <c r="I177" s="3"/>
      <c r="J177" s="3"/>
      <c r="K177" s="3"/>
      <c r="L177" s="103"/>
      <c r="M177" s="108"/>
      <c r="N177" s="9"/>
    </row>
    <row r="178" spans="1:14" ht="13.95" customHeight="1">
      <c r="A178" s="1"/>
      <c r="B178" s="1"/>
      <c r="C178" s="32" t="s">
        <v>213</v>
      </c>
      <c r="D178" s="1"/>
      <c r="E178" s="3"/>
      <c r="F178" s="4"/>
      <c r="G178" s="5"/>
      <c r="I178" s="3"/>
      <c r="J178" s="3"/>
      <c r="K178" s="3"/>
      <c r="L178" s="103"/>
      <c r="M178" s="108"/>
      <c r="N178" s="9"/>
    </row>
    <row r="179" spans="1:14" ht="13.95" customHeight="1">
      <c r="A179" s="1"/>
      <c r="B179" s="1"/>
      <c r="C179" s="34"/>
      <c r="D179" s="1"/>
      <c r="E179" s="3"/>
      <c r="F179" s="4"/>
      <c r="G179" s="5"/>
      <c r="I179" s="3"/>
      <c r="J179" s="3"/>
      <c r="K179" s="3"/>
      <c r="L179" s="103"/>
      <c r="M179" s="108"/>
      <c r="N179" s="9"/>
    </row>
    <row r="180" spans="1:14" ht="27" customHeight="1">
      <c r="A180" s="1">
        <f>A174+1</f>
        <v>30</v>
      </c>
      <c r="B180" s="1"/>
      <c r="C180" s="33" t="s">
        <v>237</v>
      </c>
      <c r="D180" s="1" t="s">
        <v>1</v>
      </c>
      <c r="E180" s="3">
        <f>SUM(I180:N180)</f>
        <v>0</v>
      </c>
      <c r="F180" s="3">
        <v>375</v>
      </c>
      <c r="G180" s="5">
        <f t="shared" ref="G180" si="39">+E180*F180</f>
        <v>0</v>
      </c>
      <c r="I180" s="3"/>
      <c r="J180" s="3"/>
      <c r="K180" s="3"/>
      <c r="L180" s="103"/>
      <c r="M180" s="108"/>
      <c r="N180" s="9"/>
    </row>
    <row r="181" spans="1:14" ht="13.95" customHeight="1">
      <c r="A181" s="1"/>
      <c r="B181" s="1"/>
      <c r="C181" s="33"/>
      <c r="D181" s="1"/>
      <c r="E181" s="3"/>
      <c r="F181" s="3"/>
      <c r="G181" s="5"/>
      <c r="I181" s="3"/>
      <c r="J181" s="3"/>
      <c r="K181" s="3"/>
      <c r="L181" s="103"/>
      <c r="M181" s="108"/>
      <c r="N181" s="9"/>
    </row>
    <row r="182" spans="1:14" ht="24.6" customHeight="1">
      <c r="A182" s="1">
        <f>A180+1</f>
        <v>31</v>
      </c>
      <c r="B182" s="1"/>
      <c r="C182" s="33" t="s">
        <v>285</v>
      </c>
      <c r="D182" s="1" t="s">
        <v>1</v>
      </c>
      <c r="E182" s="3">
        <f>SUM(I182:N182)</f>
        <v>20</v>
      </c>
      <c r="F182" s="3">
        <v>355</v>
      </c>
      <c r="G182" s="5">
        <f t="shared" ref="G182" si="40">+E182*F182</f>
        <v>7100</v>
      </c>
      <c r="I182" s="3"/>
      <c r="J182" s="3">
        <v>20</v>
      </c>
      <c r="K182" s="3"/>
      <c r="L182" s="104"/>
      <c r="M182" s="108"/>
      <c r="N182" s="9"/>
    </row>
    <row r="183" spans="1:14" ht="13.95" customHeight="1">
      <c r="A183" s="1"/>
      <c r="B183" s="1"/>
      <c r="C183" s="33"/>
      <c r="D183" s="1"/>
      <c r="E183" s="3"/>
      <c r="F183" s="3"/>
      <c r="G183" s="5"/>
      <c r="I183" s="3"/>
      <c r="J183" s="3"/>
      <c r="K183" s="3"/>
      <c r="L183" s="103"/>
      <c r="M183" s="108"/>
      <c r="N183" s="9"/>
    </row>
    <row r="184" spans="1:14" ht="23.4" customHeight="1">
      <c r="A184" s="1">
        <f>A182+1</f>
        <v>32</v>
      </c>
      <c r="B184" s="1"/>
      <c r="C184" s="33" t="s">
        <v>243</v>
      </c>
      <c r="D184" s="1" t="s">
        <v>1</v>
      </c>
      <c r="E184" s="3">
        <f>SUM(I184:N184)</f>
        <v>89</v>
      </c>
      <c r="F184" s="3">
        <v>195</v>
      </c>
      <c r="G184" s="5">
        <f t="shared" ref="G184" si="41">+E184*F184</f>
        <v>17355</v>
      </c>
      <c r="I184" s="3">
        <v>29</v>
      </c>
      <c r="J184" s="3">
        <v>60</v>
      </c>
      <c r="K184" s="3"/>
      <c r="L184" s="103"/>
      <c r="M184" s="108"/>
      <c r="N184" s="9"/>
    </row>
    <row r="185" spans="1:14" ht="13.95" customHeight="1">
      <c r="A185" s="1"/>
      <c r="B185" s="1"/>
      <c r="C185" s="33"/>
      <c r="D185" s="1"/>
      <c r="E185" s="3"/>
      <c r="F185" s="3"/>
      <c r="G185" s="5"/>
      <c r="I185" s="3"/>
      <c r="J185" s="3"/>
      <c r="K185" s="3"/>
      <c r="L185" s="103"/>
      <c r="M185" s="108"/>
      <c r="N185" s="9"/>
    </row>
    <row r="186" spans="1:14" ht="13.95" customHeight="1">
      <c r="A186" s="1"/>
      <c r="B186" s="1"/>
      <c r="C186" s="33" t="s">
        <v>239</v>
      </c>
      <c r="D186" s="1" t="s">
        <v>1</v>
      </c>
      <c r="E186" s="3">
        <f>SUM(I186:N186)</f>
        <v>30</v>
      </c>
      <c r="F186" s="3">
        <v>155</v>
      </c>
      <c r="G186" s="5">
        <f t="shared" ref="G186" si="42">+E186*F186</f>
        <v>4650</v>
      </c>
      <c r="I186" s="3"/>
      <c r="J186" s="3">
        <v>30</v>
      </c>
      <c r="K186" s="3"/>
      <c r="L186" s="103"/>
      <c r="M186" s="108"/>
      <c r="N186" s="9"/>
    </row>
    <row r="187" spans="1:14" ht="13.95" customHeight="1">
      <c r="A187" s="1"/>
      <c r="B187" s="1"/>
      <c r="C187" s="33"/>
      <c r="D187" s="1"/>
      <c r="E187" s="3"/>
      <c r="F187" s="4"/>
      <c r="G187" s="5"/>
      <c r="I187" s="3"/>
      <c r="J187" s="3"/>
      <c r="K187" s="3"/>
      <c r="L187" s="103"/>
      <c r="M187" s="108"/>
      <c r="N187" s="9"/>
    </row>
    <row r="188" spans="1:14" ht="13.95" customHeight="1">
      <c r="A188" s="1"/>
      <c r="B188" s="1"/>
      <c r="C188" s="32" t="s">
        <v>198</v>
      </c>
      <c r="D188" s="1"/>
      <c r="E188" s="3"/>
      <c r="F188" s="4"/>
      <c r="G188" s="5"/>
      <c r="I188" s="3"/>
      <c r="J188" s="3"/>
      <c r="K188" s="3"/>
      <c r="L188" s="103"/>
      <c r="M188" s="108"/>
      <c r="N188" s="9"/>
    </row>
    <row r="189" spans="1:14" ht="13.95" customHeight="1">
      <c r="A189" s="1"/>
      <c r="B189" s="1"/>
      <c r="C189" s="33"/>
      <c r="D189" s="1"/>
      <c r="E189" s="3"/>
      <c r="F189" s="4"/>
      <c r="G189" s="5"/>
      <c r="I189" s="3"/>
      <c r="J189" s="3"/>
      <c r="K189" s="3"/>
      <c r="L189" s="103"/>
      <c r="M189" s="108"/>
      <c r="N189" s="9"/>
    </row>
    <row r="190" spans="1:14" ht="13.95" customHeight="1">
      <c r="A190" s="1">
        <f>A184+1</f>
        <v>33</v>
      </c>
      <c r="B190" s="1"/>
      <c r="C190" s="33" t="s">
        <v>199</v>
      </c>
      <c r="D190" s="1" t="s">
        <v>1</v>
      </c>
      <c r="E190" s="3">
        <f>SUM(I190:N190)</f>
        <v>0</v>
      </c>
      <c r="F190" s="3">
        <f>F180</f>
        <v>375</v>
      </c>
      <c r="G190" s="5">
        <f t="shared" ref="G190" si="43">+E190*F190</f>
        <v>0</v>
      </c>
      <c r="I190" s="3"/>
      <c r="J190" s="3"/>
      <c r="K190" s="3"/>
      <c r="L190" s="103"/>
      <c r="M190" s="108"/>
      <c r="N190" s="9"/>
    </row>
    <row r="191" spans="1:14" ht="13.95" customHeight="1">
      <c r="A191" s="1"/>
      <c r="B191" s="1"/>
      <c r="C191" s="33"/>
      <c r="D191" s="1"/>
      <c r="E191" s="3"/>
      <c r="F191" s="3"/>
      <c r="G191" s="5"/>
      <c r="I191" s="3"/>
      <c r="J191" s="3"/>
      <c r="K191" s="3"/>
      <c r="L191" s="103"/>
      <c r="M191" s="108"/>
      <c r="N191" s="9"/>
    </row>
    <row r="192" spans="1:14" ht="13.95" customHeight="1">
      <c r="A192" s="1">
        <f>A190+1</f>
        <v>34</v>
      </c>
      <c r="B192" s="1"/>
      <c r="C192" s="33" t="s">
        <v>200</v>
      </c>
      <c r="D192" s="1" t="s">
        <v>1</v>
      </c>
      <c r="E192" s="3">
        <f>SUM(I192:N192)</f>
        <v>0</v>
      </c>
      <c r="F192" s="3">
        <v>395</v>
      </c>
      <c r="G192" s="5">
        <f t="shared" ref="G192" si="44">+E192*F192</f>
        <v>0</v>
      </c>
      <c r="I192" s="3"/>
      <c r="J192" s="3"/>
      <c r="K192" s="3"/>
      <c r="L192" s="103"/>
      <c r="M192" s="108"/>
      <c r="N192" s="9"/>
    </row>
    <row r="193" spans="1:14" ht="13.95" customHeight="1">
      <c r="A193" s="1"/>
      <c r="B193" s="1"/>
      <c r="C193" s="33"/>
      <c r="D193" s="1"/>
      <c r="E193" s="3"/>
      <c r="F193" s="3"/>
      <c r="G193" s="5"/>
      <c r="I193" s="3"/>
      <c r="J193" s="3"/>
      <c r="K193" s="3"/>
      <c r="L193" s="103"/>
      <c r="M193" s="108"/>
      <c r="N193" s="9"/>
    </row>
    <row r="194" spans="1:14" ht="13.95" customHeight="1">
      <c r="A194" s="1">
        <f>A192+1</f>
        <v>35</v>
      </c>
      <c r="B194" s="1"/>
      <c r="C194" s="33" t="s">
        <v>214</v>
      </c>
      <c r="D194" s="1" t="s">
        <v>1</v>
      </c>
      <c r="E194" s="3">
        <f>SUM(I194:N194)</f>
        <v>0</v>
      </c>
      <c r="F194" s="3">
        <v>395</v>
      </c>
      <c r="G194" s="5">
        <f t="shared" ref="G194" si="45">+E194*F194</f>
        <v>0</v>
      </c>
      <c r="I194" s="3"/>
      <c r="J194" s="3"/>
      <c r="K194" s="3"/>
      <c r="L194" s="103"/>
      <c r="M194" s="108"/>
      <c r="N194" s="9"/>
    </row>
    <row r="195" spans="1:14" ht="13.95" customHeight="1">
      <c r="A195" s="1"/>
      <c r="B195" s="1"/>
      <c r="C195" s="33"/>
      <c r="D195" s="1"/>
      <c r="E195" s="3"/>
      <c r="F195" s="3"/>
      <c r="G195" s="5"/>
      <c r="I195" s="3"/>
      <c r="J195" s="3"/>
      <c r="K195" s="3"/>
      <c r="L195" s="103"/>
      <c r="M195" s="108"/>
      <c r="N195" s="9"/>
    </row>
    <row r="196" spans="1:14" ht="13.95" customHeight="1">
      <c r="A196" s="1"/>
      <c r="B196" s="1"/>
      <c r="C196" s="33"/>
      <c r="D196" s="1"/>
      <c r="E196" s="3"/>
      <c r="F196" s="4"/>
      <c r="G196" s="5"/>
      <c r="I196" s="3"/>
      <c r="J196" s="3"/>
      <c r="K196" s="3"/>
      <c r="L196" s="103"/>
      <c r="M196" s="108"/>
      <c r="N196" s="9"/>
    </row>
    <row r="197" spans="1:14" ht="13.95" customHeight="1">
      <c r="A197" s="1"/>
      <c r="B197" s="1"/>
      <c r="C197" s="33"/>
      <c r="D197" s="1"/>
      <c r="E197" s="3"/>
      <c r="F197" s="4"/>
      <c r="G197" s="5"/>
      <c r="I197" s="3"/>
      <c r="J197" s="3"/>
      <c r="K197" s="3"/>
      <c r="L197" s="103"/>
      <c r="M197" s="108"/>
      <c r="N197" s="9"/>
    </row>
    <row r="198" spans="1:14" ht="20.100000000000001" customHeight="1">
      <c r="A198" s="149" t="s">
        <v>66</v>
      </c>
      <c r="B198" s="150"/>
      <c r="C198" s="150"/>
      <c r="D198" s="150"/>
      <c r="E198" s="150"/>
      <c r="F198" s="151"/>
      <c r="G198" s="116">
        <f>SUM(G152:G197)</f>
        <v>613201</v>
      </c>
      <c r="I198" s="9"/>
      <c r="J198" s="9"/>
      <c r="K198" s="9"/>
      <c r="L198" s="103"/>
      <c r="M198" s="108"/>
      <c r="N198" s="9"/>
    </row>
    <row r="199" spans="1:14" ht="13.95" customHeight="1">
      <c r="A199" s="39"/>
      <c r="B199" s="39"/>
      <c r="C199" s="39"/>
      <c r="D199" s="39"/>
      <c r="E199" s="39"/>
      <c r="F199" s="39"/>
      <c r="G199" s="113"/>
      <c r="I199" s="9"/>
      <c r="J199" s="9"/>
      <c r="K199" s="9"/>
      <c r="L199" s="103"/>
      <c r="M199" s="108"/>
      <c r="N199" s="9"/>
    </row>
    <row r="200" spans="1:14" ht="13.95" customHeight="1">
      <c r="A200" s="39"/>
      <c r="B200" s="39"/>
      <c r="C200" s="39"/>
      <c r="D200" s="39"/>
      <c r="E200" s="39"/>
      <c r="F200" s="39"/>
      <c r="G200" s="113"/>
      <c r="I200" s="9"/>
      <c r="J200" s="9"/>
      <c r="K200" s="9"/>
      <c r="L200" s="103"/>
      <c r="M200" s="108"/>
      <c r="N200" s="9"/>
    </row>
    <row r="201" spans="1:14" ht="22.2" customHeight="1">
      <c r="A201" s="44" t="s">
        <v>8</v>
      </c>
      <c r="B201" s="48" t="s">
        <v>9</v>
      </c>
      <c r="C201" s="44" t="s">
        <v>10</v>
      </c>
      <c r="D201" s="48" t="s">
        <v>11</v>
      </c>
      <c r="E201" s="48" t="s">
        <v>59</v>
      </c>
      <c r="F201" s="49" t="s">
        <v>12</v>
      </c>
      <c r="G201" s="111" t="s">
        <v>13</v>
      </c>
      <c r="I201" s="9"/>
      <c r="J201" s="9"/>
      <c r="K201" s="9"/>
      <c r="L201" s="103"/>
      <c r="M201" s="108"/>
      <c r="N201" s="9"/>
    </row>
    <row r="202" spans="1:14" ht="20.100000000000001" customHeight="1">
      <c r="A202" s="149" t="s">
        <v>67</v>
      </c>
      <c r="B202" s="150"/>
      <c r="C202" s="150"/>
      <c r="D202" s="150"/>
      <c r="E202" s="150"/>
      <c r="F202" s="151"/>
      <c r="G202" s="116">
        <f>+G198</f>
        <v>613201</v>
      </c>
      <c r="I202" s="9"/>
      <c r="J202" s="9"/>
      <c r="K202" s="9"/>
      <c r="L202" s="103"/>
      <c r="M202" s="108"/>
      <c r="N202" s="9"/>
    </row>
    <row r="203" spans="1:14" ht="13.95" customHeight="1">
      <c r="A203" s="1"/>
      <c r="B203" s="1"/>
      <c r="C203" s="33"/>
      <c r="D203" s="1"/>
      <c r="E203" s="3"/>
      <c r="F203" s="4"/>
      <c r="G203" s="5"/>
      <c r="I203" s="3"/>
      <c r="J203" s="3"/>
      <c r="K203" s="3"/>
      <c r="L203" s="103"/>
      <c r="M203" s="108"/>
      <c r="N203" s="9"/>
    </row>
    <row r="204" spans="1:14" ht="13.95" customHeight="1">
      <c r="A204" s="9"/>
      <c r="B204" s="1" t="s">
        <v>98</v>
      </c>
      <c r="C204" s="34" t="s">
        <v>30</v>
      </c>
      <c r="D204" s="1"/>
      <c r="E204" s="3"/>
      <c r="F204" s="4"/>
      <c r="G204" s="5"/>
      <c r="I204" s="3"/>
      <c r="J204" s="3"/>
      <c r="K204" s="3"/>
      <c r="L204" s="103"/>
      <c r="M204" s="108"/>
      <c r="N204" s="9"/>
    </row>
    <row r="205" spans="1:14" ht="13.95" customHeight="1">
      <c r="A205" s="9"/>
      <c r="B205" s="1"/>
      <c r="C205" s="33"/>
      <c r="D205" s="1"/>
      <c r="E205" s="3"/>
      <c r="F205" s="4"/>
      <c r="G205" s="5"/>
      <c r="I205" s="3"/>
      <c r="J205" s="3"/>
      <c r="K205" s="3"/>
      <c r="L205" s="103"/>
      <c r="M205" s="108"/>
      <c r="N205" s="9"/>
    </row>
    <row r="206" spans="1:14" ht="13.95" customHeight="1">
      <c r="A206" s="9"/>
      <c r="B206" s="1"/>
      <c r="C206" s="33" t="s">
        <v>31</v>
      </c>
      <c r="D206" s="1"/>
      <c r="E206" s="3"/>
      <c r="F206" s="4"/>
      <c r="G206" s="5"/>
      <c r="I206" s="3"/>
      <c r="J206" s="3"/>
      <c r="K206" s="3"/>
      <c r="L206" s="103"/>
      <c r="M206" s="108"/>
      <c r="N206" s="9"/>
    </row>
    <row r="207" spans="1:14" ht="13.95" customHeight="1">
      <c r="A207" s="9"/>
      <c r="B207" s="1"/>
      <c r="C207" s="33"/>
      <c r="D207" s="1"/>
      <c r="E207" s="3"/>
      <c r="F207" s="4"/>
      <c r="G207" s="5"/>
      <c r="I207" s="3"/>
      <c r="J207" s="3"/>
      <c r="K207" s="3"/>
      <c r="L207" s="103"/>
      <c r="M207" s="108"/>
      <c r="N207" s="9"/>
    </row>
    <row r="208" spans="1:14" ht="13.95" customHeight="1">
      <c r="A208" s="9">
        <f>A194+1</f>
        <v>36</v>
      </c>
      <c r="B208" s="1"/>
      <c r="C208" s="33" t="s">
        <v>32</v>
      </c>
      <c r="D208" s="1" t="s">
        <v>51</v>
      </c>
      <c r="E208" s="3">
        <f>SUM(I208:N208)</f>
        <v>0.32</v>
      </c>
      <c r="F208" s="3">
        <v>35000</v>
      </c>
      <c r="G208" s="5">
        <f t="shared" ref="G208" si="46">+E208*F208</f>
        <v>11200</v>
      </c>
      <c r="I208" s="4">
        <v>0.32</v>
      </c>
      <c r="J208" s="4"/>
      <c r="K208" s="4"/>
      <c r="L208" s="103"/>
      <c r="M208" s="108"/>
      <c r="N208" s="9"/>
    </row>
    <row r="209" spans="1:14" ht="13.95" customHeight="1">
      <c r="A209" s="9"/>
      <c r="B209" s="1"/>
      <c r="C209" s="33"/>
      <c r="D209" s="1"/>
      <c r="E209" s="4"/>
      <c r="F209" s="3"/>
      <c r="G209" s="5"/>
      <c r="I209" s="4"/>
      <c r="J209" s="4"/>
      <c r="K209" s="4"/>
      <c r="L209" s="103"/>
      <c r="M209" s="108"/>
      <c r="N209" s="9"/>
    </row>
    <row r="210" spans="1:14" ht="13.95" customHeight="1">
      <c r="A210" s="9"/>
      <c r="B210" s="1"/>
      <c r="C210" s="37" t="s">
        <v>40</v>
      </c>
      <c r="D210" s="1"/>
      <c r="E210" s="4"/>
      <c r="F210" s="3"/>
      <c r="G210" s="5"/>
      <c r="I210" s="4"/>
      <c r="J210" s="4"/>
      <c r="K210" s="4"/>
      <c r="L210" s="103"/>
      <c r="M210" s="108"/>
      <c r="N210" s="9"/>
    </row>
    <row r="211" spans="1:14" ht="13.95" customHeight="1">
      <c r="A211" s="9"/>
      <c r="B211" s="1"/>
      <c r="C211" s="33"/>
      <c r="D211" s="1"/>
      <c r="E211" s="4"/>
      <c r="F211" s="3"/>
      <c r="G211" s="5"/>
      <c r="I211" s="4"/>
      <c r="J211" s="4"/>
      <c r="K211" s="4"/>
      <c r="L211" s="103"/>
      <c r="M211" s="108"/>
      <c r="N211" s="9"/>
    </row>
    <row r="212" spans="1:14" ht="13.95" customHeight="1">
      <c r="A212" s="9">
        <f>A208+1</f>
        <v>37</v>
      </c>
      <c r="B212" s="1"/>
      <c r="C212" s="33" t="s">
        <v>32</v>
      </c>
      <c r="D212" s="1" t="s">
        <v>51</v>
      </c>
      <c r="E212" s="3">
        <f>SUM(I212:N212)</f>
        <v>0.22</v>
      </c>
      <c r="F212" s="3">
        <f>F208</f>
        <v>35000</v>
      </c>
      <c r="G212" s="5">
        <f t="shared" ref="G212" si="47">+E212*F212</f>
        <v>7700</v>
      </c>
      <c r="I212" s="4">
        <v>0.22</v>
      </c>
      <c r="J212" s="4"/>
      <c r="K212" s="4"/>
      <c r="L212" s="103"/>
      <c r="M212" s="108"/>
      <c r="N212" s="9"/>
    </row>
    <row r="213" spans="1:14" ht="13.95" customHeight="1">
      <c r="A213" s="1"/>
      <c r="B213" s="1"/>
      <c r="C213" s="33"/>
      <c r="D213" s="1"/>
      <c r="E213" s="3"/>
      <c r="F213" s="4"/>
      <c r="G213" s="5"/>
      <c r="I213" s="3"/>
      <c r="J213" s="3"/>
      <c r="K213" s="3"/>
      <c r="L213" s="103"/>
      <c r="M213" s="108"/>
      <c r="N213" s="9"/>
    </row>
    <row r="214" spans="1:14" ht="24.6" customHeight="1">
      <c r="A214" s="9"/>
      <c r="B214" s="1" t="s">
        <v>99</v>
      </c>
      <c r="C214" s="34" t="s">
        <v>63</v>
      </c>
      <c r="D214" s="1"/>
      <c r="E214" s="3"/>
      <c r="F214" s="4"/>
      <c r="G214" s="5"/>
      <c r="I214" s="9"/>
      <c r="J214" s="9"/>
      <c r="K214" s="9"/>
      <c r="L214" s="103"/>
      <c r="M214" s="108"/>
      <c r="N214" s="9"/>
    </row>
    <row r="215" spans="1:14" ht="13.95" customHeight="1">
      <c r="A215" s="9"/>
      <c r="B215" s="1"/>
      <c r="C215" s="34"/>
      <c r="D215" s="1"/>
      <c r="E215" s="3"/>
      <c r="F215" s="4"/>
      <c r="G215" s="5"/>
      <c r="I215" s="9"/>
      <c r="J215" s="9"/>
      <c r="K215" s="9"/>
      <c r="L215" s="103"/>
      <c r="M215" s="108"/>
      <c r="N215" s="9"/>
    </row>
    <row r="216" spans="1:14" ht="22.95" customHeight="1">
      <c r="A216" s="9"/>
      <c r="B216" s="1"/>
      <c r="C216" s="34" t="s">
        <v>58</v>
      </c>
      <c r="D216" s="1"/>
      <c r="E216" s="3"/>
      <c r="F216" s="4"/>
      <c r="G216" s="5"/>
      <c r="I216" s="9"/>
      <c r="J216" s="9"/>
      <c r="K216" s="9"/>
      <c r="L216" s="103"/>
      <c r="M216" s="108"/>
      <c r="N216" s="9"/>
    </row>
    <row r="217" spans="1:14" ht="13.95" customHeight="1">
      <c r="A217" s="9"/>
      <c r="B217" s="1"/>
      <c r="C217" s="33"/>
      <c r="D217" s="1"/>
      <c r="E217" s="3"/>
      <c r="F217" s="4"/>
      <c r="G217" s="5"/>
      <c r="I217" s="9"/>
      <c r="J217" s="9"/>
      <c r="K217" s="9"/>
      <c r="L217" s="103"/>
      <c r="M217" s="108"/>
      <c r="N217" s="9"/>
    </row>
    <row r="218" spans="1:14" ht="46.2" customHeight="1">
      <c r="A218" s="9">
        <f>A212+1</f>
        <v>38</v>
      </c>
      <c r="B218" s="1"/>
      <c r="C218" s="33" t="s">
        <v>240</v>
      </c>
      <c r="D218" s="1" t="s">
        <v>6</v>
      </c>
      <c r="E218" s="3">
        <f>SUM(I218:N218)</f>
        <v>48</v>
      </c>
      <c r="F218" s="3">
        <v>275</v>
      </c>
      <c r="G218" s="5">
        <f t="shared" ref="G218" si="48">+E218*F218</f>
        <v>13200</v>
      </c>
      <c r="I218" s="9">
        <v>48</v>
      </c>
      <c r="J218" s="9"/>
      <c r="K218" s="9"/>
      <c r="L218" s="103"/>
      <c r="M218" s="108"/>
      <c r="N218" s="9"/>
    </row>
    <row r="219" spans="1:14" ht="13.95" customHeight="1">
      <c r="A219" s="9"/>
      <c r="B219" s="1"/>
      <c r="C219" s="33"/>
      <c r="D219" s="1"/>
      <c r="E219" s="3"/>
      <c r="F219" s="3"/>
      <c r="G219" s="5"/>
      <c r="I219" s="9"/>
      <c r="J219" s="9"/>
      <c r="K219" s="9"/>
      <c r="L219" s="103"/>
      <c r="M219" s="108"/>
      <c r="N219" s="9"/>
    </row>
    <row r="220" spans="1:14" ht="48" customHeight="1">
      <c r="A220" s="9">
        <f>A218+1</f>
        <v>39</v>
      </c>
      <c r="B220" s="1"/>
      <c r="C220" s="33" t="s">
        <v>227</v>
      </c>
      <c r="D220" s="1" t="s">
        <v>6</v>
      </c>
      <c r="E220" s="3">
        <f>SUM(I220:N220)</f>
        <v>0</v>
      </c>
      <c r="F220" s="3">
        <v>975</v>
      </c>
      <c r="G220" s="5">
        <f t="shared" ref="G220" si="49">+E220*F220</f>
        <v>0</v>
      </c>
      <c r="I220" s="45"/>
      <c r="J220" s="45"/>
      <c r="K220" s="45"/>
      <c r="L220" s="103"/>
      <c r="M220" s="108"/>
      <c r="N220" s="9"/>
    </row>
    <row r="221" spans="1:14" ht="12.6" customHeight="1">
      <c r="A221" s="9"/>
      <c r="B221" s="1"/>
      <c r="C221" s="33"/>
      <c r="D221" s="1"/>
      <c r="E221" s="3"/>
      <c r="F221" s="4"/>
      <c r="G221" s="5"/>
      <c r="I221" s="9"/>
      <c r="J221" s="9"/>
      <c r="K221" s="9"/>
      <c r="L221" s="103"/>
      <c r="M221" s="108"/>
      <c r="N221" s="9"/>
    </row>
    <row r="222" spans="1:14" ht="13.95" customHeight="1">
      <c r="A222" s="1"/>
      <c r="B222" s="1" t="s">
        <v>103</v>
      </c>
      <c r="C222" s="34" t="s">
        <v>7</v>
      </c>
      <c r="D222" s="1"/>
      <c r="E222" s="3"/>
      <c r="F222" s="4"/>
      <c r="G222" s="5"/>
      <c r="I222" s="9"/>
      <c r="J222" s="9"/>
      <c r="K222" s="9"/>
      <c r="L222" s="103"/>
      <c r="M222" s="108"/>
      <c r="N222" s="9"/>
    </row>
    <row r="223" spans="1:14" ht="13.95" customHeight="1">
      <c r="A223" s="1"/>
      <c r="B223" s="1"/>
      <c r="C223" s="33"/>
      <c r="D223" s="1"/>
      <c r="E223" s="3"/>
      <c r="F223" s="4"/>
      <c r="G223" s="5"/>
      <c r="I223" s="9"/>
      <c r="J223" s="9"/>
      <c r="K223" s="9"/>
      <c r="L223" s="103"/>
      <c r="M223" s="108"/>
      <c r="N223" s="9"/>
    </row>
    <row r="224" spans="1:14" ht="13.95" customHeight="1">
      <c r="A224" s="1"/>
      <c r="B224" s="1"/>
      <c r="C224" s="33" t="s">
        <v>68</v>
      </c>
      <c r="D224" s="1"/>
      <c r="E224" s="3"/>
      <c r="F224" s="4"/>
      <c r="G224" s="5"/>
      <c r="I224" s="9"/>
      <c r="J224" s="9"/>
      <c r="K224" s="9"/>
      <c r="L224" s="103"/>
      <c r="M224" s="108"/>
      <c r="N224" s="9"/>
    </row>
    <row r="225" spans="1:14" ht="13.95" customHeight="1">
      <c r="A225" s="1"/>
      <c r="B225" s="1"/>
      <c r="C225" s="33"/>
      <c r="D225" s="1"/>
      <c r="E225" s="3"/>
      <c r="F225" s="4"/>
      <c r="G225" s="5"/>
      <c r="I225" s="9"/>
      <c r="J225" s="9"/>
      <c r="K225" s="9"/>
      <c r="L225" s="103"/>
      <c r="M225" s="108"/>
      <c r="N225" s="9"/>
    </row>
    <row r="226" spans="1:14" ht="22.95" customHeight="1">
      <c r="A226" s="1">
        <f>A220+1</f>
        <v>40</v>
      </c>
      <c r="B226" s="1"/>
      <c r="C226" s="33" t="s">
        <v>197</v>
      </c>
      <c r="D226" s="1" t="s">
        <v>60</v>
      </c>
      <c r="E226" s="3">
        <f>SUM(I226:N226)</f>
        <v>200</v>
      </c>
      <c r="F226" s="13">
        <v>165</v>
      </c>
      <c r="G226" s="5">
        <f t="shared" ref="G226" si="50">+E226*F226</f>
        <v>33000</v>
      </c>
      <c r="I226" s="9"/>
      <c r="J226" s="9">
        <v>200</v>
      </c>
      <c r="K226" s="9"/>
      <c r="L226" s="103"/>
      <c r="M226" s="108"/>
      <c r="N226" s="9"/>
    </row>
    <row r="227" spans="1:14" ht="13.95" customHeight="1">
      <c r="A227" s="1"/>
      <c r="B227" s="1"/>
      <c r="C227" s="33"/>
      <c r="D227" s="35"/>
      <c r="E227" s="3"/>
      <c r="F227" s="4"/>
      <c r="G227" s="5"/>
      <c r="I227" s="9"/>
      <c r="J227" s="9"/>
      <c r="K227" s="9"/>
      <c r="L227" s="103"/>
      <c r="M227" s="108"/>
      <c r="N227" s="9"/>
    </row>
    <row r="228" spans="1:14" ht="13.95" customHeight="1">
      <c r="A228" s="1"/>
      <c r="B228" s="1"/>
      <c r="C228" s="46" t="s">
        <v>231</v>
      </c>
      <c r="D228" s="1"/>
      <c r="E228" s="3"/>
      <c r="F228" s="4"/>
      <c r="G228" s="5"/>
      <c r="I228" s="9"/>
      <c r="J228" s="9"/>
      <c r="K228" s="9"/>
      <c r="L228" s="103"/>
      <c r="M228" s="108"/>
      <c r="N228" s="9"/>
    </row>
    <row r="229" spans="1:14" ht="13.95" customHeight="1">
      <c r="A229" s="1"/>
      <c r="B229" s="1"/>
      <c r="C229" s="47"/>
      <c r="D229" s="35"/>
      <c r="E229" s="3"/>
      <c r="F229" s="4"/>
      <c r="G229" s="5"/>
      <c r="I229" s="9"/>
      <c r="J229" s="9"/>
      <c r="K229" s="9"/>
      <c r="L229" s="103"/>
      <c r="M229" s="108"/>
      <c r="N229" s="9"/>
    </row>
    <row r="230" spans="1:14" ht="48.6" customHeight="1">
      <c r="A230" s="1">
        <f>A226+1</f>
        <v>41</v>
      </c>
      <c r="B230" s="1"/>
      <c r="C230" s="55" t="s">
        <v>75</v>
      </c>
      <c r="D230" s="1" t="s">
        <v>51</v>
      </c>
      <c r="E230" s="3">
        <f>SUM(I230:N230)</f>
        <v>0</v>
      </c>
      <c r="F230" s="3">
        <v>1185</v>
      </c>
      <c r="G230" s="5">
        <f t="shared" ref="G230" si="51">+E230*F230</f>
        <v>0</v>
      </c>
      <c r="I230" s="9"/>
      <c r="J230" s="9"/>
      <c r="K230" s="9"/>
      <c r="L230" s="103"/>
      <c r="M230" s="108"/>
      <c r="N230" s="9"/>
    </row>
    <row r="231" spans="1:14">
      <c r="A231" s="1"/>
      <c r="B231" s="1"/>
      <c r="C231" s="55"/>
      <c r="D231" s="35"/>
      <c r="E231" s="3"/>
      <c r="F231" s="3"/>
      <c r="G231" s="5"/>
      <c r="I231" s="9"/>
      <c r="J231" s="9"/>
      <c r="K231" s="9"/>
      <c r="L231" s="103"/>
      <c r="M231" s="108"/>
      <c r="N231" s="9"/>
    </row>
    <row r="232" spans="1:14">
      <c r="A232" s="1"/>
      <c r="B232" s="1"/>
      <c r="C232" s="55"/>
      <c r="D232" s="35"/>
      <c r="E232" s="3"/>
      <c r="F232" s="3"/>
      <c r="G232" s="5"/>
      <c r="I232" s="9"/>
      <c r="J232" s="9"/>
      <c r="K232" s="9"/>
      <c r="L232" s="103"/>
      <c r="M232" s="108"/>
      <c r="N232" s="9"/>
    </row>
    <row r="233" spans="1:14">
      <c r="A233" s="1"/>
      <c r="B233" s="1"/>
      <c r="C233" s="55"/>
      <c r="D233" s="35"/>
      <c r="E233" s="3"/>
      <c r="F233" s="3"/>
      <c r="G233" s="5"/>
      <c r="I233" s="9"/>
      <c r="J233" s="9"/>
      <c r="K233" s="9"/>
      <c r="L233" s="103"/>
      <c r="M233" s="108"/>
      <c r="N233" s="9"/>
    </row>
    <row r="234" spans="1:14">
      <c r="A234" s="1"/>
      <c r="B234" s="1"/>
      <c r="C234" s="55"/>
      <c r="D234" s="35"/>
      <c r="E234" s="3"/>
      <c r="F234" s="3"/>
      <c r="G234" s="5"/>
      <c r="I234" s="9"/>
      <c r="J234" s="9"/>
      <c r="K234" s="9"/>
      <c r="L234" s="103"/>
      <c r="M234" s="108"/>
      <c r="N234" s="9"/>
    </row>
    <row r="235" spans="1:14">
      <c r="A235" s="1"/>
      <c r="B235" s="1"/>
      <c r="C235" s="55"/>
      <c r="D235" s="35"/>
      <c r="E235" s="3"/>
      <c r="F235" s="3"/>
      <c r="G235" s="5"/>
      <c r="I235" s="9"/>
      <c r="J235" s="9"/>
      <c r="K235" s="9"/>
      <c r="L235" s="103"/>
      <c r="M235" s="108"/>
      <c r="N235" s="9"/>
    </row>
    <row r="236" spans="1:14">
      <c r="A236" s="1"/>
      <c r="B236" s="1"/>
      <c r="C236" s="55"/>
      <c r="D236" s="35"/>
      <c r="E236" s="3"/>
      <c r="F236" s="3"/>
      <c r="G236" s="5"/>
      <c r="I236" s="9"/>
      <c r="J236" s="9"/>
      <c r="K236" s="9"/>
      <c r="L236" s="103"/>
      <c r="M236" s="108"/>
      <c r="N236" s="9"/>
    </row>
    <row r="237" spans="1:14" ht="13.95" customHeight="1">
      <c r="A237" s="1"/>
      <c r="B237" s="1"/>
      <c r="C237" s="55"/>
      <c r="D237" s="35"/>
      <c r="E237" s="3"/>
      <c r="F237" s="4"/>
      <c r="G237" s="5"/>
      <c r="I237" s="9"/>
      <c r="J237" s="9"/>
      <c r="K237" s="9"/>
      <c r="L237" s="103"/>
      <c r="M237" s="108"/>
      <c r="N237" s="9"/>
    </row>
    <row r="238" spans="1:14" ht="13.95" customHeight="1">
      <c r="A238" s="1"/>
      <c r="B238" s="1"/>
      <c r="C238" s="55"/>
      <c r="D238" s="35"/>
      <c r="E238" s="3"/>
      <c r="F238" s="4"/>
      <c r="G238" s="5"/>
      <c r="I238" s="9"/>
      <c r="J238" s="9"/>
      <c r="K238" s="9"/>
      <c r="L238" s="103"/>
      <c r="M238" s="108"/>
      <c r="N238" s="9"/>
    </row>
    <row r="239" spans="1:14" ht="13.95" customHeight="1">
      <c r="A239" s="1"/>
      <c r="B239" s="1"/>
      <c r="C239" s="55"/>
      <c r="D239" s="35"/>
      <c r="E239" s="3"/>
      <c r="F239" s="4"/>
      <c r="G239" s="5"/>
      <c r="I239" s="9"/>
      <c r="J239" s="9"/>
      <c r="K239" s="9"/>
      <c r="L239" s="103"/>
      <c r="M239" s="108"/>
      <c r="N239" s="9"/>
    </row>
    <row r="240" spans="1:14" ht="13.95" customHeight="1">
      <c r="A240" s="1"/>
      <c r="B240" s="1"/>
      <c r="C240" s="55"/>
      <c r="D240" s="35"/>
      <c r="E240" s="3"/>
      <c r="F240" s="4"/>
      <c r="G240" s="5"/>
      <c r="I240" s="9"/>
      <c r="J240" s="9"/>
      <c r="K240" s="9"/>
      <c r="L240" s="103"/>
      <c r="M240" s="108"/>
      <c r="N240" s="9"/>
    </row>
    <row r="241" spans="1:14" ht="13.95" customHeight="1">
      <c r="A241" s="1"/>
      <c r="B241" s="1"/>
      <c r="C241" s="55"/>
      <c r="D241" s="35"/>
      <c r="E241" s="3"/>
      <c r="F241" s="4"/>
      <c r="G241" s="5"/>
      <c r="I241" s="9"/>
      <c r="J241" s="9"/>
      <c r="K241" s="9"/>
      <c r="L241" s="103"/>
      <c r="M241" s="108"/>
      <c r="N241" s="9"/>
    </row>
    <row r="242" spans="1:14" ht="20.100000000000001" customHeight="1">
      <c r="A242" s="149" t="s">
        <v>66</v>
      </c>
      <c r="B242" s="150"/>
      <c r="C242" s="150"/>
      <c r="D242" s="150"/>
      <c r="E242" s="150"/>
      <c r="F242" s="151"/>
      <c r="G242" s="116">
        <f>SUM(G202:G241)</f>
        <v>678301</v>
      </c>
      <c r="I242" s="9"/>
      <c r="J242" s="9"/>
      <c r="K242" s="9"/>
      <c r="L242" s="103"/>
      <c r="M242" s="108"/>
      <c r="N242" s="9"/>
    </row>
    <row r="243" spans="1:14" ht="13.95" customHeight="1">
      <c r="A243" s="39"/>
      <c r="B243" s="39"/>
      <c r="C243" s="39"/>
      <c r="D243" s="39"/>
      <c r="E243" s="39"/>
      <c r="F243" s="39"/>
      <c r="G243" s="113"/>
      <c r="I243" s="9"/>
      <c r="J243" s="9"/>
      <c r="K243" s="9"/>
      <c r="L243" s="103"/>
      <c r="M243" s="108"/>
      <c r="N243" s="9"/>
    </row>
    <row r="244" spans="1:14" ht="13.95" customHeight="1">
      <c r="A244" s="39"/>
      <c r="B244" s="39"/>
      <c r="C244" s="39"/>
      <c r="D244" s="39"/>
      <c r="E244" s="39"/>
      <c r="F244" s="39"/>
      <c r="G244" s="113"/>
      <c r="I244" s="9"/>
      <c r="J244" s="9"/>
      <c r="K244" s="9"/>
      <c r="L244" s="103"/>
      <c r="M244" s="108"/>
      <c r="N244" s="9"/>
    </row>
    <row r="245" spans="1:14" ht="22.2" customHeight="1">
      <c r="A245" s="44" t="s">
        <v>8</v>
      </c>
      <c r="B245" s="48" t="s">
        <v>9</v>
      </c>
      <c r="C245" s="44" t="s">
        <v>10</v>
      </c>
      <c r="D245" s="48" t="s">
        <v>11</v>
      </c>
      <c r="E245" s="48" t="s">
        <v>59</v>
      </c>
      <c r="F245" s="49" t="s">
        <v>12</v>
      </c>
      <c r="G245" s="111" t="s">
        <v>13</v>
      </c>
      <c r="I245" s="9"/>
      <c r="J245" s="9"/>
      <c r="K245" s="9"/>
      <c r="L245" s="103"/>
      <c r="M245" s="108"/>
      <c r="N245" s="9"/>
    </row>
    <row r="246" spans="1:14" ht="20.100000000000001" customHeight="1">
      <c r="A246" s="149" t="s">
        <v>67</v>
      </c>
      <c r="B246" s="150"/>
      <c r="C246" s="150"/>
      <c r="D246" s="150"/>
      <c r="E246" s="150"/>
      <c r="F246" s="151"/>
      <c r="G246" s="116">
        <f>+G242</f>
        <v>678301</v>
      </c>
      <c r="I246" s="9"/>
      <c r="J246" s="9"/>
      <c r="K246" s="9"/>
      <c r="L246" s="103"/>
      <c r="M246" s="108"/>
      <c r="N246" s="9"/>
    </row>
    <row r="247" spans="1:14" ht="13.95" customHeight="1">
      <c r="A247" s="1"/>
      <c r="B247" s="1"/>
      <c r="C247" s="55"/>
      <c r="D247" s="35"/>
      <c r="E247" s="3"/>
      <c r="F247" s="4"/>
      <c r="G247" s="5"/>
      <c r="I247" s="9"/>
      <c r="J247" s="9"/>
      <c r="K247" s="9"/>
      <c r="L247" s="103"/>
      <c r="M247" s="108"/>
      <c r="N247" s="9"/>
    </row>
    <row r="248" spans="1:14" ht="13.95" customHeight="1">
      <c r="A248" s="1"/>
      <c r="B248" s="1"/>
      <c r="C248" s="56" t="s">
        <v>230</v>
      </c>
      <c r="D248" s="9"/>
      <c r="E248" s="9"/>
      <c r="F248" s="122"/>
      <c r="G248" s="5"/>
      <c r="I248" s="9"/>
      <c r="J248" s="9"/>
      <c r="K248" s="9"/>
      <c r="L248" s="103"/>
      <c r="M248" s="108"/>
      <c r="N248" s="9"/>
    </row>
    <row r="249" spans="1:14" ht="13.95" customHeight="1">
      <c r="A249" s="1"/>
      <c r="B249" s="1"/>
      <c r="C249" s="57"/>
      <c r="D249" s="9"/>
      <c r="E249" s="9"/>
      <c r="F249" s="122"/>
      <c r="G249" s="5"/>
      <c r="I249" s="9"/>
      <c r="J249" s="9"/>
      <c r="K249" s="9"/>
      <c r="L249" s="103"/>
      <c r="M249" s="108"/>
      <c r="N249" s="9"/>
    </row>
    <row r="250" spans="1:14" ht="48" customHeight="1">
      <c r="A250" s="1"/>
      <c r="B250" s="1"/>
      <c r="C250" s="33" t="s">
        <v>242</v>
      </c>
      <c r="D250" s="57"/>
      <c r="E250" s="57"/>
      <c r="F250" s="57"/>
      <c r="G250" s="5"/>
      <c r="I250" s="9"/>
      <c r="J250" s="9"/>
      <c r="K250" s="9"/>
      <c r="L250" s="103"/>
      <c r="M250" s="108"/>
      <c r="N250" s="9"/>
    </row>
    <row r="251" spans="1:14" ht="13.95" customHeight="1">
      <c r="A251" s="1"/>
      <c r="B251" s="1"/>
      <c r="C251" s="33"/>
      <c r="D251" s="9"/>
      <c r="E251" s="9"/>
      <c r="F251" s="122"/>
      <c r="G251" s="5"/>
      <c r="I251" s="9"/>
      <c r="J251" s="9"/>
      <c r="K251" s="9"/>
      <c r="L251" s="103"/>
      <c r="M251" s="108"/>
      <c r="N251" s="9"/>
    </row>
    <row r="252" spans="1:14" ht="25.95" customHeight="1">
      <c r="A252" s="1"/>
      <c r="B252" s="1"/>
      <c r="C252" s="33" t="s">
        <v>232</v>
      </c>
      <c r="D252" s="9"/>
      <c r="E252" s="9"/>
      <c r="F252" s="122"/>
      <c r="G252" s="5"/>
      <c r="I252" s="9"/>
      <c r="J252" s="9"/>
      <c r="K252" s="9"/>
      <c r="L252" s="103"/>
      <c r="M252" s="108"/>
      <c r="N252" s="9"/>
    </row>
    <row r="253" spans="1:14" ht="13.95" customHeight="1">
      <c r="A253" s="1"/>
      <c r="B253" s="1"/>
      <c r="C253" s="33"/>
      <c r="D253" s="9"/>
      <c r="E253" s="9"/>
      <c r="F253" s="122"/>
      <c r="G253" s="5"/>
      <c r="I253" s="9"/>
      <c r="J253" s="9"/>
      <c r="K253" s="9"/>
      <c r="L253" s="103"/>
      <c r="M253" s="108"/>
      <c r="N253" s="9"/>
    </row>
    <row r="254" spans="1:14" ht="38.4" customHeight="1">
      <c r="A254" s="1">
        <f>A230+1</f>
        <v>42</v>
      </c>
      <c r="B254" s="1"/>
      <c r="C254" s="33" t="s">
        <v>233</v>
      </c>
      <c r="D254" s="9" t="s">
        <v>1</v>
      </c>
      <c r="E254" s="3">
        <f>SUM(I254:N254)</f>
        <v>0</v>
      </c>
      <c r="F254" s="144">
        <v>775</v>
      </c>
      <c r="G254" s="5">
        <f t="shared" ref="G254" si="52">+E254*F254</f>
        <v>0</v>
      </c>
      <c r="I254" s="9"/>
      <c r="J254" s="9"/>
      <c r="K254" s="9"/>
      <c r="L254" s="103"/>
      <c r="M254" s="108"/>
      <c r="N254" s="9"/>
    </row>
    <row r="255" spans="1:14" ht="13.95" customHeight="1">
      <c r="A255" s="1"/>
      <c r="B255" s="1"/>
      <c r="C255" s="33"/>
      <c r="D255" s="9"/>
      <c r="E255" s="9"/>
      <c r="F255" s="144"/>
      <c r="G255" s="5"/>
      <c r="I255" s="9"/>
      <c r="J255" s="9"/>
      <c r="K255" s="9"/>
      <c r="L255" s="103"/>
      <c r="M255" s="108"/>
      <c r="N255" s="9"/>
    </row>
    <row r="256" spans="1:14" ht="25.95" customHeight="1">
      <c r="A256" s="1">
        <f>A254+1</f>
        <v>43</v>
      </c>
      <c r="B256" s="1"/>
      <c r="C256" s="33" t="s">
        <v>228</v>
      </c>
      <c r="D256" s="9" t="s">
        <v>6</v>
      </c>
      <c r="E256" s="3">
        <f>SUM(I256:N256)</f>
        <v>0</v>
      </c>
      <c r="F256" s="144">
        <v>275</v>
      </c>
      <c r="G256" s="5">
        <f t="shared" ref="G256" si="53">+E256*F256</f>
        <v>0</v>
      </c>
      <c r="I256" s="9"/>
      <c r="J256" s="9"/>
      <c r="K256" s="9"/>
      <c r="L256" s="103"/>
      <c r="M256" s="108"/>
      <c r="N256" s="9"/>
    </row>
    <row r="257" spans="1:14" ht="13.95" customHeight="1">
      <c r="A257" s="1"/>
      <c r="B257" s="1"/>
      <c r="C257" s="33"/>
      <c r="D257" s="9"/>
      <c r="E257" s="9"/>
      <c r="F257" s="144"/>
      <c r="G257" s="5"/>
      <c r="I257" s="9"/>
      <c r="J257" s="9"/>
      <c r="K257" s="9"/>
      <c r="L257" s="103"/>
      <c r="M257" s="108"/>
      <c r="N257" s="9"/>
    </row>
    <row r="258" spans="1:14" ht="13.95" customHeight="1">
      <c r="A258" s="1">
        <f>A256+1</f>
        <v>44</v>
      </c>
      <c r="B258" s="1"/>
      <c r="C258" s="33" t="s">
        <v>229</v>
      </c>
      <c r="D258" s="9" t="s">
        <v>6</v>
      </c>
      <c r="E258" s="3">
        <f>SUM(I258:N258)</f>
        <v>0</v>
      </c>
      <c r="F258" s="144">
        <v>650</v>
      </c>
      <c r="G258" s="5">
        <f t="shared" ref="G258" si="54">+E258*F258</f>
        <v>0</v>
      </c>
      <c r="I258" s="9"/>
      <c r="J258" s="9"/>
      <c r="K258" s="9"/>
      <c r="L258" s="103"/>
      <c r="M258" s="108"/>
      <c r="N258" s="9"/>
    </row>
    <row r="259" spans="1:14" ht="13.95" customHeight="1">
      <c r="A259" s="1"/>
      <c r="B259" s="1"/>
      <c r="C259" s="17"/>
      <c r="D259" s="35"/>
      <c r="E259" s="3"/>
      <c r="F259" s="14"/>
      <c r="G259" s="5"/>
      <c r="I259" s="9"/>
      <c r="J259" s="9"/>
      <c r="K259" s="9"/>
      <c r="L259" s="103"/>
      <c r="M259" s="108"/>
      <c r="N259" s="9"/>
    </row>
    <row r="260" spans="1:14">
      <c r="A260" s="16">
        <f>+A258+1</f>
        <v>45</v>
      </c>
      <c r="B260" s="16"/>
      <c r="C260" s="47" t="s">
        <v>241</v>
      </c>
      <c r="D260" s="58" t="s">
        <v>1</v>
      </c>
      <c r="E260" s="3">
        <f>SUM(I260:N260)</f>
        <v>0</v>
      </c>
      <c r="F260" s="13">
        <v>425</v>
      </c>
      <c r="G260" s="15">
        <f t="shared" ref="G260" si="55">+E260*F260</f>
        <v>0</v>
      </c>
      <c r="I260" s="9"/>
      <c r="J260" s="9"/>
      <c r="K260" s="9"/>
      <c r="L260" s="103"/>
      <c r="M260" s="108"/>
      <c r="N260" s="9"/>
    </row>
    <row r="261" spans="1:14" ht="13.95" customHeight="1">
      <c r="A261" s="1"/>
      <c r="B261" s="1"/>
      <c r="C261" s="17"/>
      <c r="D261" s="35"/>
      <c r="E261" s="3"/>
      <c r="F261" s="4"/>
      <c r="G261" s="5"/>
      <c r="I261" s="9"/>
      <c r="J261" s="9"/>
      <c r="K261" s="9"/>
      <c r="L261" s="103"/>
      <c r="M261" s="108"/>
      <c r="N261" s="9"/>
    </row>
    <row r="262" spans="1:14" ht="22.2" customHeight="1">
      <c r="A262" s="1"/>
      <c r="B262" s="51" t="s">
        <v>105</v>
      </c>
      <c r="C262" s="11" t="s">
        <v>204</v>
      </c>
      <c r="D262" s="40"/>
      <c r="E262" s="3"/>
      <c r="F262" s="4"/>
      <c r="G262" s="5"/>
      <c r="I262" s="9"/>
      <c r="J262" s="9"/>
      <c r="K262" s="9"/>
      <c r="L262" s="103"/>
      <c r="M262" s="108"/>
      <c r="N262" s="9"/>
    </row>
    <row r="263" spans="1:14" ht="13.95" customHeight="1">
      <c r="A263" s="1"/>
      <c r="B263" s="51"/>
      <c r="C263" s="6"/>
      <c r="D263" s="9"/>
      <c r="E263" s="3"/>
      <c r="F263" s="4"/>
      <c r="G263" s="5"/>
      <c r="I263" s="9"/>
      <c r="J263" s="9"/>
      <c r="K263" s="9"/>
      <c r="L263" s="103"/>
      <c r="M263" s="108"/>
      <c r="N263" s="9"/>
    </row>
    <row r="264" spans="1:14" ht="13.95" customHeight="1">
      <c r="A264" s="1"/>
      <c r="B264" s="51" t="s">
        <v>92</v>
      </c>
      <c r="C264" s="52" t="s">
        <v>205</v>
      </c>
      <c r="D264" s="9"/>
      <c r="E264" s="3"/>
      <c r="F264" s="4"/>
      <c r="G264" s="5"/>
      <c r="I264" s="9"/>
      <c r="J264" s="9"/>
      <c r="K264" s="9"/>
      <c r="L264" s="103"/>
      <c r="M264" s="108"/>
      <c r="N264" s="9"/>
    </row>
    <row r="265" spans="1:14" ht="13.95" customHeight="1">
      <c r="A265" s="1"/>
      <c r="B265" s="51"/>
      <c r="C265" s="6"/>
      <c r="D265" s="9"/>
      <c r="E265" s="3"/>
      <c r="F265" s="4"/>
      <c r="G265" s="5"/>
      <c r="I265" s="9"/>
      <c r="J265" s="9"/>
      <c r="K265" s="9"/>
      <c r="L265" s="103"/>
      <c r="M265" s="108"/>
      <c r="N265" s="9"/>
    </row>
    <row r="266" spans="1:14" ht="24" customHeight="1">
      <c r="A266" s="1"/>
      <c r="B266" s="51" t="s">
        <v>206</v>
      </c>
      <c r="C266" s="21" t="s">
        <v>207</v>
      </c>
      <c r="D266" s="9"/>
      <c r="E266" s="3"/>
      <c r="F266" s="4"/>
      <c r="G266" s="5"/>
      <c r="I266" s="9"/>
      <c r="J266" s="9"/>
      <c r="K266" s="9"/>
      <c r="L266" s="103"/>
      <c r="M266" s="108"/>
      <c r="N266" s="9"/>
    </row>
    <row r="267" spans="1:14" ht="13.95" customHeight="1">
      <c r="A267" s="1"/>
      <c r="B267" s="51"/>
      <c r="C267" s="6"/>
      <c r="D267" s="9"/>
      <c r="E267" s="3"/>
      <c r="F267" s="4"/>
      <c r="G267" s="5"/>
      <c r="I267" s="9"/>
      <c r="J267" s="9"/>
      <c r="K267" s="9"/>
      <c r="L267" s="103"/>
      <c r="M267" s="108"/>
      <c r="N267" s="9"/>
    </row>
    <row r="268" spans="1:14" ht="13.95" customHeight="1">
      <c r="A268" s="1">
        <f>A260+1</f>
        <v>46</v>
      </c>
      <c r="B268" s="51" t="s">
        <v>208</v>
      </c>
      <c r="C268" s="6" t="s">
        <v>21</v>
      </c>
      <c r="D268" s="9" t="s">
        <v>1</v>
      </c>
      <c r="E268" s="3">
        <f>SUM(I268:N268)</f>
        <v>0</v>
      </c>
      <c r="F268" s="13">
        <v>1950</v>
      </c>
      <c r="G268" s="5">
        <f t="shared" ref="G268" si="56">+E268*F268</f>
        <v>0</v>
      </c>
      <c r="I268" s="9"/>
      <c r="J268" s="9"/>
      <c r="K268" s="9"/>
      <c r="L268" s="103"/>
      <c r="M268" s="108"/>
      <c r="N268" s="9"/>
    </row>
    <row r="269" spans="1:14" ht="13.95" customHeight="1">
      <c r="A269" s="1"/>
      <c r="B269" s="51"/>
      <c r="C269" s="6"/>
      <c r="D269" s="9"/>
      <c r="E269" s="3"/>
      <c r="F269" s="13"/>
      <c r="G269" s="5"/>
      <c r="I269" s="9"/>
      <c r="J269" s="9"/>
      <c r="K269" s="9"/>
      <c r="L269" s="103"/>
      <c r="M269" s="108"/>
      <c r="N269" s="9"/>
    </row>
    <row r="270" spans="1:14" ht="12.6" customHeight="1">
      <c r="A270" s="1">
        <f>A268+1</f>
        <v>47</v>
      </c>
      <c r="B270" s="51" t="s">
        <v>209</v>
      </c>
      <c r="C270" s="18" t="s">
        <v>210</v>
      </c>
      <c r="D270" s="9" t="s">
        <v>6</v>
      </c>
      <c r="E270" s="3">
        <f>SUM(I270:N270)</f>
        <v>0</v>
      </c>
      <c r="F270" s="13">
        <v>350</v>
      </c>
      <c r="G270" s="5">
        <f t="shared" ref="G270" si="57">+E270*F270</f>
        <v>0</v>
      </c>
      <c r="I270" s="9"/>
      <c r="J270" s="9"/>
      <c r="K270" s="9"/>
      <c r="L270" s="103"/>
      <c r="M270" s="108"/>
      <c r="N270" s="9"/>
    </row>
    <row r="271" spans="1:14" ht="12.6" customHeight="1">
      <c r="A271" s="1"/>
      <c r="B271" s="1"/>
      <c r="C271" s="33"/>
      <c r="D271" s="35"/>
      <c r="E271" s="3"/>
      <c r="F271" s="13"/>
      <c r="G271" s="5"/>
      <c r="I271" s="9"/>
      <c r="J271" s="9"/>
      <c r="K271" s="9"/>
      <c r="L271" s="103"/>
      <c r="M271" s="108"/>
      <c r="N271" s="9"/>
    </row>
    <row r="272" spans="1:14" ht="12.6" customHeight="1">
      <c r="A272" s="1"/>
      <c r="B272" s="1"/>
      <c r="C272" s="123" t="s">
        <v>236</v>
      </c>
      <c r="D272" s="35"/>
      <c r="E272" s="3"/>
      <c r="F272" s="13"/>
      <c r="G272" s="5"/>
      <c r="I272" s="9"/>
      <c r="J272" s="9"/>
      <c r="K272" s="9"/>
      <c r="L272" s="103"/>
      <c r="M272" s="108"/>
      <c r="N272" s="9"/>
    </row>
    <row r="273" spans="1:14" ht="12.6" customHeight="1">
      <c r="A273" s="1"/>
      <c r="B273" s="1"/>
      <c r="C273" s="6"/>
      <c r="D273" s="35"/>
      <c r="E273" s="3"/>
      <c r="F273" s="13"/>
      <c r="G273" s="5"/>
      <c r="I273" s="9"/>
      <c r="J273" s="9"/>
      <c r="K273" s="9"/>
      <c r="L273" s="103"/>
      <c r="M273" s="108"/>
      <c r="N273" s="9"/>
    </row>
    <row r="274" spans="1:14" ht="12.6" customHeight="1">
      <c r="A274" s="1"/>
      <c r="B274" s="1"/>
      <c r="C274" s="124" t="s">
        <v>234</v>
      </c>
      <c r="D274" s="35"/>
      <c r="E274" s="3"/>
      <c r="F274" s="13"/>
      <c r="G274" s="5"/>
      <c r="I274" s="9"/>
      <c r="J274" s="9"/>
      <c r="K274" s="9"/>
      <c r="L274" s="103"/>
      <c r="M274" s="108"/>
      <c r="N274" s="9"/>
    </row>
    <row r="275" spans="1:14" ht="12.6" customHeight="1">
      <c r="A275" s="1"/>
      <c r="B275" s="1"/>
      <c r="C275" s="33"/>
      <c r="D275" s="35"/>
      <c r="E275" s="3"/>
      <c r="F275" s="13"/>
      <c r="G275" s="5"/>
      <c r="I275" s="9"/>
      <c r="J275" s="9"/>
      <c r="K275" s="9"/>
      <c r="L275" s="103"/>
      <c r="M275" s="108"/>
      <c r="N275" s="9"/>
    </row>
    <row r="276" spans="1:14" ht="38.4" customHeight="1">
      <c r="A276" s="1">
        <f>A270+1</f>
        <v>48</v>
      </c>
      <c r="B276" s="1"/>
      <c r="C276" s="125" t="s">
        <v>235</v>
      </c>
      <c r="D276" s="1" t="s">
        <v>60</v>
      </c>
      <c r="E276" s="3">
        <f>SUM(I276:N276)</f>
        <v>0</v>
      </c>
      <c r="F276" s="13">
        <v>3750</v>
      </c>
      <c r="G276" s="5">
        <f t="shared" ref="G276" si="58">+E276*F276</f>
        <v>0</v>
      </c>
      <c r="I276" s="9"/>
      <c r="J276" s="9"/>
      <c r="K276" s="9"/>
      <c r="L276" s="103"/>
      <c r="M276" s="108"/>
      <c r="N276" s="9"/>
    </row>
    <row r="277" spans="1:14" ht="12.6" customHeight="1">
      <c r="A277" s="1"/>
      <c r="B277" s="1"/>
      <c r="C277" s="33"/>
      <c r="D277" s="35"/>
      <c r="E277" s="3"/>
      <c r="F277" s="13"/>
      <c r="G277" s="5"/>
      <c r="I277" s="9"/>
      <c r="J277" s="9"/>
      <c r="K277" s="9"/>
      <c r="L277" s="103"/>
      <c r="M277" s="108"/>
      <c r="N277" s="9"/>
    </row>
    <row r="278" spans="1:14" ht="13.95" customHeight="1">
      <c r="A278" s="1"/>
      <c r="B278" s="1"/>
      <c r="C278" s="34" t="s">
        <v>212</v>
      </c>
      <c r="D278" s="1" t="s">
        <v>64</v>
      </c>
      <c r="E278" s="3"/>
      <c r="F278" s="14"/>
      <c r="G278" s="5"/>
      <c r="I278" s="9"/>
      <c r="J278" s="9"/>
      <c r="K278" s="9"/>
      <c r="L278" s="103"/>
      <c r="M278" s="108"/>
      <c r="N278" s="9"/>
    </row>
    <row r="279" spans="1:14" ht="13.95" customHeight="1">
      <c r="A279" s="1"/>
      <c r="B279" s="1"/>
      <c r="C279" s="33" t="s">
        <v>64</v>
      </c>
      <c r="D279" s="1" t="s">
        <v>64</v>
      </c>
      <c r="E279" s="3"/>
      <c r="F279" s="4"/>
      <c r="G279" s="5"/>
      <c r="I279" s="9"/>
      <c r="J279" s="9"/>
      <c r="K279" s="9"/>
      <c r="L279" s="103"/>
      <c r="M279" s="108"/>
      <c r="N279" s="9"/>
    </row>
    <row r="280" spans="1:14" ht="22.2" customHeight="1">
      <c r="A280" s="1">
        <f>A276+1</f>
        <v>49</v>
      </c>
      <c r="B280" s="1"/>
      <c r="C280" s="33" t="s">
        <v>217</v>
      </c>
      <c r="D280" s="1" t="s">
        <v>60</v>
      </c>
      <c r="E280" s="3">
        <f>SUM(I280:N280)</f>
        <v>480</v>
      </c>
      <c r="F280" s="3">
        <v>885</v>
      </c>
      <c r="G280" s="5">
        <f t="shared" ref="G280" si="59">+E280*F280</f>
        <v>424800</v>
      </c>
      <c r="I280" s="9"/>
      <c r="J280" s="9">
        <v>480</v>
      </c>
      <c r="K280" s="9"/>
      <c r="L280" s="103"/>
      <c r="M280" s="108"/>
      <c r="N280" s="9"/>
    </row>
    <row r="281" spans="1:14">
      <c r="A281" s="1"/>
      <c r="B281" s="1"/>
      <c r="C281" s="33"/>
      <c r="D281" s="35"/>
      <c r="E281" s="3"/>
      <c r="F281" s="3"/>
      <c r="G281" s="5"/>
      <c r="I281" s="9"/>
      <c r="J281" s="9"/>
      <c r="K281" s="9"/>
      <c r="L281" s="103"/>
      <c r="M281" s="108"/>
      <c r="N281" s="9"/>
    </row>
    <row r="282" spans="1:14" ht="13.95" customHeight="1">
      <c r="A282" s="1"/>
      <c r="B282" s="1"/>
      <c r="C282" s="33"/>
      <c r="D282" s="35"/>
      <c r="E282" s="3"/>
      <c r="F282" s="4"/>
      <c r="G282" s="5"/>
      <c r="I282" s="9"/>
      <c r="J282" s="9"/>
      <c r="K282" s="9"/>
      <c r="L282" s="103"/>
      <c r="M282" s="108"/>
      <c r="N282" s="9"/>
    </row>
    <row r="283" spans="1:14" ht="13.95" customHeight="1">
      <c r="A283" s="1"/>
      <c r="B283" s="1"/>
      <c r="C283" s="33"/>
      <c r="D283" s="35"/>
      <c r="E283" s="3"/>
      <c r="F283" s="4"/>
      <c r="G283" s="5"/>
      <c r="I283" s="9"/>
      <c r="J283" s="9"/>
      <c r="K283" s="9"/>
      <c r="L283" s="103"/>
      <c r="M283" s="108"/>
      <c r="N283" s="9"/>
    </row>
    <row r="284" spans="1:14" ht="13.95" customHeight="1">
      <c r="A284" s="1"/>
      <c r="B284" s="1"/>
      <c r="C284" s="33"/>
      <c r="D284" s="35"/>
      <c r="E284" s="3"/>
      <c r="F284" s="4"/>
      <c r="G284" s="5"/>
      <c r="I284" s="9"/>
      <c r="J284" s="9"/>
      <c r="K284" s="9"/>
      <c r="L284" s="103"/>
      <c r="M284" s="108"/>
      <c r="N284" s="9"/>
    </row>
    <row r="285" spans="1:14" ht="20.100000000000001" customHeight="1">
      <c r="A285" s="149" t="s">
        <v>66</v>
      </c>
      <c r="B285" s="150"/>
      <c r="C285" s="150"/>
      <c r="D285" s="150"/>
      <c r="E285" s="150"/>
      <c r="F285" s="151"/>
      <c r="G285" s="116">
        <f>SUM(G246:G284)</f>
        <v>1103101</v>
      </c>
      <c r="I285" s="9"/>
      <c r="J285" s="9"/>
      <c r="K285" s="9"/>
      <c r="L285" s="103"/>
      <c r="M285" s="108"/>
      <c r="N285" s="9"/>
    </row>
    <row r="286" spans="1:14" ht="13.95" customHeight="1">
      <c r="A286" s="39"/>
      <c r="B286" s="39"/>
      <c r="C286" s="39"/>
      <c r="D286" s="39"/>
      <c r="E286" s="39"/>
      <c r="F286" s="39"/>
      <c r="G286" s="113"/>
      <c r="I286" s="9"/>
      <c r="J286" s="9"/>
      <c r="K286" s="9"/>
      <c r="L286" s="103"/>
      <c r="M286" s="108"/>
      <c r="N286" s="9"/>
    </row>
    <row r="287" spans="1:14" ht="13.95" customHeight="1">
      <c r="A287" s="39"/>
      <c r="B287" s="39"/>
      <c r="C287" s="39"/>
      <c r="D287" s="39"/>
      <c r="E287" s="39"/>
      <c r="F287" s="39"/>
      <c r="G287" s="113"/>
      <c r="I287" s="9"/>
      <c r="J287" s="9"/>
      <c r="K287" s="9"/>
      <c r="L287" s="103"/>
      <c r="M287" s="108"/>
      <c r="N287" s="9"/>
    </row>
    <row r="288" spans="1:14" ht="22.2" customHeight="1">
      <c r="A288" s="44" t="s">
        <v>8</v>
      </c>
      <c r="B288" s="48" t="s">
        <v>9</v>
      </c>
      <c r="C288" s="44" t="s">
        <v>10</v>
      </c>
      <c r="D288" s="48" t="s">
        <v>11</v>
      </c>
      <c r="E288" s="48" t="s">
        <v>59</v>
      </c>
      <c r="F288" s="49" t="s">
        <v>12</v>
      </c>
      <c r="G288" s="111" t="s">
        <v>13</v>
      </c>
      <c r="I288" s="9"/>
      <c r="J288" s="9"/>
      <c r="K288" s="9"/>
      <c r="L288" s="103"/>
      <c r="M288" s="108"/>
      <c r="N288" s="9"/>
    </row>
    <row r="289" spans="1:14" ht="20.100000000000001" customHeight="1">
      <c r="A289" s="149" t="s">
        <v>67</v>
      </c>
      <c r="B289" s="150"/>
      <c r="C289" s="150"/>
      <c r="D289" s="150"/>
      <c r="E289" s="150"/>
      <c r="F289" s="151"/>
      <c r="G289" s="116">
        <f>+G285</f>
        <v>1103101</v>
      </c>
      <c r="I289" s="9"/>
      <c r="J289" s="9"/>
      <c r="K289" s="9"/>
      <c r="L289" s="103"/>
      <c r="M289" s="108"/>
      <c r="N289" s="9"/>
    </row>
    <row r="290" spans="1:14" ht="13.95" customHeight="1">
      <c r="A290" s="1"/>
      <c r="B290" s="1"/>
      <c r="C290" s="33"/>
      <c r="D290" s="35"/>
      <c r="E290" s="3"/>
      <c r="F290" s="4"/>
      <c r="G290" s="5"/>
      <c r="I290" s="9"/>
      <c r="J290" s="9"/>
      <c r="K290" s="9"/>
      <c r="L290" s="103"/>
      <c r="M290" s="108"/>
      <c r="N290" s="9"/>
    </row>
    <row r="291" spans="1:14" ht="13.95" customHeight="1">
      <c r="A291" s="16"/>
      <c r="B291" s="76" t="s">
        <v>167</v>
      </c>
      <c r="C291" s="74" t="s">
        <v>168</v>
      </c>
      <c r="D291" s="93"/>
      <c r="E291" s="94"/>
      <c r="F291" s="14"/>
      <c r="G291" s="15"/>
      <c r="I291" s="9"/>
      <c r="J291" s="9"/>
      <c r="K291" s="9"/>
      <c r="L291" s="103"/>
      <c r="M291" s="108"/>
      <c r="N291" s="9"/>
    </row>
    <row r="292" spans="1:14" ht="13.95" customHeight="1">
      <c r="A292" s="16"/>
      <c r="B292" s="12"/>
      <c r="C292" s="75"/>
      <c r="D292" s="93"/>
      <c r="E292" s="94"/>
      <c r="F292" s="14"/>
      <c r="G292" s="15"/>
      <c r="I292" s="9"/>
      <c r="J292" s="9"/>
      <c r="K292" s="9"/>
      <c r="L292" s="103"/>
      <c r="M292" s="108"/>
      <c r="N292" s="9"/>
    </row>
    <row r="293" spans="1:14" ht="13.95" customHeight="1">
      <c r="A293" s="16"/>
      <c r="B293" s="12" t="s">
        <v>193</v>
      </c>
      <c r="C293" s="70" t="s">
        <v>164</v>
      </c>
      <c r="D293" s="12"/>
      <c r="E293" s="94"/>
      <c r="F293" s="14"/>
      <c r="G293" s="15"/>
      <c r="I293" s="9"/>
      <c r="J293" s="9"/>
      <c r="K293" s="9"/>
      <c r="L293" s="103"/>
      <c r="M293" s="108"/>
      <c r="N293" s="9"/>
    </row>
    <row r="294" spans="1:14" ht="13.95" customHeight="1">
      <c r="A294" s="16"/>
      <c r="B294" s="73"/>
      <c r="C294" s="62"/>
      <c r="D294" s="12"/>
      <c r="E294" s="94"/>
      <c r="F294" s="14"/>
      <c r="G294" s="15"/>
      <c r="I294" s="9"/>
      <c r="J294" s="9"/>
      <c r="K294" s="9"/>
      <c r="L294" s="103"/>
      <c r="M294" s="108"/>
      <c r="N294" s="9"/>
    </row>
    <row r="295" spans="1:14" ht="13.95" customHeight="1">
      <c r="A295" s="16">
        <v>50</v>
      </c>
      <c r="B295" s="73"/>
      <c r="C295" s="75" t="s">
        <v>112</v>
      </c>
      <c r="D295" s="12" t="s">
        <v>60</v>
      </c>
      <c r="E295" s="3">
        <f>SUM(I295:N295)</f>
        <v>72</v>
      </c>
      <c r="F295" s="13">
        <v>890</v>
      </c>
      <c r="G295" s="15">
        <f>+E295*F295</f>
        <v>64080</v>
      </c>
      <c r="I295" s="9"/>
      <c r="J295" s="9"/>
      <c r="K295" s="9">
        <v>72</v>
      </c>
      <c r="L295" s="103"/>
      <c r="M295" s="108"/>
      <c r="N295" s="9"/>
    </row>
    <row r="296" spans="1:14" ht="13.95" customHeight="1">
      <c r="A296" s="16"/>
      <c r="B296" s="73"/>
      <c r="C296" s="62"/>
      <c r="D296" s="12"/>
      <c r="E296" s="94"/>
      <c r="F296" s="14"/>
      <c r="G296" s="15"/>
      <c r="I296" s="9"/>
      <c r="J296" s="9"/>
      <c r="K296" s="9"/>
      <c r="L296" s="103"/>
      <c r="M296" s="108"/>
      <c r="N296" s="9"/>
    </row>
    <row r="297" spans="1:14" ht="13.95" customHeight="1">
      <c r="A297" s="16"/>
      <c r="B297" s="12" t="s">
        <v>195</v>
      </c>
      <c r="C297" s="70" t="s">
        <v>194</v>
      </c>
      <c r="D297" s="12"/>
      <c r="E297" s="94"/>
      <c r="F297" s="14"/>
      <c r="G297" s="15"/>
      <c r="I297" s="9"/>
      <c r="J297" s="9"/>
      <c r="K297" s="9"/>
      <c r="L297" s="103"/>
      <c r="M297" s="108"/>
      <c r="N297" s="9"/>
    </row>
    <row r="298" spans="1:14" ht="13.95" customHeight="1">
      <c r="A298" s="16"/>
      <c r="B298" s="73"/>
      <c r="C298" s="62"/>
      <c r="D298" s="12"/>
      <c r="E298" s="94"/>
      <c r="F298" s="14"/>
      <c r="G298" s="15"/>
      <c r="I298" s="9"/>
      <c r="J298" s="9"/>
      <c r="K298" s="9"/>
      <c r="L298" s="103"/>
      <c r="M298" s="108"/>
      <c r="N298" s="9"/>
    </row>
    <row r="299" spans="1:14" ht="13.95" customHeight="1">
      <c r="A299" s="16">
        <v>51</v>
      </c>
      <c r="B299" s="73"/>
      <c r="C299" s="75" t="s">
        <v>165</v>
      </c>
      <c r="D299" s="12" t="s">
        <v>60</v>
      </c>
      <c r="E299" s="3">
        <f>SUM(I299:N299)</f>
        <v>144</v>
      </c>
      <c r="F299" s="14">
        <v>325</v>
      </c>
      <c r="G299" s="15">
        <f t="shared" ref="G299" si="60">+E299*F299</f>
        <v>46800</v>
      </c>
      <c r="I299" s="9"/>
      <c r="J299" s="9"/>
      <c r="K299" s="9">
        <v>144</v>
      </c>
      <c r="L299" s="103"/>
      <c r="M299" s="108"/>
      <c r="N299" s="9"/>
    </row>
    <row r="300" spans="1:14" ht="13.95" customHeight="1">
      <c r="A300" s="16"/>
      <c r="B300" s="12"/>
      <c r="C300" s="75"/>
      <c r="D300" s="93"/>
      <c r="E300" s="94"/>
      <c r="F300" s="14"/>
      <c r="G300" s="15"/>
      <c r="I300" s="9"/>
      <c r="J300" s="9"/>
      <c r="K300" s="9"/>
      <c r="L300" s="103"/>
      <c r="M300" s="108"/>
      <c r="N300" s="9"/>
    </row>
    <row r="301" spans="1:14" ht="24">
      <c r="A301" s="16"/>
      <c r="B301" s="76" t="s">
        <v>169</v>
      </c>
      <c r="C301" s="46" t="s">
        <v>216</v>
      </c>
      <c r="D301" s="12"/>
      <c r="E301" s="12"/>
      <c r="F301" s="145"/>
      <c r="G301" s="15"/>
      <c r="I301" s="9"/>
      <c r="J301" s="9"/>
      <c r="K301" s="9"/>
      <c r="L301" s="103"/>
      <c r="M301" s="108"/>
      <c r="N301" s="9"/>
    </row>
    <row r="302" spans="1:14" ht="13.95" customHeight="1">
      <c r="A302" s="16"/>
      <c r="B302" s="76"/>
      <c r="C302" s="75"/>
      <c r="D302" s="12"/>
      <c r="E302" s="12"/>
      <c r="F302" s="145"/>
      <c r="G302" s="15"/>
      <c r="I302" s="9"/>
      <c r="J302" s="9"/>
      <c r="K302" s="9"/>
      <c r="L302" s="103"/>
      <c r="M302" s="108"/>
      <c r="N302" s="9"/>
    </row>
    <row r="303" spans="1:14" ht="13.95" customHeight="1">
      <c r="A303" s="16"/>
      <c r="B303" s="76" t="s">
        <v>169</v>
      </c>
      <c r="C303" s="75" t="s">
        <v>170</v>
      </c>
      <c r="D303" s="12"/>
      <c r="E303" s="12"/>
      <c r="F303" s="145"/>
      <c r="G303" s="15"/>
      <c r="I303" s="9"/>
      <c r="J303" s="9"/>
      <c r="K303" s="9"/>
      <c r="L303" s="103"/>
      <c r="M303" s="108"/>
      <c r="N303" s="9"/>
    </row>
    <row r="304" spans="1:14" ht="13.95" customHeight="1">
      <c r="A304" s="16"/>
      <c r="B304" s="76"/>
      <c r="C304" s="75"/>
      <c r="D304" s="12"/>
      <c r="E304" s="12"/>
      <c r="F304" s="145"/>
      <c r="G304" s="15"/>
      <c r="I304" s="9"/>
      <c r="J304" s="9"/>
      <c r="K304" s="9"/>
      <c r="L304" s="103"/>
      <c r="M304" s="108"/>
      <c r="N304" s="9"/>
    </row>
    <row r="305" spans="1:15" ht="13.95" customHeight="1">
      <c r="A305" s="16">
        <v>52</v>
      </c>
      <c r="B305" s="76" t="s">
        <v>171</v>
      </c>
      <c r="C305" s="75" t="s">
        <v>172</v>
      </c>
      <c r="D305" s="12" t="s">
        <v>60</v>
      </c>
      <c r="E305" s="3">
        <f>SUM(I305:N305)</f>
        <v>144</v>
      </c>
      <c r="F305" s="94">
        <v>275</v>
      </c>
      <c r="G305" s="15">
        <f t="shared" ref="G305:G313" si="61">+E305*F305</f>
        <v>39600</v>
      </c>
      <c r="I305" s="9"/>
      <c r="J305" s="9"/>
      <c r="K305" s="9">
        <v>144</v>
      </c>
      <c r="L305" s="103"/>
      <c r="M305" s="108"/>
      <c r="N305" s="9"/>
    </row>
    <row r="306" spans="1:15" ht="13.95" customHeight="1">
      <c r="A306" s="16"/>
      <c r="B306" s="12"/>
      <c r="C306" s="75"/>
      <c r="D306" s="93"/>
      <c r="E306" s="94"/>
      <c r="F306" s="14"/>
      <c r="G306" s="15"/>
      <c r="I306" s="9"/>
      <c r="J306" s="9"/>
      <c r="K306" s="9"/>
      <c r="L306" s="103"/>
      <c r="M306" s="108"/>
      <c r="N306" s="9"/>
    </row>
    <row r="307" spans="1:15" ht="13.95" customHeight="1">
      <c r="A307" s="16"/>
      <c r="B307" s="12" t="s">
        <v>102</v>
      </c>
      <c r="C307" s="74" t="s">
        <v>166</v>
      </c>
      <c r="D307" s="12"/>
      <c r="E307" s="94"/>
      <c r="F307" s="14"/>
      <c r="G307" s="15"/>
      <c r="I307" s="9"/>
      <c r="J307" s="9"/>
      <c r="K307" s="9"/>
      <c r="L307" s="103"/>
      <c r="M307" s="108"/>
      <c r="N307" s="9"/>
    </row>
    <row r="308" spans="1:15" ht="13.95" customHeight="1">
      <c r="A308" s="16"/>
      <c r="B308" s="12"/>
      <c r="C308" s="95"/>
      <c r="D308" s="12"/>
      <c r="E308" s="94"/>
      <c r="F308" s="14"/>
      <c r="G308" s="15"/>
      <c r="I308" s="9"/>
      <c r="J308" s="9"/>
      <c r="K308" s="103"/>
      <c r="L308" s="103"/>
      <c r="M308" s="108"/>
      <c r="N308" s="9"/>
    </row>
    <row r="309" spans="1:15" ht="13.95" customHeight="1">
      <c r="A309" s="16"/>
      <c r="B309" s="12"/>
      <c r="C309" s="75" t="s">
        <v>78</v>
      </c>
      <c r="D309" s="12"/>
      <c r="E309" s="94"/>
      <c r="F309" s="14"/>
      <c r="G309" s="15"/>
      <c r="I309" s="103"/>
      <c r="J309" s="103"/>
      <c r="K309" s="103"/>
      <c r="L309" s="103"/>
      <c r="M309" s="134"/>
      <c r="N309" s="9"/>
    </row>
    <row r="310" spans="1:15" ht="13.95" customHeight="1">
      <c r="A310" s="16"/>
      <c r="B310" s="12"/>
      <c r="C310" s="75"/>
      <c r="D310" s="12"/>
      <c r="E310" s="94"/>
      <c r="F310" s="14"/>
      <c r="G310" s="15"/>
      <c r="I310" s="103"/>
      <c r="J310" s="103"/>
      <c r="K310" s="103"/>
      <c r="L310" s="103"/>
      <c r="M310" s="134"/>
      <c r="N310" s="9"/>
    </row>
    <row r="311" spans="1:15" ht="36">
      <c r="A311" s="16">
        <v>53</v>
      </c>
      <c r="B311" s="12"/>
      <c r="C311" s="47" t="s">
        <v>203</v>
      </c>
      <c r="D311" s="12" t="s">
        <v>6</v>
      </c>
      <c r="E311" s="3">
        <f>SUM(I311:N311)</f>
        <v>6</v>
      </c>
      <c r="F311" s="13">
        <v>16000</v>
      </c>
      <c r="G311" s="15">
        <f t="shared" si="61"/>
        <v>96000</v>
      </c>
      <c r="I311" s="103"/>
      <c r="J311" s="103"/>
      <c r="K311" s="103">
        <v>6</v>
      </c>
      <c r="L311" s="103"/>
      <c r="M311" s="134"/>
      <c r="N311" s="103"/>
      <c r="O311" s="41"/>
    </row>
    <row r="312" spans="1:15" ht="13.95" customHeight="1">
      <c r="A312" s="16"/>
      <c r="B312" s="12"/>
      <c r="C312" s="75"/>
      <c r="D312" s="93"/>
      <c r="E312" s="94"/>
      <c r="F312" s="13"/>
      <c r="G312" s="15"/>
      <c r="I312" s="103"/>
      <c r="J312" s="103"/>
      <c r="K312" s="103"/>
      <c r="L312" s="103"/>
      <c r="M312" s="134"/>
      <c r="N312" s="103"/>
      <c r="O312" s="41"/>
    </row>
    <row r="313" spans="1:15" ht="36">
      <c r="A313" s="16">
        <v>54</v>
      </c>
      <c r="B313" s="12"/>
      <c r="C313" s="47" t="s">
        <v>286</v>
      </c>
      <c r="D313" s="12" t="s">
        <v>6</v>
      </c>
      <c r="E313" s="3">
        <f>SUM(I313:N313)</f>
        <v>4</v>
      </c>
      <c r="F313" s="13">
        <v>65000</v>
      </c>
      <c r="G313" s="15">
        <f t="shared" si="61"/>
        <v>260000</v>
      </c>
      <c r="I313" s="103"/>
      <c r="J313" s="103"/>
      <c r="K313" s="103">
        <v>4</v>
      </c>
      <c r="L313" s="103"/>
      <c r="M313" s="134"/>
      <c r="N313" s="103"/>
      <c r="O313" s="41"/>
    </row>
    <row r="314" spans="1:15" ht="13.95" customHeight="1">
      <c r="A314" s="16"/>
      <c r="B314" s="12"/>
      <c r="C314" s="75"/>
      <c r="D314" s="93"/>
      <c r="E314" s="3"/>
      <c r="F314" s="13"/>
      <c r="G314" s="15"/>
      <c r="I314" s="103"/>
      <c r="J314" s="103"/>
      <c r="K314" s="103"/>
      <c r="L314" s="103"/>
      <c r="M314" s="134"/>
      <c r="N314" s="103"/>
      <c r="O314" s="41"/>
    </row>
    <row r="315" spans="1:15" ht="13.95" customHeight="1">
      <c r="A315" s="16"/>
      <c r="B315" s="12"/>
      <c r="C315" s="75"/>
      <c r="D315" s="93"/>
      <c r="E315" s="3"/>
      <c r="F315" s="13"/>
      <c r="G315" s="15"/>
      <c r="I315" s="103"/>
      <c r="J315" s="103"/>
      <c r="K315" s="103"/>
      <c r="L315" s="103"/>
      <c r="M315" s="134"/>
      <c r="N315" s="103"/>
      <c r="O315" s="41"/>
    </row>
    <row r="316" spans="1:15" ht="13.95" customHeight="1">
      <c r="A316" s="16"/>
      <c r="B316" s="12"/>
      <c r="C316" s="75"/>
      <c r="D316" s="93"/>
      <c r="E316" s="3"/>
      <c r="F316" s="13"/>
      <c r="G316" s="15"/>
      <c r="I316" s="103"/>
      <c r="J316" s="103"/>
      <c r="K316" s="103"/>
      <c r="L316" s="103"/>
      <c r="M316" s="134"/>
      <c r="N316" s="103"/>
      <c r="O316" s="41"/>
    </row>
    <row r="317" spans="1:15" ht="13.95" customHeight="1">
      <c r="A317" s="16"/>
      <c r="B317" s="12"/>
      <c r="C317" s="75"/>
      <c r="D317" s="93"/>
      <c r="E317" s="3"/>
      <c r="F317" s="13"/>
      <c r="G317" s="15"/>
      <c r="I317" s="103"/>
      <c r="J317" s="103"/>
      <c r="K317" s="103"/>
      <c r="L317" s="103"/>
      <c r="M317" s="134"/>
      <c r="N317" s="103"/>
      <c r="O317" s="41"/>
    </row>
    <row r="318" spans="1:15" ht="13.95" customHeight="1">
      <c r="A318" s="16"/>
      <c r="B318" s="12"/>
      <c r="C318" s="75"/>
      <c r="D318" s="93"/>
      <c r="E318" s="3"/>
      <c r="F318" s="13"/>
      <c r="G318" s="15"/>
      <c r="I318" s="103"/>
      <c r="J318" s="103"/>
      <c r="K318" s="103"/>
      <c r="L318" s="103"/>
      <c r="M318" s="134"/>
      <c r="N318" s="103"/>
      <c r="O318" s="41"/>
    </row>
    <row r="319" spans="1:15" ht="13.95" customHeight="1">
      <c r="A319" s="16"/>
      <c r="B319" s="12"/>
      <c r="C319" s="75"/>
      <c r="D319" s="93"/>
      <c r="E319" s="3"/>
      <c r="F319" s="13"/>
      <c r="G319" s="15"/>
      <c r="I319" s="103"/>
      <c r="J319" s="103"/>
      <c r="K319" s="103"/>
      <c r="L319" s="103"/>
      <c r="M319" s="134"/>
      <c r="N319" s="103"/>
      <c r="O319" s="41"/>
    </row>
    <row r="320" spans="1:15" ht="13.95" customHeight="1">
      <c r="A320" s="16"/>
      <c r="B320" s="12"/>
      <c r="C320" s="75"/>
      <c r="D320" s="93"/>
      <c r="E320" s="3"/>
      <c r="F320" s="13"/>
      <c r="G320" s="15"/>
      <c r="I320" s="103"/>
      <c r="J320" s="103"/>
      <c r="K320" s="103"/>
      <c r="L320" s="103"/>
      <c r="M320" s="134"/>
      <c r="N320" s="103"/>
      <c r="O320" s="41"/>
    </row>
    <row r="321" spans="1:15" ht="13.95" customHeight="1">
      <c r="A321" s="16"/>
      <c r="B321" s="12"/>
      <c r="C321" s="75"/>
      <c r="D321" s="93"/>
      <c r="E321" s="3"/>
      <c r="F321" s="13"/>
      <c r="G321" s="15"/>
      <c r="I321" s="103"/>
      <c r="J321" s="103"/>
      <c r="K321" s="103"/>
      <c r="L321" s="103"/>
      <c r="M321" s="134"/>
      <c r="N321" s="103"/>
      <c r="O321" s="41"/>
    </row>
    <row r="322" spans="1:15" ht="13.95" customHeight="1">
      <c r="A322" s="16"/>
      <c r="B322" s="12"/>
      <c r="C322" s="75"/>
      <c r="D322" s="93"/>
      <c r="E322" s="3"/>
      <c r="F322" s="13"/>
      <c r="G322" s="15"/>
      <c r="I322" s="103"/>
      <c r="J322" s="103"/>
      <c r="K322" s="103"/>
      <c r="L322" s="103"/>
      <c r="M322" s="134"/>
      <c r="N322" s="103"/>
      <c r="O322" s="41"/>
    </row>
    <row r="323" spans="1:15" ht="13.95" customHeight="1">
      <c r="A323" s="16"/>
      <c r="B323" s="12"/>
      <c r="C323" s="75"/>
      <c r="D323" s="93"/>
      <c r="E323" s="3"/>
      <c r="F323" s="13"/>
      <c r="G323" s="15"/>
      <c r="I323" s="103"/>
      <c r="J323" s="103"/>
      <c r="K323" s="103"/>
      <c r="L323" s="103"/>
      <c r="M323" s="134"/>
      <c r="N323" s="103"/>
      <c r="O323" s="41"/>
    </row>
    <row r="324" spans="1:15" ht="13.95" customHeight="1">
      <c r="A324" s="16"/>
      <c r="B324" s="12"/>
      <c r="C324" s="75"/>
      <c r="D324" s="93"/>
      <c r="E324" s="3"/>
      <c r="F324" s="13"/>
      <c r="G324" s="15"/>
      <c r="I324" s="103"/>
      <c r="J324" s="103"/>
      <c r="K324" s="103"/>
      <c r="L324" s="103"/>
      <c r="M324" s="134"/>
      <c r="N324" s="103"/>
      <c r="O324" s="41"/>
    </row>
    <row r="325" spans="1:15" ht="13.95" customHeight="1">
      <c r="A325" s="16"/>
      <c r="B325" s="12"/>
      <c r="C325" s="75"/>
      <c r="D325" s="93"/>
      <c r="E325" s="3"/>
      <c r="F325" s="13"/>
      <c r="G325" s="15"/>
      <c r="I325" s="103"/>
      <c r="J325" s="103"/>
      <c r="K325" s="103"/>
      <c r="L325" s="103"/>
      <c r="M325" s="134"/>
      <c r="N325" s="103"/>
      <c r="O325" s="41"/>
    </row>
    <row r="326" spans="1:15" ht="13.95" customHeight="1">
      <c r="A326" s="16"/>
      <c r="B326" s="12"/>
      <c r="C326" s="75"/>
      <c r="D326" s="93"/>
      <c r="E326" s="3"/>
      <c r="F326" s="13"/>
      <c r="G326" s="15"/>
      <c r="I326" s="103"/>
      <c r="J326" s="103"/>
      <c r="K326" s="103"/>
      <c r="L326" s="103"/>
      <c r="M326" s="134"/>
      <c r="N326" s="103"/>
      <c r="O326" s="41"/>
    </row>
    <row r="327" spans="1:15" ht="13.95" customHeight="1">
      <c r="A327" s="16"/>
      <c r="B327" s="12"/>
      <c r="C327" s="75"/>
      <c r="D327" s="93"/>
      <c r="E327" s="3"/>
      <c r="F327" s="13"/>
      <c r="G327" s="15"/>
      <c r="I327" s="103"/>
      <c r="J327" s="103"/>
      <c r="K327" s="103"/>
      <c r="L327" s="103"/>
      <c r="M327" s="134"/>
      <c r="N327" s="103"/>
      <c r="O327" s="41"/>
    </row>
    <row r="328" spans="1:15" ht="13.95" customHeight="1">
      <c r="A328" s="16"/>
      <c r="B328" s="12"/>
      <c r="C328" s="75"/>
      <c r="D328" s="93"/>
      <c r="E328" s="3"/>
      <c r="F328" s="13"/>
      <c r="G328" s="15"/>
      <c r="I328" s="103"/>
      <c r="J328" s="103"/>
      <c r="K328" s="103"/>
      <c r="L328" s="103"/>
      <c r="M328" s="134"/>
      <c r="N328" s="103"/>
      <c r="O328" s="41"/>
    </row>
    <row r="329" spans="1:15" ht="13.95" customHeight="1">
      <c r="A329" s="16"/>
      <c r="B329" s="12"/>
      <c r="C329" s="75"/>
      <c r="D329" s="93"/>
      <c r="E329" s="3"/>
      <c r="F329" s="13"/>
      <c r="G329" s="15"/>
      <c r="I329" s="103"/>
      <c r="J329" s="103"/>
      <c r="K329" s="103"/>
      <c r="L329" s="103"/>
      <c r="M329" s="134"/>
      <c r="N329" s="103"/>
      <c r="O329" s="41"/>
    </row>
    <row r="330" spans="1:15" ht="13.95" customHeight="1">
      <c r="A330" s="16"/>
      <c r="B330" s="12"/>
      <c r="C330" s="75"/>
      <c r="D330" s="93"/>
      <c r="E330" s="3"/>
      <c r="F330" s="13"/>
      <c r="G330" s="15"/>
      <c r="I330" s="103"/>
      <c r="J330" s="103"/>
      <c r="K330" s="103"/>
      <c r="L330" s="103"/>
      <c r="M330" s="134"/>
      <c r="N330" s="103"/>
      <c r="O330" s="41"/>
    </row>
    <row r="331" spans="1:15" ht="13.95" customHeight="1">
      <c r="A331" s="16"/>
      <c r="B331" s="16"/>
      <c r="C331" s="47"/>
      <c r="D331" s="58"/>
      <c r="E331" s="13"/>
      <c r="F331" s="14"/>
      <c r="G331" s="15"/>
      <c r="I331" s="105"/>
      <c r="J331" s="105"/>
      <c r="K331" s="105"/>
      <c r="L331" s="105"/>
      <c r="M331" s="135"/>
      <c r="N331" s="53"/>
      <c r="O331" s="41"/>
    </row>
    <row r="332" spans="1:15">
      <c r="A332" s="16"/>
      <c r="B332" s="16"/>
      <c r="C332" s="47"/>
      <c r="D332" s="58"/>
      <c r="E332" s="13"/>
      <c r="F332" s="14"/>
      <c r="G332" s="15"/>
    </row>
    <row r="333" spans="1:15">
      <c r="A333" s="16"/>
      <c r="B333" s="16"/>
      <c r="C333" s="47"/>
      <c r="D333" s="58"/>
      <c r="E333" s="13"/>
      <c r="F333" s="14"/>
      <c r="G333" s="15"/>
    </row>
    <row r="334" spans="1:15">
      <c r="A334" s="16"/>
      <c r="B334" s="16"/>
      <c r="C334" s="47"/>
      <c r="D334" s="58"/>
      <c r="E334" s="13"/>
      <c r="F334" s="14"/>
      <c r="G334" s="15"/>
    </row>
    <row r="335" spans="1:15" ht="20.399999999999999" customHeight="1">
      <c r="A335" s="156" t="s">
        <v>161</v>
      </c>
      <c r="B335" s="157"/>
      <c r="C335" s="157"/>
      <c r="D335" s="157"/>
      <c r="E335" s="157"/>
      <c r="F335" s="158"/>
      <c r="G335" s="78">
        <f>SUM(G289:G334)</f>
        <v>1609581</v>
      </c>
    </row>
  </sheetData>
  <mergeCells count="13">
    <mergeCell ref="A152:F152"/>
    <mergeCell ref="A48:F48"/>
    <mergeCell ref="A52:F52"/>
    <mergeCell ref="A96:F96"/>
    <mergeCell ref="A100:F100"/>
    <mergeCell ref="A148:F148"/>
    <mergeCell ref="A335:F335"/>
    <mergeCell ref="A198:F198"/>
    <mergeCell ref="A202:F202"/>
    <mergeCell ref="A242:F242"/>
    <mergeCell ref="A246:F246"/>
    <mergeCell ref="A285:F285"/>
    <mergeCell ref="A289:F289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DBD29-98A9-47E1-92E3-97B61F38EA73}">
  <dimension ref="A1:O335"/>
  <sheetViews>
    <sheetView showGridLines="0" view="pageBreakPreview" topLeftCell="A2" zoomScaleNormal="100" zoomScaleSheetLayoutView="100" workbookViewId="0">
      <selection activeCell="I2" sqref="I1:N1048576"/>
    </sheetView>
  </sheetViews>
  <sheetFormatPr defaultColWidth="13.109375" defaultRowHeight="12"/>
  <cols>
    <col min="1" max="1" width="4.88671875" style="22" customWidth="1"/>
    <col min="2" max="2" width="8.33203125" style="20" customWidth="1"/>
    <col min="3" max="3" width="40.6640625" style="21" customWidth="1"/>
    <col min="4" max="4" width="5.109375" style="22" customWidth="1"/>
    <col min="5" max="5" width="7.6640625" style="22" customWidth="1"/>
    <col min="6" max="6" width="8.6640625" style="23" customWidth="1"/>
    <col min="7" max="7" width="11.6640625" style="24" customWidth="1"/>
    <col min="8" max="8" width="4.33203125" style="6" customWidth="1"/>
    <col min="9" max="12" width="11.6640625" style="22" hidden="1" customWidth="1"/>
    <col min="13" max="13" width="13.109375" style="106" hidden="1" customWidth="1"/>
    <col min="14" max="14" width="0" style="22" hidden="1" customWidth="1"/>
    <col min="15" max="16384" width="13.109375" style="6"/>
  </cols>
  <sheetData>
    <row r="1" spans="1:14" ht="20.399999999999999" hidden="1" customHeight="1">
      <c r="A1" s="19" t="s">
        <v>80</v>
      </c>
    </row>
    <row r="2" spans="1:14" ht="15" customHeight="1">
      <c r="A2" s="142" t="str">
        <f>Summary!A2</f>
        <v>NAFASI WATER - ARNOT WASTE TREATMENT PLANT</v>
      </c>
      <c r="G2" s="25" t="str">
        <f>Summary!C2</f>
        <v>Revision T1</v>
      </c>
    </row>
    <row r="3" spans="1:14" ht="15" customHeight="1">
      <c r="A3" s="19" t="str">
        <f>Summary!A3</f>
        <v>PILING AND CIVIL WORK</v>
      </c>
      <c r="G3" s="26"/>
    </row>
    <row r="4" spans="1:14" ht="15" customHeight="1">
      <c r="A4" s="19" t="s">
        <v>251</v>
      </c>
      <c r="G4" s="143">
        <f>Summary!C4</f>
        <v>45183</v>
      </c>
    </row>
    <row r="5" spans="1:14" ht="15" customHeight="1">
      <c r="A5" s="27"/>
      <c r="B5" s="28"/>
      <c r="C5" s="28"/>
      <c r="E5" s="29"/>
      <c r="G5" s="30"/>
    </row>
    <row r="6" spans="1:14" s="42" customFormat="1" ht="37.200000000000003" customHeight="1">
      <c r="A6" s="44" t="s">
        <v>8</v>
      </c>
      <c r="B6" s="48" t="s">
        <v>9</v>
      </c>
      <c r="C6" s="44" t="s">
        <v>10</v>
      </c>
      <c r="D6" s="48" t="s">
        <v>11</v>
      </c>
      <c r="E6" s="48" t="s">
        <v>59</v>
      </c>
      <c r="F6" s="49" t="s">
        <v>12</v>
      </c>
      <c r="G6" s="49" t="s">
        <v>13</v>
      </c>
      <c r="I6" s="100" t="s">
        <v>265</v>
      </c>
      <c r="J6" s="100"/>
      <c r="K6" s="100"/>
      <c r="L6" s="101"/>
      <c r="M6" s="100"/>
      <c r="N6" s="48"/>
    </row>
    <row r="7" spans="1:14" s="42" customFormat="1" ht="4.95" customHeight="1">
      <c r="A7" s="2"/>
      <c r="B7" s="40"/>
      <c r="C7" s="50"/>
      <c r="D7" s="40"/>
      <c r="E7" s="40"/>
      <c r="F7" s="54"/>
      <c r="G7" s="54"/>
      <c r="I7" s="40"/>
      <c r="J7" s="40"/>
      <c r="K7" s="40"/>
      <c r="L7" s="102"/>
      <c r="M7" s="107"/>
      <c r="N7" s="109"/>
    </row>
    <row r="8" spans="1:14" ht="19.2" customHeight="1">
      <c r="A8" s="1"/>
      <c r="B8" s="2"/>
      <c r="C8" s="11" t="s">
        <v>268</v>
      </c>
      <c r="D8" s="1"/>
      <c r="E8" s="1"/>
      <c r="F8" s="4"/>
      <c r="G8" s="5"/>
      <c r="I8" s="9"/>
      <c r="J8" s="9"/>
      <c r="K8" s="9"/>
      <c r="L8" s="103"/>
      <c r="M8" s="108"/>
      <c r="N8" s="9"/>
    </row>
    <row r="9" spans="1:14" ht="10.95" customHeight="1">
      <c r="A9" s="1"/>
      <c r="B9" s="2"/>
      <c r="C9" s="11"/>
      <c r="D9" s="1"/>
      <c r="E9" s="1"/>
      <c r="F9" s="4"/>
      <c r="G9" s="5"/>
      <c r="I9" s="9"/>
      <c r="J9" s="9"/>
      <c r="K9" s="9"/>
      <c r="L9" s="103"/>
      <c r="M9" s="108"/>
      <c r="N9" s="9"/>
    </row>
    <row r="10" spans="1:14" ht="22.2" customHeight="1">
      <c r="A10" s="1"/>
      <c r="B10" s="1" t="s">
        <v>22</v>
      </c>
      <c r="C10" s="34" t="s">
        <v>69</v>
      </c>
      <c r="D10" s="1"/>
      <c r="E10" s="3" t="str">
        <f>IF(SUM(H10:M10)&gt;0,SUM(H10:M10),"")</f>
        <v/>
      </c>
      <c r="F10" s="4"/>
      <c r="G10" s="5"/>
      <c r="I10" s="9"/>
      <c r="J10" s="9"/>
      <c r="K10" s="9"/>
      <c r="L10" s="103"/>
      <c r="M10" s="108"/>
      <c r="N10" s="9"/>
    </row>
    <row r="11" spans="1:14" ht="13.95" customHeight="1">
      <c r="A11" s="1"/>
      <c r="B11" s="1"/>
      <c r="C11" s="34"/>
      <c r="D11" s="1"/>
      <c r="E11" s="3" t="str">
        <f>IF(SUM(H11:M11)&gt;0,SUM(H11:M11),"")</f>
        <v/>
      </c>
      <c r="F11" s="4"/>
      <c r="G11" s="5"/>
      <c r="I11" s="9"/>
      <c r="J11" s="9"/>
      <c r="K11" s="9"/>
      <c r="L11" s="103"/>
      <c r="M11" s="108"/>
      <c r="N11" s="9"/>
    </row>
    <row r="12" spans="1:14" ht="13.95" customHeight="1">
      <c r="A12" s="1"/>
      <c r="B12" s="1"/>
      <c r="C12" s="32" t="s">
        <v>55</v>
      </c>
      <c r="D12" s="1"/>
      <c r="E12" s="3" t="str">
        <f>IF(SUM(H12:M12)&gt;0,SUM(H12:M12),"")</f>
        <v/>
      </c>
      <c r="F12" s="4"/>
      <c r="G12" s="5"/>
      <c r="I12" s="9"/>
      <c r="J12" s="9"/>
      <c r="K12" s="9"/>
      <c r="L12" s="103"/>
      <c r="M12" s="108"/>
      <c r="N12" s="9"/>
    </row>
    <row r="13" spans="1:14" ht="13.95" customHeight="1">
      <c r="A13" s="1"/>
      <c r="B13" s="1"/>
      <c r="C13" s="32"/>
      <c r="D13" s="1"/>
      <c r="E13" s="3" t="str">
        <f>IF(SUM(H13:M13)&gt;0,SUM(H13:M13),"")</f>
        <v/>
      </c>
      <c r="F13" s="4"/>
      <c r="G13" s="5"/>
      <c r="I13" s="9"/>
      <c r="J13" s="9"/>
      <c r="K13" s="9"/>
      <c r="L13" s="103"/>
      <c r="M13" s="108"/>
      <c r="N13" s="9"/>
    </row>
    <row r="14" spans="1:14" ht="22.2" customHeight="1">
      <c r="A14" s="1">
        <v>1</v>
      </c>
      <c r="B14" s="1"/>
      <c r="C14" s="33" t="s">
        <v>218</v>
      </c>
      <c r="D14" s="1" t="s">
        <v>6</v>
      </c>
      <c r="E14" s="3">
        <f>SUM(I14:N14)</f>
        <v>0</v>
      </c>
      <c r="F14" s="13">
        <v>1150</v>
      </c>
      <c r="G14" s="5">
        <f t="shared" ref="G14" si="0">+E14*F14</f>
        <v>0</v>
      </c>
      <c r="I14" s="137">
        <v>0</v>
      </c>
      <c r="J14" s="137">
        <v>0</v>
      </c>
      <c r="K14" s="137">
        <v>0</v>
      </c>
      <c r="L14" s="137">
        <v>0</v>
      </c>
      <c r="M14" s="137">
        <v>0</v>
      </c>
      <c r="N14" s="137">
        <v>0</v>
      </c>
    </row>
    <row r="15" spans="1:14" ht="13.95" customHeight="1">
      <c r="A15" s="1"/>
      <c r="B15" s="1"/>
      <c r="C15" s="32"/>
      <c r="D15" s="1"/>
      <c r="E15" s="3"/>
      <c r="F15" s="14"/>
      <c r="G15" s="5"/>
      <c r="I15" s="13"/>
      <c r="J15" s="13"/>
      <c r="K15" s="13"/>
      <c r="L15" s="13"/>
      <c r="M15" s="13"/>
      <c r="N15" s="13"/>
    </row>
    <row r="16" spans="1:14" ht="13.95" customHeight="1">
      <c r="A16" s="1"/>
      <c r="B16" s="1"/>
      <c r="C16" s="32" t="s">
        <v>221</v>
      </c>
      <c r="D16" s="1"/>
      <c r="E16" s="3"/>
      <c r="F16" s="14"/>
      <c r="G16" s="5"/>
      <c r="I16" s="13"/>
      <c r="J16" s="13"/>
      <c r="K16" s="13"/>
      <c r="L16" s="13"/>
      <c r="M16" s="13"/>
      <c r="N16" s="13"/>
    </row>
    <row r="17" spans="1:14" ht="34.950000000000003" customHeight="1">
      <c r="A17" s="1"/>
      <c r="B17" s="1"/>
      <c r="C17" s="33" t="s">
        <v>219</v>
      </c>
      <c r="D17" s="1"/>
      <c r="E17" s="3"/>
      <c r="F17" s="14"/>
      <c r="G17" s="5"/>
      <c r="I17" s="13"/>
      <c r="J17" s="13"/>
      <c r="K17" s="13"/>
      <c r="L17" s="13"/>
      <c r="M17" s="13"/>
      <c r="N17" s="13"/>
    </row>
    <row r="18" spans="1:14" ht="10.95" customHeight="1">
      <c r="A18" s="1"/>
      <c r="B18" s="1"/>
      <c r="C18" s="32"/>
      <c r="D18" s="1"/>
      <c r="E18" s="3"/>
      <c r="F18" s="13"/>
      <c r="G18" s="5"/>
      <c r="I18" s="13"/>
      <c r="J18" s="13"/>
      <c r="K18" s="13"/>
      <c r="L18" s="13"/>
      <c r="M18" s="13"/>
      <c r="N18" s="13"/>
    </row>
    <row r="19" spans="1:14" ht="13.2" customHeight="1">
      <c r="A19" s="1">
        <v>2</v>
      </c>
      <c r="B19" s="1"/>
      <c r="C19" s="33" t="s">
        <v>33</v>
      </c>
      <c r="D19" s="1" t="s">
        <v>1</v>
      </c>
      <c r="E19" s="3">
        <f>SUM(I19:N19)</f>
        <v>0</v>
      </c>
      <c r="F19" s="13">
        <v>1850</v>
      </c>
      <c r="G19" s="5">
        <f t="shared" ref="G19" si="1">+E19*F19</f>
        <v>0</v>
      </c>
      <c r="I19" s="138">
        <f t="shared" ref="I19:N19" si="2">I14*10</f>
        <v>0</v>
      </c>
      <c r="J19" s="138">
        <f t="shared" si="2"/>
        <v>0</v>
      </c>
      <c r="K19" s="138">
        <f t="shared" si="2"/>
        <v>0</v>
      </c>
      <c r="L19" s="138">
        <f t="shared" si="2"/>
        <v>0</v>
      </c>
      <c r="M19" s="138">
        <f t="shared" si="2"/>
        <v>0</v>
      </c>
      <c r="N19" s="138">
        <f t="shared" si="2"/>
        <v>0</v>
      </c>
    </row>
    <row r="20" spans="1:14" ht="13.2" customHeight="1">
      <c r="A20" s="1"/>
      <c r="B20" s="1"/>
      <c r="C20" s="32"/>
      <c r="D20" s="1"/>
      <c r="E20" s="3"/>
      <c r="F20" s="13"/>
      <c r="G20" s="5"/>
      <c r="I20" s="138"/>
      <c r="J20" s="138"/>
      <c r="K20" s="138"/>
      <c r="L20" s="138"/>
      <c r="M20" s="138"/>
      <c r="N20" s="138"/>
    </row>
    <row r="21" spans="1:14" ht="13.2" customHeight="1">
      <c r="A21" s="1">
        <v>3</v>
      </c>
      <c r="B21" s="1"/>
      <c r="C21" s="33" t="s">
        <v>34</v>
      </c>
      <c r="D21" s="1" t="s">
        <v>1</v>
      </c>
      <c r="E21" s="3">
        <f>SUM(I21:N21)</f>
        <v>0</v>
      </c>
      <c r="F21" s="13">
        <f>F19</f>
        <v>1850</v>
      </c>
      <c r="G21" s="5">
        <f t="shared" ref="G21" si="3">+E21*F21</f>
        <v>0</v>
      </c>
      <c r="I21" s="138">
        <f t="shared" ref="I21:N21" si="4">I14*5</f>
        <v>0</v>
      </c>
      <c r="J21" s="138">
        <f t="shared" si="4"/>
        <v>0</v>
      </c>
      <c r="K21" s="138">
        <f t="shared" si="4"/>
        <v>0</v>
      </c>
      <c r="L21" s="138">
        <f t="shared" si="4"/>
        <v>0</v>
      </c>
      <c r="M21" s="138">
        <f t="shared" si="4"/>
        <v>0</v>
      </c>
      <c r="N21" s="138">
        <f t="shared" si="4"/>
        <v>0</v>
      </c>
    </row>
    <row r="22" spans="1:14" ht="13.2" customHeight="1">
      <c r="A22" s="1"/>
      <c r="B22" s="1"/>
      <c r="C22" s="32"/>
      <c r="D22" s="1"/>
      <c r="E22" s="3"/>
      <c r="F22" s="13"/>
      <c r="G22" s="5"/>
      <c r="I22" s="138"/>
      <c r="J22" s="138"/>
      <c r="K22" s="138"/>
      <c r="L22" s="138"/>
      <c r="M22" s="138"/>
      <c r="N22" s="138"/>
    </row>
    <row r="23" spans="1:14" ht="13.2" customHeight="1">
      <c r="A23" s="1"/>
      <c r="B23" s="1"/>
      <c r="C23" s="32" t="s">
        <v>76</v>
      </c>
      <c r="D23" s="1"/>
      <c r="E23" s="3"/>
      <c r="F23" s="13"/>
      <c r="G23" s="5"/>
      <c r="I23" s="138"/>
      <c r="J23" s="138"/>
      <c r="K23" s="138"/>
      <c r="L23" s="138"/>
      <c r="M23" s="138"/>
      <c r="N23" s="138"/>
    </row>
    <row r="24" spans="1:14" ht="13.2" customHeight="1">
      <c r="A24" s="1"/>
      <c r="B24" s="1"/>
      <c r="C24" s="32"/>
      <c r="D24" s="1"/>
      <c r="E24" s="3"/>
      <c r="F24" s="13"/>
      <c r="G24" s="5"/>
      <c r="I24" s="138"/>
      <c r="J24" s="138"/>
      <c r="K24" s="138"/>
      <c r="L24" s="138"/>
      <c r="M24" s="138"/>
      <c r="N24" s="138"/>
    </row>
    <row r="25" spans="1:14" ht="13.2" customHeight="1">
      <c r="A25" s="1">
        <v>4</v>
      </c>
      <c r="B25" s="1"/>
      <c r="C25" s="47" t="s">
        <v>77</v>
      </c>
      <c r="D25" s="1" t="s">
        <v>6</v>
      </c>
      <c r="E25" s="3">
        <f>SUM(I25:N25)</f>
        <v>0</v>
      </c>
      <c r="F25" s="13">
        <v>1250</v>
      </c>
      <c r="G25" s="5">
        <f t="shared" ref="G25" si="5">+E25*F25</f>
        <v>0</v>
      </c>
      <c r="I25" s="138">
        <f t="shared" ref="I25:N25" si="6">I14</f>
        <v>0</v>
      </c>
      <c r="J25" s="138">
        <f t="shared" si="6"/>
        <v>0</v>
      </c>
      <c r="K25" s="138">
        <f t="shared" si="6"/>
        <v>0</v>
      </c>
      <c r="L25" s="138">
        <f t="shared" si="6"/>
        <v>0</v>
      </c>
      <c r="M25" s="138">
        <f t="shared" si="6"/>
        <v>0</v>
      </c>
      <c r="N25" s="138">
        <f t="shared" si="6"/>
        <v>0</v>
      </c>
    </row>
    <row r="26" spans="1:14" ht="13.2" customHeight="1">
      <c r="A26" s="1"/>
      <c r="B26" s="1"/>
      <c r="C26" s="32"/>
      <c r="D26" s="1"/>
      <c r="E26" s="3"/>
      <c r="F26" s="13"/>
      <c r="G26" s="5"/>
      <c r="I26" s="138"/>
      <c r="J26" s="138"/>
      <c r="K26" s="138"/>
      <c r="L26" s="138"/>
      <c r="M26" s="138"/>
      <c r="N26" s="138"/>
    </row>
    <row r="27" spans="1:14" ht="12.6" customHeight="1">
      <c r="A27" s="1"/>
      <c r="B27" s="1"/>
      <c r="C27" s="32" t="s">
        <v>71</v>
      </c>
      <c r="D27" s="1"/>
      <c r="E27" s="3"/>
      <c r="F27" s="13"/>
      <c r="G27" s="5"/>
      <c r="I27" s="138"/>
      <c r="J27" s="138"/>
      <c r="K27" s="138"/>
      <c r="L27" s="138"/>
      <c r="M27" s="138"/>
      <c r="N27" s="138"/>
    </row>
    <row r="28" spans="1:14" ht="12.6" customHeight="1">
      <c r="A28" s="1"/>
      <c r="B28" s="1"/>
      <c r="C28" s="33"/>
      <c r="D28" s="1"/>
      <c r="E28" s="3"/>
      <c r="F28" s="13"/>
      <c r="G28" s="5"/>
      <c r="I28" s="138"/>
      <c r="J28" s="138"/>
      <c r="K28" s="138"/>
      <c r="L28" s="138"/>
      <c r="M28" s="138"/>
      <c r="N28" s="138"/>
    </row>
    <row r="29" spans="1:14" ht="12.6" customHeight="1">
      <c r="A29" s="1">
        <v>5</v>
      </c>
      <c r="B29" s="1"/>
      <c r="C29" s="33" t="s">
        <v>223</v>
      </c>
      <c r="D29" s="1" t="s">
        <v>2</v>
      </c>
      <c r="E29" s="3">
        <f>SUM(I29:N29)</f>
        <v>0</v>
      </c>
      <c r="F29" s="13">
        <v>29500</v>
      </c>
      <c r="G29" s="5">
        <f t="shared" ref="G29" si="7">+E29*F29</f>
        <v>0</v>
      </c>
      <c r="I29" s="139">
        <f t="shared" ref="I29:N29" si="8">(I19+I21)*0.00325</f>
        <v>0</v>
      </c>
      <c r="J29" s="139">
        <f t="shared" si="8"/>
        <v>0</v>
      </c>
      <c r="K29" s="139">
        <f t="shared" si="8"/>
        <v>0</v>
      </c>
      <c r="L29" s="139">
        <f t="shared" si="8"/>
        <v>0</v>
      </c>
      <c r="M29" s="139">
        <f t="shared" si="8"/>
        <v>0</v>
      </c>
      <c r="N29" s="139">
        <f t="shared" si="8"/>
        <v>0</v>
      </c>
    </row>
    <row r="30" spans="1:14" ht="12.6" customHeight="1">
      <c r="A30" s="1"/>
      <c r="B30" s="1"/>
      <c r="C30" s="33"/>
      <c r="D30" s="1"/>
      <c r="E30" s="3"/>
      <c r="F30" s="13"/>
      <c r="G30" s="5"/>
      <c r="I30" s="138"/>
      <c r="J30" s="138"/>
      <c r="K30" s="138"/>
      <c r="L30" s="138"/>
      <c r="M30" s="138"/>
      <c r="N30" s="138"/>
    </row>
    <row r="31" spans="1:14" ht="12.6" customHeight="1">
      <c r="A31" s="1">
        <v>6</v>
      </c>
      <c r="B31" s="1"/>
      <c r="C31" s="33" t="s">
        <v>222</v>
      </c>
      <c r="D31" s="1" t="s">
        <v>2</v>
      </c>
      <c r="E31" s="3">
        <f>SUM(I31:AG31)</f>
        <v>0</v>
      </c>
      <c r="F31" s="13">
        <v>28000</v>
      </c>
      <c r="G31" s="5">
        <f t="shared" ref="G31" si="9">+E31*F31</f>
        <v>0</v>
      </c>
      <c r="I31" s="139">
        <f t="shared" ref="I31:N31" si="10">(I19+I21)*0.0215</f>
        <v>0</v>
      </c>
      <c r="J31" s="139">
        <f t="shared" si="10"/>
        <v>0</v>
      </c>
      <c r="K31" s="139">
        <f t="shared" si="10"/>
        <v>0</v>
      </c>
      <c r="L31" s="139">
        <f t="shared" si="10"/>
        <v>0</v>
      </c>
      <c r="M31" s="139">
        <f t="shared" si="10"/>
        <v>0</v>
      </c>
      <c r="N31" s="139">
        <f t="shared" si="10"/>
        <v>0</v>
      </c>
    </row>
    <row r="32" spans="1:14" ht="12.6" customHeight="1">
      <c r="A32" s="1"/>
      <c r="B32" s="1"/>
      <c r="C32" s="33"/>
      <c r="D32" s="1"/>
      <c r="E32" s="3"/>
      <c r="F32" s="13"/>
      <c r="G32" s="5"/>
      <c r="I32" s="138"/>
      <c r="J32" s="138"/>
      <c r="K32" s="138"/>
      <c r="L32" s="138"/>
      <c r="M32" s="138"/>
      <c r="N32" s="138"/>
    </row>
    <row r="33" spans="1:14" ht="12.6" customHeight="1">
      <c r="A33" s="1"/>
      <c r="B33" s="1"/>
      <c r="C33" s="32" t="s">
        <v>56</v>
      </c>
      <c r="D33" s="1"/>
      <c r="E33" s="3"/>
      <c r="F33" s="13"/>
      <c r="G33" s="5"/>
      <c r="I33" s="138"/>
      <c r="J33" s="138"/>
      <c r="K33" s="138"/>
      <c r="L33" s="138"/>
      <c r="M33" s="138"/>
      <c r="N33" s="138"/>
    </row>
    <row r="34" spans="1:14" ht="13.2" customHeight="1">
      <c r="A34" s="1"/>
      <c r="B34" s="1"/>
      <c r="C34" s="33"/>
      <c r="D34" s="1"/>
      <c r="E34" s="3"/>
      <c r="F34" s="13"/>
      <c r="G34" s="5"/>
      <c r="I34" s="138"/>
      <c r="J34" s="138"/>
      <c r="K34" s="138"/>
      <c r="L34" s="138"/>
      <c r="M34" s="138"/>
      <c r="N34" s="138"/>
    </row>
    <row r="35" spans="1:14" ht="13.2" customHeight="1">
      <c r="A35" s="1">
        <v>7</v>
      </c>
      <c r="B35" s="1"/>
      <c r="C35" s="33" t="s">
        <v>220</v>
      </c>
      <c r="D35" s="1"/>
      <c r="E35" s="3"/>
      <c r="F35" s="13"/>
      <c r="G35" s="5"/>
      <c r="I35" s="138"/>
      <c r="J35" s="138"/>
      <c r="K35" s="138"/>
      <c r="L35" s="138"/>
      <c r="M35" s="138"/>
      <c r="N35" s="138"/>
    </row>
    <row r="36" spans="1:14" ht="13.2" customHeight="1">
      <c r="A36" s="1"/>
      <c r="B36" s="1"/>
      <c r="C36" s="1"/>
      <c r="D36" s="1"/>
      <c r="E36" s="3"/>
      <c r="F36" s="13"/>
      <c r="G36" s="5"/>
      <c r="I36" s="138"/>
      <c r="J36" s="138"/>
      <c r="K36" s="138"/>
      <c r="L36" s="138"/>
      <c r="M36" s="138"/>
      <c r="N36" s="138"/>
    </row>
    <row r="37" spans="1:14" ht="13.2" customHeight="1">
      <c r="A37" s="1"/>
      <c r="B37" s="1"/>
      <c r="C37" s="33" t="s">
        <v>38</v>
      </c>
      <c r="D37" s="1" t="s">
        <v>51</v>
      </c>
      <c r="E37" s="3">
        <f>SUM(I37:N37)</f>
        <v>0</v>
      </c>
      <c r="F37" s="13">
        <v>3500</v>
      </c>
      <c r="G37" s="5">
        <f t="shared" ref="G37" si="11">+E37*F37</f>
        <v>0</v>
      </c>
      <c r="I37" s="139">
        <f t="shared" ref="I37:N37" si="12">((I19+I21)*0.292)+(I14*0.75)</f>
        <v>0</v>
      </c>
      <c r="J37" s="139">
        <f t="shared" si="12"/>
        <v>0</v>
      </c>
      <c r="K37" s="139">
        <f t="shared" si="12"/>
        <v>0</v>
      </c>
      <c r="L37" s="139">
        <f t="shared" si="12"/>
        <v>0</v>
      </c>
      <c r="M37" s="139">
        <f t="shared" si="12"/>
        <v>0</v>
      </c>
      <c r="N37" s="139">
        <f t="shared" si="12"/>
        <v>0</v>
      </c>
    </row>
    <row r="38" spans="1:14" ht="13.2" customHeight="1">
      <c r="A38" s="1"/>
      <c r="B38" s="1"/>
      <c r="C38" s="33"/>
      <c r="D38" s="1"/>
      <c r="E38" s="3"/>
      <c r="F38" s="13"/>
      <c r="G38" s="5"/>
      <c r="I38" s="138"/>
      <c r="J38" s="138"/>
      <c r="K38" s="138"/>
      <c r="L38" s="138"/>
      <c r="M38" s="138"/>
      <c r="N38" s="138"/>
    </row>
    <row r="39" spans="1:14" ht="13.2" customHeight="1">
      <c r="A39" s="1"/>
      <c r="B39" s="1" t="s">
        <v>23</v>
      </c>
      <c r="C39" s="32" t="s">
        <v>35</v>
      </c>
      <c r="D39" s="1"/>
      <c r="E39" s="3"/>
      <c r="F39" s="13"/>
      <c r="G39" s="5"/>
      <c r="I39" s="138"/>
      <c r="J39" s="138"/>
      <c r="K39" s="138"/>
      <c r="L39" s="138"/>
      <c r="M39" s="138"/>
      <c r="N39" s="138"/>
    </row>
    <row r="40" spans="1:14" ht="13.2" customHeight="1">
      <c r="A40" s="1"/>
      <c r="B40" s="1"/>
      <c r="C40" s="32"/>
      <c r="D40" s="1"/>
      <c r="E40" s="3"/>
      <c r="F40" s="13"/>
      <c r="G40" s="5"/>
      <c r="I40" s="138"/>
      <c r="J40" s="138"/>
      <c r="K40" s="138"/>
      <c r="L40" s="138"/>
      <c r="M40" s="138"/>
      <c r="N40" s="138"/>
    </row>
    <row r="41" spans="1:14" ht="13.2" customHeight="1">
      <c r="A41" s="1">
        <v>8</v>
      </c>
      <c r="B41" s="1"/>
      <c r="C41" s="33" t="s">
        <v>259</v>
      </c>
      <c r="D41" s="1" t="s">
        <v>6</v>
      </c>
      <c r="E41" s="3">
        <f>SUM(I41:N41)</f>
        <v>0</v>
      </c>
      <c r="F41" s="13">
        <v>875</v>
      </c>
      <c r="G41" s="5">
        <f t="shared" ref="G41" si="13">+E41*F41</f>
        <v>0</v>
      </c>
      <c r="I41" s="138">
        <f t="shared" ref="I41:N41" si="14">I14</f>
        <v>0</v>
      </c>
      <c r="J41" s="138">
        <f t="shared" si="14"/>
        <v>0</v>
      </c>
      <c r="K41" s="138">
        <f t="shared" si="14"/>
        <v>0</v>
      </c>
      <c r="L41" s="138">
        <f t="shared" si="14"/>
        <v>0</v>
      </c>
      <c r="M41" s="138">
        <f t="shared" si="14"/>
        <v>0</v>
      </c>
      <c r="N41" s="138">
        <f t="shared" si="14"/>
        <v>0</v>
      </c>
    </row>
    <row r="42" spans="1:14" ht="13.2" customHeight="1">
      <c r="A42" s="1"/>
      <c r="B42" s="2"/>
      <c r="C42" s="11"/>
      <c r="D42" s="1"/>
      <c r="E42" s="1"/>
      <c r="F42" s="13"/>
      <c r="G42" s="5"/>
      <c r="I42" s="1"/>
      <c r="J42" s="1"/>
      <c r="K42" s="1"/>
      <c r="L42" s="103"/>
      <c r="M42" s="108"/>
      <c r="N42" s="9"/>
    </row>
    <row r="43" spans="1:14" ht="24">
      <c r="A43" s="1"/>
      <c r="B43" s="2" t="s">
        <v>100</v>
      </c>
      <c r="C43" s="31" t="s">
        <v>79</v>
      </c>
      <c r="D43" s="1"/>
      <c r="E43" s="3"/>
      <c r="F43" s="14"/>
      <c r="G43" s="5"/>
      <c r="I43" s="3"/>
      <c r="J43" s="3"/>
      <c r="K43" s="3"/>
      <c r="L43" s="103"/>
      <c r="M43" s="108"/>
      <c r="N43" s="9"/>
    </row>
    <row r="44" spans="1:14" ht="13.95" customHeight="1">
      <c r="A44" s="1"/>
      <c r="B44" s="2"/>
      <c r="C44" s="8" t="s">
        <v>81</v>
      </c>
      <c r="D44" s="1"/>
      <c r="E44" s="3"/>
      <c r="F44" s="14"/>
      <c r="G44" s="5"/>
      <c r="I44" s="3"/>
      <c r="J44" s="3"/>
      <c r="K44" s="3"/>
      <c r="L44" s="103"/>
      <c r="M44" s="108"/>
      <c r="N44" s="9"/>
    </row>
    <row r="45" spans="1:14" ht="50.4" customHeight="1">
      <c r="A45" s="16">
        <v>9</v>
      </c>
      <c r="B45" s="33" t="s">
        <v>162</v>
      </c>
      <c r="C45" s="33" t="s">
        <v>163</v>
      </c>
      <c r="D45" s="9" t="s">
        <v>60</v>
      </c>
      <c r="E45" s="3">
        <f>SUM(I45:N45)</f>
        <v>0</v>
      </c>
      <c r="F45" s="13">
        <v>225</v>
      </c>
      <c r="G45" s="5">
        <f t="shared" ref="G45" si="15">+E45*F45</f>
        <v>0</v>
      </c>
      <c r="I45" s="9"/>
      <c r="J45" s="9"/>
      <c r="K45" s="9"/>
      <c r="L45" s="103"/>
      <c r="M45" s="108"/>
      <c r="N45" s="9"/>
    </row>
    <row r="46" spans="1:14">
      <c r="A46" s="16"/>
      <c r="B46" s="33"/>
      <c r="D46" s="9"/>
      <c r="E46" s="3"/>
      <c r="F46" s="13"/>
      <c r="G46" s="5"/>
      <c r="I46" s="9"/>
      <c r="J46" s="9"/>
      <c r="K46" s="9"/>
      <c r="L46" s="103"/>
      <c r="M46" s="108"/>
      <c r="N46" s="9"/>
    </row>
    <row r="47" spans="1:14" ht="13.95" customHeight="1">
      <c r="A47" s="1"/>
      <c r="B47" s="2"/>
      <c r="C47" s="8"/>
      <c r="D47" s="9"/>
      <c r="E47" s="3"/>
      <c r="F47" s="4"/>
      <c r="G47" s="5"/>
      <c r="I47" s="9"/>
      <c r="J47" s="9"/>
      <c r="K47" s="9"/>
      <c r="L47" s="103"/>
      <c r="M47" s="108"/>
      <c r="N47" s="9"/>
    </row>
    <row r="48" spans="1:14" ht="20.100000000000001" customHeight="1">
      <c r="A48" s="149" t="s">
        <v>66</v>
      </c>
      <c r="B48" s="150"/>
      <c r="C48" s="150"/>
      <c r="D48" s="150"/>
      <c r="E48" s="150"/>
      <c r="F48" s="151"/>
      <c r="G48" s="116">
        <f>SUM(G8:G47)</f>
        <v>0</v>
      </c>
      <c r="I48" s="9"/>
      <c r="J48" s="9"/>
      <c r="K48" s="9"/>
      <c r="L48" s="103"/>
      <c r="M48" s="108"/>
      <c r="N48" s="9"/>
    </row>
    <row r="49" spans="1:14">
      <c r="A49" s="39"/>
      <c r="B49" s="39"/>
      <c r="C49" s="39"/>
      <c r="D49" s="39"/>
      <c r="E49" s="39"/>
      <c r="F49" s="39"/>
      <c r="G49" s="113"/>
      <c r="I49" s="9"/>
      <c r="J49" s="9"/>
      <c r="K49" s="9"/>
      <c r="L49" s="103"/>
      <c r="M49" s="108"/>
      <c r="N49" s="9"/>
    </row>
    <row r="50" spans="1:14" ht="13.95" customHeight="1">
      <c r="A50" s="39"/>
      <c r="B50" s="39"/>
      <c r="C50" s="39"/>
      <c r="D50" s="39"/>
      <c r="E50" s="39"/>
      <c r="F50" s="39"/>
      <c r="G50" s="113"/>
      <c r="I50" s="9"/>
      <c r="J50" s="9"/>
      <c r="K50" s="9"/>
      <c r="L50" s="103"/>
      <c r="M50" s="108"/>
      <c r="N50" s="9"/>
    </row>
    <row r="51" spans="1:14" ht="24" customHeight="1">
      <c r="A51" s="44" t="s">
        <v>8</v>
      </c>
      <c r="B51" s="48" t="s">
        <v>9</v>
      </c>
      <c r="C51" s="44" t="s">
        <v>10</v>
      </c>
      <c r="D51" s="48" t="s">
        <v>11</v>
      </c>
      <c r="E51" s="48" t="s">
        <v>59</v>
      </c>
      <c r="F51" s="49" t="s">
        <v>12</v>
      </c>
      <c r="G51" s="111" t="s">
        <v>13</v>
      </c>
      <c r="I51" s="9"/>
      <c r="J51" s="9"/>
      <c r="K51" s="9"/>
      <c r="L51" s="103"/>
      <c r="M51" s="108"/>
      <c r="N51" s="9"/>
    </row>
    <row r="52" spans="1:14" ht="20.100000000000001" customHeight="1">
      <c r="A52" s="149" t="s">
        <v>67</v>
      </c>
      <c r="B52" s="150"/>
      <c r="C52" s="150"/>
      <c r="D52" s="150"/>
      <c r="E52" s="150"/>
      <c r="F52" s="151"/>
      <c r="G52" s="116">
        <f>+G48</f>
        <v>0</v>
      </c>
      <c r="I52" s="9"/>
      <c r="J52" s="9"/>
      <c r="K52" s="9"/>
      <c r="L52" s="103"/>
      <c r="M52" s="108"/>
      <c r="N52" s="9"/>
    </row>
    <row r="53" spans="1:14" ht="9" customHeight="1">
      <c r="A53" s="1"/>
      <c r="B53" s="2"/>
      <c r="C53" s="8"/>
      <c r="D53" s="9"/>
      <c r="E53" s="3"/>
      <c r="F53" s="4"/>
      <c r="G53" s="5"/>
      <c r="I53" s="3"/>
      <c r="J53" s="3"/>
      <c r="K53" s="3"/>
      <c r="L53" s="103"/>
      <c r="M53" s="108"/>
      <c r="N53" s="9"/>
    </row>
    <row r="54" spans="1:14" ht="13.95" customHeight="1">
      <c r="A54" s="1"/>
      <c r="B54" s="2" t="s">
        <v>173</v>
      </c>
      <c r="C54" s="31" t="s">
        <v>79</v>
      </c>
      <c r="D54" s="1"/>
      <c r="E54" s="3"/>
      <c r="F54" s="4"/>
      <c r="G54" s="5"/>
      <c r="I54" s="3"/>
      <c r="J54" s="3"/>
      <c r="K54" s="3"/>
      <c r="L54" s="103"/>
      <c r="M54" s="108"/>
      <c r="N54" s="9"/>
    </row>
    <row r="55" spans="1:14" ht="13.95" customHeight="1">
      <c r="A55" s="1"/>
      <c r="B55" s="2"/>
      <c r="C55" s="8" t="s">
        <v>81</v>
      </c>
      <c r="D55" s="1"/>
      <c r="E55" s="3"/>
      <c r="F55" s="4"/>
      <c r="G55" s="5"/>
      <c r="I55" s="3"/>
      <c r="J55" s="3"/>
      <c r="K55" s="3"/>
      <c r="L55" s="103"/>
      <c r="M55" s="108"/>
      <c r="N55" s="9"/>
    </row>
    <row r="56" spans="1:14" ht="13.95" customHeight="1">
      <c r="A56" s="1"/>
      <c r="B56" s="1" t="s">
        <v>87</v>
      </c>
      <c r="C56" s="37" t="s">
        <v>0</v>
      </c>
      <c r="D56" s="1"/>
      <c r="E56" s="3"/>
      <c r="F56" s="4"/>
      <c r="G56" s="5"/>
      <c r="I56" s="3"/>
      <c r="J56" s="3"/>
      <c r="K56" s="3"/>
      <c r="L56" s="103"/>
      <c r="M56" s="108"/>
      <c r="N56" s="9"/>
    </row>
    <row r="57" spans="1:14" ht="13.95" customHeight="1">
      <c r="A57" s="1"/>
      <c r="B57" s="1"/>
      <c r="C57" s="33"/>
      <c r="D57" s="1"/>
      <c r="E57" s="3"/>
      <c r="F57" s="4"/>
      <c r="G57" s="5"/>
      <c r="I57" s="3"/>
      <c r="J57" s="3"/>
      <c r="K57" s="3"/>
      <c r="L57" s="103"/>
      <c r="M57" s="108"/>
      <c r="N57" s="9"/>
    </row>
    <row r="58" spans="1:14" ht="22.95" customHeight="1">
      <c r="A58" s="1"/>
      <c r="B58" s="1"/>
      <c r="C58" s="33" t="s">
        <v>61</v>
      </c>
      <c r="D58" s="1"/>
      <c r="E58" s="3"/>
      <c r="F58" s="4"/>
      <c r="G58" s="5"/>
      <c r="I58" s="3"/>
      <c r="J58" s="3"/>
      <c r="K58" s="3"/>
      <c r="L58" s="103"/>
      <c r="M58" s="108"/>
      <c r="N58" s="9"/>
    </row>
    <row r="59" spans="1:14" ht="13.95" customHeight="1">
      <c r="A59" s="1"/>
      <c r="B59" s="1"/>
      <c r="C59" s="6"/>
      <c r="D59" s="1"/>
      <c r="E59" s="3"/>
      <c r="F59" s="4"/>
      <c r="G59" s="5"/>
      <c r="I59" s="3"/>
      <c r="J59" s="3"/>
      <c r="K59" s="3"/>
      <c r="L59" s="103"/>
      <c r="M59" s="108"/>
      <c r="N59" s="9"/>
    </row>
    <row r="60" spans="1:14" ht="13.95" customHeight="1">
      <c r="A60" s="1">
        <v>10</v>
      </c>
      <c r="B60" s="1"/>
      <c r="C60" s="33" t="s">
        <v>14</v>
      </c>
      <c r="D60" s="1" t="s">
        <v>51</v>
      </c>
      <c r="E60" s="3">
        <f>SUM(I60:N60)</f>
        <v>17</v>
      </c>
      <c r="F60" s="13">
        <v>175</v>
      </c>
      <c r="G60" s="5">
        <f t="shared" ref="G60" si="16">+E60*F60</f>
        <v>2975</v>
      </c>
      <c r="I60" s="3">
        <v>17</v>
      </c>
      <c r="J60" s="3"/>
      <c r="K60" s="3"/>
      <c r="L60" s="103"/>
      <c r="M60" s="108"/>
      <c r="N60" s="9"/>
    </row>
    <row r="61" spans="1:14" ht="9.75" customHeight="1">
      <c r="A61" s="1"/>
      <c r="B61" s="1"/>
      <c r="C61" s="33"/>
      <c r="D61" s="1"/>
      <c r="E61" s="3"/>
      <c r="F61" s="13"/>
      <c r="G61" s="5"/>
      <c r="I61" s="3"/>
      <c r="J61" s="3"/>
      <c r="K61" s="3"/>
      <c r="L61" s="103"/>
      <c r="M61" s="108"/>
      <c r="N61" s="9"/>
    </row>
    <row r="62" spans="1:14" ht="13.95" customHeight="1">
      <c r="A62" s="1"/>
      <c r="B62" s="1"/>
      <c r="C62" s="37" t="s">
        <v>111</v>
      </c>
      <c r="D62" s="1"/>
      <c r="E62" s="3"/>
      <c r="F62" s="13"/>
      <c r="G62" s="5"/>
      <c r="I62" s="3"/>
      <c r="J62" s="3"/>
      <c r="K62" s="3"/>
      <c r="L62" s="103"/>
      <c r="M62" s="108"/>
      <c r="N62" s="9"/>
    </row>
    <row r="63" spans="1:14" ht="9" customHeight="1">
      <c r="A63" s="1"/>
      <c r="B63" s="1"/>
      <c r="C63" s="33"/>
      <c r="D63" s="1"/>
      <c r="E63" s="3"/>
      <c r="F63" s="13"/>
      <c r="G63" s="5"/>
      <c r="I63" s="3"/>
      <c r="J63" s="3"/>
      <c r="K63" s="3"/>
      <c r="L63" s="103"/>
      <c r="M63" s="108"/>
      <c r="N63" s="9"/>
    </row>
    <row r="64" spans="1:14" ht="28.95" customHeight="1">
      <c r="A64" s="1">
        <v>11</v>
      </c>
      <c r="B64" s="1"/>
      <c r="C64" s="33" t="s">
        <v>54</v>
      </c>
      <c r="D64" s="1" t="s">
        <v>51</v>
      </c>
      <c r="E64" s="3">
        <f>SUM(I64:N64)</f>
        <v>0</v>
      </c>
      <c r="F64" s="13">
        <v>950</v>
      </c>
      <c r="G64" s="5">
        <f t="shared" ref="G64" si="17">+E64*F64</f>
        <v>0</v>
      </c>
      <c r="I64" s="3"/>
      <c r="J64" s="3"/>
      <c r="K64" s="3"/>
      <c r="L64" s="103"/>
      <c r="M64" s="108"/>
      <c r="N64" s="9"/>
    </row>
    <row r="65" spans="1:14" ht="13.95" customHeight="1">
      <c r="A65" s="1"/>
      <c r="B65" s="1"/>
      <c r="C65" s="33"/>
      <c r="D65" s="1"/>
      <c r="E65" s="3"/>
      <c r="F65" s="13"/>
      <c r="G65" s="5"/>
      <c r="I65" s="3"/>
      <c r="J65" s="3"/>
      <c r="K65" s="3"/>
      <c r="L65" s="103"/>
      <c r="M65" s="108"/>
      <c r="N65" s="9"/>
    </row>
    <row r="66" spans="1:14" ht="22.2" customHeight="1">
      <c r="A66" s="1"/>
      <c r="B66" s="1"/>
      <c r="C66" s="33" t="s">
        <v>57</v>
      </c>
      <c r="D66" s="1"/>
      <c r="E66" s="3"/>
      <c r="F66" s="13"/>
      <c r="G66" s="5"/>
      <c r="I66" s="3"/>
      <c r="J66" s="3"/>
      <c r="K66" s="3"/>
      <c r="L66" s="103"/>
      <c r="M66" s="108"/>
      <c r="N66" s="9"/>
    </row>
    <row r="67" spans="1:14" ht="13.95" customHeight="1">
      <c r="A67" s="1"/>
      <c r="B67" s="2"/>
      <c r="C67" s="8"/>
      <c r="D67" s="9"/>
      <c r="E67" s="3"/>
      <c r="F67" s="13"/>
      <c r="G67" s="5"/>
      <c r="I67" s="3"/>
      <c r="J67" s="3"/>
      <c r="K67" s="3"/>
      <c r="L67" s="103"/>
      <c r="M67" s="108"/>
      <c r="N67" s="9"/>
    </row>
    <row r="68" spans="1:14" ht="13.95" customHeight="1">
      <c r="A68" s="1"/>
      <c r="B68" s="1" t="s">
        <v>83</v>
      </c>
      <c r="C68" s="10" t="s">
        <v>25</v>
      </c>
      <c r="D68" s="9"/>
      <c r="E68" s="3"/>
      <c r="F68" s="13"/>
      <c r="G68" s="5"/>
      <c r="I68" s="3"/>
      <c r="J68" s="3"/>
      <c r="K68" s="3"/>
      <c r="L68" s="103"/>
      <c r="M68" s="108"/>
      <c r="N68" s="9"/>
    </row>
    <row r="69" spans="1:14" ht="13.95" customHeight="1">
      <c r="A69" s="1"/>
      <c r="B69" s="2"/>
      <c r="C69" s="8"/>
      <c r="D69" s="9"/>
      <c r="E69" s="3"/>
      <c r="F69" s="13"/>
      <c r="G69" s="5"/>
      <c r="I69" s="3"/>
      <c r="J69" s="3"/>
      <c r="K69" s="3"/>
      <c r="L69" s="103"/>
      <c r="M69" s="108"/>
      <c r="N69" s="9"/>
    </row>
    <row r="70" spans="1:14" ht="23.4" customHeight="1">
      <c r="A70" s="1"/>
      <c r="B70" s="2"/>
      <c r="C70" s="8" t="s">
        <v>109</v>
      </c>
      <c r="D70" s="9"/>
      <c r="E70" s="3"/>
      <c r="F70" s="13"/>
      <c r="G70" s="5"/>
      <c r="I70" s="3"/>
      <c r="J70" s="3"/>
      <c r="K70" s="3"/>
      <c r="L70" s="103"/>
      <c r="M70" s="108"/>
      <c r="N70" s="9"/>
    </row>
    <row r="71" spans="1:14" ht="13.95" customHeight="1">
      <c r="A71" s="1"/>
      <c r="B71" s="2"/>
      <c r="C71" s="8"/>
      <c r="D71" s="9"/>
      <c r="E71" s="3"/>
      <c r="F71" s="13"/>
      <c r="G71" s="5"/>
      <c r="I71" s="3"/>
      <c r="J71" s="3"/>
      <c r="K71" s="3"/>
      <c r="L71" s="103"/>
      <c r="M71" s="108"/>
      <c r="N71" s="9"/>
    </row>
    <row r="72" spans="1:14" ht="33.6" customHeight="1">
      <c r="A72" s="1">
        <v>12</v>
      </c>
      <c r="B72" s="2"/>
      <c r="C72" s="8" t="s">
        <v>108</v>
      </c>
      <c r="D72" s="9" t="s">
        <v>51</v>
      </c>
      <c r="E72" s="3">
        <f>SUM(I72:N72)</f>
        <v>8</v>
      </c>
      <c r="F72" s="13">
        <v>725</v>
      </c>
      <c r="G72" s="5">
        <f t="shared" ref="G72" si="18">+E72*F72</f>
        <v>5800</v>
      </c>
      <c r="I72" s="3">
        <v>8</v>
      </c>
      <c r="J72" s="3"/>
      <c r="K72" s="3"/>
      <c r="L72" s="103"/>
      <c r="M72" s="108"/>
      <c r="N72" s="9"/>
    </row>
    <row r="73" spans="1:14" ht="13.95" customHeight="1">
      <c r="A73" s="1"/>
      <c r="B73" s="2"/>
      <c r="C73" s="8"/>
      <c r="D73" s="9"/>
      <c r="E73" s="3"/>
      <c r="F73" s="13"/>
      <c r="G73" s="5"/>
      <c r="I73" s="3"/>
      <c r="J73" s="3"/>
      <c r="K73" s="3"/>
      <c r="L73" s="103"/>
      <c r="M73" s="108"/>
      <c r="N73" s="9"/>
    </row>
    <row r="74" spans="1:14" ht="21.6" customHeight="1">
      <c r="A74" s="1"/>
      <c r="B74" s="2" t="s">
        <v>101</v>
      </c>
      <c r="C74" s="34" t="s">
        <v>155</v>
      </c>
      <c r="D74" s="1"/>
      <c r="E74" s="3"/>
      <c r="F74" s="13"/>
      <c r="G74" s="5"/>
      <c r="I74" s="3"/>
      <c r="J74" s="3"/>
      <c r="K74" s="3"/>
      <c r="L74" s="103"/>
      <c r="M74" s="108"/>
      <c r="N74" s="9"/>
    </row>
    <row r="75" spans="1:14" ht="13.95" customHeight="1">
      <c r="A75" s="1"/>
      <c r="B75" s="1"/>
      <c r="C75" s="33"/>
      <c r="D75" s="1"/>
      <c r="E75" s="3"/>
      <c r="F75" s="13"/>
      <c r="G75" s="5"/>
      <c r="I75" s="3"/>
      <c r="J75" s="3"/>
      <c r="K75" s="3"/>
      <c r="L75" s="103"/>
      <c r="M75" s="108"/>
      <c r="N75" s="9"/>
    </row>
    <row r="76" spans="1:14" ht="13.95" customHeight="1">
      <c r="A76" s="1"/>
      <c r="B76" s="1" t="s">
        <v>88</v>
      </c>
      <c r="C76" s="32" t="s">
        <v>15</v>
      </c>
      <c r="D76" s="1"/>
      <c r="E76" s="3"/>
      <c r="F76" s="13"/>
      <c r="G76" s="5"/>
      <c r="I76" s="3"/>
      <c r="J76" s="3"/>
      <c r="K76" s="3"/>
      <c r="L76" s="103"/>
      <c r="M76" s="108"/>
      <c r="N76" s="9"/>
    </row>
    <row r="77" spans="1:14" ht="13.95" customHeight="1">
      <c r="A77" s="1"/>
      <c r="B77" s="1"/>
      <c r="C77" s="33"/>
      <c r="D77" s="1"/>
      <c r="E77" s="3"/>
      <c r="F77" s="13"/>
      <c r="G77" s="5"/>
      <c r="I77" s="3"/>
      <c r="J77" s="3"/>
      <c r="K77" s="3"/>
      <c r="L77" s="103"/>
      <c r="M77" s="108"/>
      <c r="N77" s="9"/>
    </row>
    <row r="78" spans="1:14" ht="13.95" customHeight="1">
      <c r="A78" s="1"/>
      <c r="B78" s="1" t="s">
        <v>82</v>
      </c>
      <c r="C78" s="34" t="s">
        <v>16</v>
      </c>
      <c r="D78" s="1"/>
      <c r="E78" s="3"/>
      <c r="F78" s="13"/>
      <c r="G78" s="5"/>
      <c r="I78" s="3"/>
      <c r="J78" s="3"/>
      <c r="K78" s="3"/>
      <c r="L78" s="103"/>
      <c r="M78" s="108"/>
      <c r="N78" s="9"/>
    </row>
    <row r="79" spans="1:14" ht="13.95" customHeight="1">
      <c r="A79" s="1"/>
      <c r="B79" s="1"/>
      <c r="C79" s="33"/>
      <c r="D79" s="1"/>
      <c r="E79" s="3"/>
      <c r="F79" s="13"/>
      <c r="G79" s="5"/>
      <c r="I79" s="3"/>
      <c r="J79" s="3"/>
      <c r="K79" s="3"/>
      <c r="L79" s="103"/>
      <c r="M79" s="108"/>
      <c r="N79" s="9"/>
    </row>
    <row r="80" spans="1:14" ht="13.95" customHeight="1">
      <c r="A80" s="1"/>
      <c r="B80" s="1"/>
      <c r="C80" s="37" t="s">
        <v>17</v>
      </c>
      <c r="D80" s="1"/>
      <c r="E80" s="3"/>
      <c r="F80" s="13"/>
      <c r="G80" s="5"/>
      <c r="I80" s="3"/>
      <c r="J80" s="3"/>
      <c r="K80" s="3"/>
      <c r="L80" s="103"/>
      <c r="M80" s="108"/>
      <c r="N80" s="9"/>
    </row>
    <row r="81" spans="1:14" ht="13.95" customHeight="1">
      <c r="A81" s="1"/>
      <c r="B81" s="1"/>
      <c r="C81" s="37"/>
      <c r="D81" s="1"/>
      <c r="E81" s="3"/>
      <c r="F81" s="13"/>
      <c r="G81" s="5"/>
      <c r="I81" s="3"/>
      <c r="J81" s="3"/>
      <c r="K81" s="3"/>
      <c r="L81" s="103"/>
      <c r="M81" s="108"/>
      <c r="N81" s="9"/>
    </row>
    <row r="82" spans="1:14" ht="13.95" customHeight="1">
      <c r="A82" s="1">
        <v>13</v>
      </c>
      <c r="B82" s="1"/>
      <c r="C82" s="33" t="s">
        <v>28</v>
      </c>
      <c r="D82" s="1" t="s">
        <v>60</v>
      </c>
      <c r="E82" s="3">
        <f>SUM(I82:N82)</f>
        <v>18</v>
      </c>
      <c r="F82" s="13">
        <v>475</v>
      </c>
      <c r="G82" s="5">
        <f t="shared" ref="G82" si="19">+E82*F82</f>
        <v>8550</v>
      </c>
      <c r="I82" s="3">
        <v>18</v>
      </c>
      <c r="J82" s="3"/>
      <c r="K82" s="3"/>
      <c r="L82" s="103"/>
      <c r="M82" s="108"/>
      <c r="N82" s="9"/>
    </row>
    <row r="83" spans="1:14" ht="13.95" customHeight="1">
      <c r="A83" s="1"/>
      <c r="B83" s="1"/>
      <c r="C83" s="33"/>
      <c r="D83" s="1"/>
      <c r="E83" s="3"/>
      <c r="F83" s="13"/>
      <c r="G83" s="5"/>
      <c r="I83" s="3"/>
      <c r="J83" s="3"/>
      <c r="K83" s="3"/>
      <c r="L83" s="103"/>
      <c r="M83" s="108"/>
      <c r="N83" s="9"/>
    </row>
    <row r="84" spans="1:14" ht="19.95" customHeight="1">
      <c r="A84" s="1"/>
      <c r="B84" s="1" t="s">
        <v>86</v>
      </c>
      <c r="C84" s="34" t="s">
        <v>26</v>
      </c>
      <c r="D84" s="1"/>
      <c r="E84" s="3"/>
      <c r="F84" s="13"/>
      <c r="G84" s="5"/>
      <c r="I84" s="3"/>
      <c r="J84" s="3"/>
      <c r="K84" s="3"/>
      <c r="L84" s="103"/>
      <c r="M84" s="108"/>
      <c r="N84" s="9"/>
    </row>
    <row r="85" spans="1:14" ht="13.95" customHeight="1">
      <c r="A85" s="1"/>
      <c r="B85" s="1"/>
      <c r="C85" s="33"/>
      <c r="D85" s="1"/>
      <c r="E85" s="3"/>
      <c r="F85" s="13"/>
      <c r="G85" s="5"/>
      <c r="I85" s="3"/>
      <c r="J85" s="3"/>
      <c r="K85" s="3"/>
      <c r="L85" s="103"/>
      <c r="M85" s="108"/>
      <c r="N85" s="9"/>
    </row>
    <row r="86" spans="1:14" ht="13.95" customHeight="1">
      <c r="A86" s="1"/>
      <c r="B86" s="1"/>
      <c r="C86" s="37" t="s">
        <v>17</v>
      </c>
      <c r="D86" s="1"/>
      <c r="E86" s="3"/>
      <c r="F86" s="13"/>
      <c r="G86" s="5"/>
      <c r="I86" s="3"/>
      <c r="J86" s="3"/>
      <c r="K86" s="3"/>
      <c r="L86" s="103"/>
      <c r="M86" s="108"/>
      <c r="N86" s="9"/>
    </row>
    <row r="87" spans="1:14" ht="13.95" customHeight="1">
      <c r="A87" s="1"/>
      <c r="B87" s="1"/>
      <c r="C87" s="33"/>
      <c r="D87" s="1"/>
      <c r="E87" s="3"/>
      <c r="F87" s="13"/>
      <c r="G87" s="5"/>
      <c r="I87" s="3"/>
      <c r="J87" s="3"/>
      <c r="K87" s="3"/>
      <c r="L87" s="103"/>
      <c r="M87" s="108"/>
      <c r="N87" s="9"/>
    </row>
    <row r="88" spans="1:14" ht="13.95" customHeight="1">
      <c r="A88" s="1">
        <v>14</v>
      </c>
      <c r="B88" s="1"/>
      <c r="C88" s="33" t="s">
        <v>201</v>
      </c>
      <c r="D88" s="1" t="s">
        <v>60</v>
      </c>
      <c r="E88" s="3">
        <f>SUM(I88:N88)</f>
        <v>14</v>
      </c>
      <c r="F88" s="13">
        <v>750</v>
      </c>
      <c r="G88" s="5">
        <f t="shared" ref="G88" si="20">+E88*F88</f>
        <v>10500</v>
      </c>
      <c r="I88" s="3">
        <v>14</v>
      </c>
      <c r="J88" s="3"/>
      <c r="K88" s="3"/>
      <c r="L88" s="103"/>
      <c r="M88" s="108"/>
      <c r="N88" s="9"/>
    </row>
    <row r="89" spans="1:14" ht="13.95" customHeight="1">
      <c r="A89" s="1"/>
      <c r="B89" s="1"/>
      <c r="C89" s="33"/>
      <c r="D89" s="1"/>
      <c r="E89" s="3"/>
      <c r="F89" s="13"/>
      <c r="G89" s="5"/>
      <c r="I89" s="3"/>
      <c r="J89" s="3"/>
      <c r="K89" s="3"/>
      <c r="L89" s="103"/>
      <c r="M89" s="108"/>
      <c r="N89" s="9"/>
    </row>
    <row r="90" spans="1:14" ht="13.95" customHeight="1">
      <c r="A90" s="1">
        <v>15</v>
      </c>
      <c r="B90" s="1"/>
      <c r="C90" s="33" t="s">
        <v>224</v>
      </c>
      <c r="D90" s="1" t="s">
        <v>60</v>
      </c>
      <c r="E90" s="3">
        <f>SUM(I90:N90)</f>
        <v>0</v>
      </c>
      <c r="F90" s="13">
        <v>635</v>
      </c>
      <c r="G90" s="5">
        <f t="shared" ref="G90" si="21">+E90*F90</f>
        <v>0</v>
      </c>
      <c r="I90" s="3"/>
      <c r="J90" s="3"/>
      <c r="K90" s="3"/>
      <c r="L90" s="103"/>
      <c r="M90" s="108"/>
      <c r="N90" s="9"/>
    </row>
    <row r="91" spans="1:14" ht="13.95" customHeight="1">
      <c r="A91" s="1"/>
      <c r="B91" s="1"/>
      <c r="C91" s="33"/>
      <c r="D91" s="1"/>
      <c r="E91" s="3"/>
      <c r="F91" s="13"/>
      <c r="G91" s="5"/>
      <c r="I91" s="3"/>
      <c r="J91" s="3"/>
      <c r="K91" s="3"/>
      <c r="L91" s="103"/>
      <c r="M91" s="108"/>
      <c r="N91" s="9"/>
    </row>
    <row r="92" spans="1:14" ht="13.95" customHeight="1">
      <c r="A92" s="1">
        <v>16</v>
      </c>
      <c r="B92" s="1"/>
      <c r="C92" s="33" t="s">
        <v>39</v>
      </c>
      <c r="D92" s="1" t="s">
        <v>60</v>
      </c>
      <c r="E92" s="3">
        <f>SUM(I92:N92)</f>
        <v>0</v>
      </c>
      <c r="F92" s="13">
        <v>850</v>
      </c>
      <c r="G92" s="5">
        <f t="shared" ref="G92" si="22">+E92*F92</f>
        <v>0</v>
      </c>
      <c r="I92" s="3"/>
      <c r="J92" s="3"/>
      <c r="K92" s="3"/>
      <c r="L92" s="103"/>
      <c r="M92" s="108"/>
      <c r="N92" s="9"/>
    </row>
    <row r="93" spans="1:14" ht="13.95" customHeight="1">
      <c r="A93" s="1"/>
      <c r="B93" s="1"/>
      <c r="C93" s="33"/>
      <c r="D93" s="1"/>
      <c r="E93" s="3"/>
      <c r="F93" s="13"/>
      <c r="G93" s="5"/>
      <c r="I93" s="3"/>
      <c r="J93" s="3"/>
      <c r="K93" s="3"/>
      <c r="L93" s="103"/>
      <c r="M93" s="108"/>
      <c r="N93" s="9"/>
    </row>
    <row r="94" spans="1:14" ht="13.95" customHeight="1">
      <c r="A94" s="1">
        <v>17</v>
      </c>
      <c r="B94" s="1"/>
      <c r="C94" s="33" t="s">
        <v>247</v>
      </c>
      <c r="D94" s="1" t="s">
        <v>60</v>
      </c>
      <c r="E94" s="3">
        <f>SUM(I94:N94)</f>
        <v>0</v>
      </c>
      <c r="F94" s="13">
        <v>775</v>
      </c>
      <c r="G94" s="5">
        <f t="shared" ref="G94" si="23">+E94*F94</f>
        <v>0</v>
      </c>
      <c r="I94" s="3"/>
      <c r="J94" s="3"/>
      <c r="K94" s="3"/>
      <c r="L94" s="103"/>
      <c r="M94" s="108"/>
      <c r="N94" s="9"/>
    </row>
    <row r="95" spans="1:14" ht="13.95" customHeight="1">
      <c r="A95" s="1"/>
      <c r="B95" s="1"/>
      <c r="C95" s="33"/>
      <c r="D95" s="1"/>
      <c r="E95" s="3"/>
      <c r="F95" s="4"/>
      <c r="G95" s="5"/>
      <c r="I95" s="3"/>
      <c r="J95" s="3"/>
      <c r="K95" s="3"/>
      <c r="L95" s="103"/>
      <c r="M95" s="108"/>
      <c r="N95" s="9"/>
    </row>
    <row r="96" spans="1:14" ht="20.100000000000001" customHeight="1">
      <c r="A96" s="149" t="s">
        <v>66</v>
      </c>
      <c r="B96" s="150"/>
      <c r="C96" s="150"/>
      <c r="D96" s="150"/>
      <c r="E96" s="150"/>
      <c r="F96" s="151"/>
      <c r="G96" s="116">
        <f>SUM(G52:G95)</f>
        <v>27825</v>
      </c>
      <c r="I96" s="9"/>
      <c r="J96" s="9"/>
      <c r="K96" s="9"/>
      <c r="L96" s="103"/>
      <c r="M96" s="108"/>
      <c r="N96" s="9"/>
    </row>
    <row r="97" spans="1:14" ht="13.95" customHeight="1">
      <c r="A97" s="39"/>
      <c r="B97" s="39"/>
      <c r="C97" s="39"/>
      <c r="D97" s="39"/>
      <c r="E97" s="39"/>
      <c r="F97" s="39"/>
      <c r="G97" s="113"/>
      <c r="I97" s="9"/>
      <c r="J97" s="9"/>
      <c r="K97" s="9"/>
      <c r="L97" s="103"/>
      <c r="M97" s="108"/>
      <c r="N97" s="9"/>
    </row>
    <row r="98" spans="1:14" ht="13.95" customHeight="1">
      <c r="A98" s="39"/>
      <c r="B98" s="39"/>
      <c r="C98" s="39"/>
      <c r="D98" s="39"/>
      <c r="E98" s="39"/>
      <c r="F98" s="39"/>
      <c r="G98" s="113"/>
      <c r="I98" s="9"/>
      <c r="J98" s="9"/>
      <c r="K98" s="9"/>
      <c r="L98" s="103"/>
      <c r="M98" s="108"/>
      <c r="N98" s="9"/>
    </row>
    <row r="99" spans="1:14" ht="22.2" customHeight="1">
      <c r="A99" s="44" t="s">
        <v>8</v>
      </c>
      <c r="B99" s="48" t="s">
        <v>9</v>
      </c>
      <c r="C99" s="44" t="s">
        <v>10</v>
      </c>
      <c r="D99" s="48" t="s">
        <v>11</v>
      </c>
      <c r="E99" s="48" t="s">
        <v>59</v>
      </c>
      <c r="F99" s="49" t="s">
        <v>12</v>
      </c>
      <c r="G99" s="111" t="s">
        <v>13</v>
      </c>
      <c r="I99" s="9"/>
      <c r="J99" s="9"/>
      <c r="K99" s="9"/>
      <c r="L99" s="103"/>
      <c r="M99" s="108"/>
      <c r="N99" s="9"/>
    </row>
    <row r="100" spans="1:14" ht="20.100000000000001" customHeight="1">
      <c r="A100" s="149" t="s">
        <v>67</v>
      </c>
      <c r="B100" s="150"/>
      <c r="C100" s="150"/>
      <c r="D100" s="150"/>
      <c r="E100" s="150"/>
      <c r="F100" s="151"/>
      <c r="G100" s="116">
        <f>+G96</f>
        <v>27825</v>
      </c>
      <c r="I100" s="9"/>
      <c r="J100" s="9"/>
      <c r="K100" s="9"/>
      <c r="L100" s="103"/>
      <c r="M100" s="108"/>
      <c r="N100" s="9"/>
    </row>
    <row r="101" spans="1:14" ht="13.95" customHeight="1">
      <c r="A101" s="1"/>
      <c r="B101" s="1"/>
      <c r="C101" s="33"/>
      <c r="D101" s="1"/>
      <c r="E101" s="3"/>
      <c r="F101" s="13"/>
      <c r="G101" s="5"/>
      <c r="I101" s="9"/>
      <c r="J101" s="9"/>
      <c r="K101" s="9"/>
      <c r="L101" s="103"/>
      <c r="M101" s="108"/>
      <c r="N101" s="9"/>
    </row>
    <row r="102" spans="1:14" ht="13.95" customHeight="1">
      <c r="A102" s="1"/>
      <c r="B102" s="1"/>
      <c r="C102" s="37" t="s">
        <v>248</v>
      </c>
      <c r="D102" s="1"/>
      <c r="E102" s="3"/>
      <c r="F102" s="13"/>
      <c r="G102" s="5"/>
      <c r="I102" s="3"/>
      <c r="J102" s="3"/>
      <c r="K102" s="3"/>
      <c r="L102" s="103"/>
      <c r="M102" s="108"/>
      <c r="N102" s="9"/>
    </row>
    <row r="103" spans="1:14" ht="13.95" customHeight="1">
      <c r="A103" s="1"/>
      <c r="B103" s="1"/>
      <c r="C103" s="33"/>
      <c r="D103" s="1"/>
      <c r="E103" s="3"/>
      <c r="F103" s="13"/>
      <c r="G103" s="5"/>
      <c r="I103" s="3"/>
      <c r="J103" s="3"/>
      <c r="K103" s="3"/>
      <c r="L103" s="103"/>
      <c r="M103" s="108"/>
      <c r="N103" s="9"/>
    </row>
    <row r="104" spans="1:14" ht="13.95" customHeight="1">
      <c r="A104" s="1">
        <v>18</v>
      </c>
      <c r="B104" s="1"/>
      <c r="C104" s="33" t="s">
        <v>249</v>
      </c>
      <c r="D104" s="1" t="s">
        <v>60</v>
      </c>
      <c r="E104" s="3">
        <f>SUM(I104:N104)</f>
        <v>0</v>
      </c>
      <c r="F104" s="13">
        <v>1150</v>
      </c>
      <c r="G104" s="5">
        <f t="shared" ref="G104" si="24">+E104*F104</f>
        <v>0</v>
      </c>
      <c r="I104" s="3"/>
      <c r="J104" s="3"/>
      <c r="K104" s="3"/>
      <c r="L104" s="103"/>
      <c r="M104" s="108"/>
      <c r="N104" s="9"/>
    </row>
    <row r="105" spans="1:14" ht="13.95" customHeight="1">
      <c r="A105" s="1"/>
      <c r="B105" s="1"/>
      <c r="C105" s="33"/>
      <c r="D105" s="1"/>
      <c r="E105" s="3"/>
      <c r="F105" s="13"/>
      <c r="G105" s="5"/>
      <c r="I105" s="9"/>
      <c r="J105" s="9"/>
      <c r="K105" s="9"/>
      <c r="L105" s="103"/>
      <c r="M105" s="108"/>
      <c r="N105" s="9"/>
    </row>
    <row r="106" spans="1:14" ht="13.95" customHeight="1">
      <c r="A106" s="1"/>
      <c r="B106" s="1" t="s">
        <v>89</v>
      </c>
      <c r="C106" s="32" t="s">
        <v>156</v>
      </c>
      <c r="D106" s="1"/>
      <c r="E106" s="3"/>
      <c r="F106" s="4"/>
      <c r="G106" s="5"/>
      <c r="I106" s="9"/>
      <c r="J106" s="9"/>
      <c r="K106" s="9"/>
      <c r="L106" s="103"/>
      <c r="M106" s="108"/>
      <c r="N106" s="9"/>
    </row>
    <row r="107" spans="1:14" ht="13.95" customHeight="1">
      <c r="A107" s="1"/>
      <c r="B107" s="1"/>
      <c r="C107" s="33"/>
      <c r="D107" s="1"/>
      <c r="E107" s="3"/>
      <c r="F107" s="4"/>
      <c r="G107" s="5"/>
      <c r="I107" s="9"/>
      <c r="J107" s="9"/>
      <c r="K107" s="9"/>
      <c r="L107" s="103"/>
      <c r="M107" s="108"/>
      <c r="N107" s="9"/>
    </row>
    <row r="108" spans="1:14" ht="13.95" customHeight="1">
      <c r="A108" s="1">
        <v>19</v>
      </c>
      <c r="B108" s="1"/>
      <c r="C108" s="47" t="s">
        <v>244</v>
      </c>
      <c r="D108" s="1" t="s">
        <v>1</v>
      </c>
      <c r="E108" s="3">
        <f>SUM(I108:N108)</f>
        <v>0</v>
      </c>
      <c r="F108" s="3">
        <v>135</v>
      </c>
      <c r="G108" s="5">
        <f t="shared" ref="G108" si="25">+E108*F108</f>
        <v>0</v>
      </c>
      <c r="I108" s="3"/>
      <c r="J108" s="3"/>
      <c r="K108" s="3"/>
      <c r="L108" s="103"/>
      <c r="M108" s="108"/>
      <c r="N108" s="9"/>
    </row>
    <row r="109" spans="1:14" ht="13.95" customHeight="1">
      <c r="A109" s="1"/>
      <c r="B109" s="1"/>
      <c r="C109" s="33"/>
      <c r="D109" s="1"/>
      <c r="E109" s="3"/>
      <c r="F109" s="4"/>
      <c r="G109" s="5"/>
      <c r="I109" s="3"/>
      <c r="J109" s="3"/>
      <c r="K109" s="3"/>
      <c r="L109" s="103"/>
      <c r="M109" s="108"/>
      <c r="N109" s="9"/>
    </row>
    <row r="110" spans="1:14" ht="13.95" customHeight="1">
      <c r="A110" s="1"/>
      <c r="B110" s="1" t="s">
        <v>90</v>
      </c>
      <c r="C110" s="32" t="s">
        <v>36</v>
      </c>
      <c r="D110" s="1"/>
      <c r="E110" s="3"/>
      <c r="F110" s="4"/>
      <c r="G110" s="5"/>
      <c r="I110" s="3"/>
      <c r="J110" s="3"/>
      <c r="K110" s="3"/>
      <c r="L110" s="103"/>
      <c r="M110" s="108"/>
      <c r="N110" s="9"/>
    </row>
    <row r="111" spans="1:14" ht="13.95" customHeight="1">
      <c r="A111" s="1"/>
      <c r="B111" s="1"/>
      <c r="C111" s="33"/>
      <c r="D111" s="1"/>
      <c r="E111" s="3"/>
      <c r="F111" s="4"/>
      <c r="G111" s="5"/>
      <c r="I111" s="3"/>
      <c r="J111" s="3"/>
      <c r="K111" s="3"/>
      <c r="L111" s="103"/>
      <c r="M111" s="108"/>
      <c r="N111" s="9"/>
    </row>
    <row r="112" spans="1:14" ht="24" customHeight="1">
      <c r="A112" s="1"/>
      <c r="B112" s="1"/>
      <c r="C112" s="33" t="s">
        <v>225</v>
      </c>
      <c r="D112" s="1"/>
      <c r="E112" s="3"/>
      <c r="F112" s="4"/>
      <c r="G112" s="5"/>
      <c r="I112" s="3"/>
      <c r="J112" s="3"/>
      <c r="K112" s="3"/>
      <c r="L112" s="103"/>
      <c r="M112" s="108"/>
      <c r="N112" s="9"/>
    </row>
    <row r="113" spans="1:14" ht="13.95" customHeight="1">
      <c r="A113" s="1"/>
      <c r="B113" s="1"/>
      <c r="C113" s="33"/>
      <c r="D113" s="1"/>
      <c r="E113" s="3"/>
      <c r="F113" s="4"/>
      <c r="G113" s="5"/>
      <c r="I113" s="3"/>
      <c r="J113" s="3"/>
      <c r="K113" s="3"/>
      <c r="L113" s="103"/>
      <c r="M113" s="108"/>
      <c r="N113" s="9"/>
    </row>
    <row r="114" spans="1:14" ht="13.95" customHeight="1">
      <c r="A114" s="1">
        <v>20</v>
      </c>
      <c r="B114" s="1"/>
      <c r="C114" s="33" t="s">
        <v>37</v>
      </c>
      <c r="D114" s="1" t="s">
        <v>6</v>
      </c>
      <c r="E114" s="3">
        <f>SUM(I114:N114)</f>
        <v>0</v>
      </c>
      <c r="F114" s="3">
        <v>75</v>
      </c>
      <c r="G114" s="5">
        <f t="shared" ref="G114" si="26">+E114*F114</f>
        <v>0</v>
      </c>
      <c r="I114" s="3"/>
      <c r="J114" s="3"/>
      <c r="K114" s="3"/>
      <c r="L114" s="103"/>
      <c r="M114" s="108"/>
      <c r="N114" s="9"/>
    </row>
    <row r="115" spans="1:14" ht="13.95" customHeight="1">
      <c r="A115" s="1"/>
      <c r="B115" s="1"/>
      <c r="C115" s="33"/>
      <c r="D115" s="1"/>
      <c r="E115" s="3"/>
      <c r="F115" s="3"/>
      <c r="G115" s="5"/>
      <c r="I115" s="3"/>
      <c r="J115" s="3"/>
      <c r="K115" s="3"/>
      <c r="L115" s="103"/>
      <c r="M115" s="108"/>
      <c r="N115" s="9"/>
    </row>
    <row r="116" spans="1:14" ht="13.95" customHeight="1">
      <c r="A116" s="1"/>
      <c r="B116" s="1"/>
      <c r="C116" s="33" t="s">
        <v>226</v>
      </c>
      <c r="D116" s="1" t="s">
        <v>6</v>
      </c>
      <c r="E116" s="3">
        <f>SUM(I116:N116)</f>
        <v>0</v>
      </c>
      <c r="F116" s="3">
        <v>275</v>
      </c>
      <c r="G116" s="5">
        <f t="shared" ref="G116" si="27">+E116*F116</f>
        <v>0</v>
      </c>
      <c r="I116" s="3"/>
      <c r="J116" s="3"/>
      <c r="K116" s="3"/>
      <c r="L116" s="103"/>
      <c r="M116" s="108"/>
      <c r="N116" s="9"/>
    </row>
    <row r="117" spans="1:14" ht="13.95" customHeight="1">
      <c r="A117" s="1"/>
      <c r="B117" s="1"/>
      <c r="D117" s="1"/>
      <c r="E117" s="3"/>
      <c r="F117" s="4"/>
      <c r="G117" s="5"/>
      <c r="I117" s="3"/>
      <c r="J117" s="3"/>
      <c r="K117" s="3"/>
      <c r="L117" s="103"/>
      <c r="M117" s="108"/>
      <c r="N117" s="9"/>
    </row>
    <row r="118" spans="1:14" ht="13.95" customHeight="1">
      <c r="A118" s="1"/>
      <c r="B118" s="1"/>
      <c r="C118" s="42" t="s">
        <v>104</v>
      </c>
      <c r="D118" s="1"/>
      <c r="E118" s="3"/>
      <c r="F118" s="4"/>
      <c r="G118" s="5"/>
      <c r="I118" s="3"/>
      <c r="J118" s="3"/>
      <c r="K118" s="3"/>
      <c r="L118" s="103"/>
      <c r="M118" s="108"/>
      <c r="N118" s="9"/>
    </row>
    <row r="119" spans="1:14" ht="13.95" customHeight="1">
      <c r="A119" s="1"/>
      <c r="B119" s="1"/>
      <c r="C119" s="6"/>
      <c r="D119" s="1"/>
      <c r="E119" s="3"/>
      <c r="F119" s="4"/>
      <c r="G119" s="5"/>
      <c r="I119" s="3"/>
      <c r="J119" s="3"/>
      <c r="K119" s="3"/>
      <c r="L119" s="103"/>
      <c r="M119" s="108"/>
      <c r="N119" s="9"/>
    </row>
    <row r="120" spans="1:14" ht="13.95" customHeight="1">
      <c r="A120" s="1">
        <f>A114+1</f>
        <v>21</v>
      </c>
      <c r="B120" s="1"/>
      <c r="C120" s="6" t="s">
        <v>106</v>
      </c>
      <c r="D120" s="1" t="s">
        <v>1</v>
      </c>
      <c r="E120" s="3">
        <f>SUM(I120:AG120)</f>
        <v>60</v>
      </c>
      <c r="F120" s="3">
        <v>36</v>
      </c>
      <c r="G120" s="5">
        <f t="shared" ref="G120" si="28">+E120*F120</f>
        <v>2160</v>
      </c>
      <c r="I120" s="3">
        <v>60</v>
      </c>
      <c r="J120" s="3"/>
      <c r="K120" s="3"/>
      <c r="L120" s="103"/>
      <c r="M120" s="108"/>
      <c r="N120" s="9"/>
    </row>
    <row r="121" spans="1:14" ht="13.95" customHeight="1">
      <c r="A121" s="1"/>
      <c r="B121" s="1"/>
      <c r="C121" s="6"/>
      <c r="D121" s="1"/>
      <c r="E121" s="3"/>
      <c r="F121" s="4"/>
      <c r="G121" s="5"/>
      <c r="I121" s="3"/>
      <c r="J121" s="3"/>
      <c r="K121" s="3"/>
      <c r="L121" s="103"/>
      <c r="M121" s="108"/>
      <c r="N121" s="9"/>
    </row>
    <row r="122" spans="1:14" ht="13.95" customHeight="1">
      <c r="A122" s="1"/>
      <c r="B122" s="2" t="s">
        <v>91</v>
      </c>
      <c r="C122" s="34" t="s">
        <v>18</v>
      </c>
      <c r="D122" s="1"/>
      <c r="E122" s="3"/>
      <c r="F122" s="4"/>
      <c r="G122" s="5"/>
      <c r="I122" s="3"/>
      <c r="J122" s="3"/>
      <c r="K122" s="3"/>
      <c r="L122" s="103"/>
      <c r="M122" s="108"/>
      <c r="N122" s="9"/>
    </row>
    <row r="123" spans="1:14" ht="13.95" customHeight="1">
      <c r="A123" s="1"/>
      <c r="B123" s="1"/>
      <c r="C123" s="33"/>
      <c r="D123" s="1"/>
      <c r="E123" s="3"/>
      <c r="F123" s="4"/>
      <c r="G123" s="5"/>
      <c r="I123" s="3"/>
      <c r="J123" s="3"/>
      <c r="K123" s="3"/>
      <c r="L123" s="103"/>
      <c r="M123" s="108"/>
      <c r="N123" s="9"/>
    </row>
    <row r="124" spans="1:14" ht="13.95" customHeight="1">
      <c r="A124" s="1"/>
      <c r="B124" s="1" t="s">
        <v>84</v>
      </c>
      <c r="C124" s="32" t="s">
        <v>19</v>
      </c>
      <c r="D124" s="1"/>
      <c r="E124" s="3"/>
      <c r="F124" s="4"/>
      <c r="G124" s="5"/>
      <c r="I124" s="3"/>
      <c r="J124" s="3"/>
      <c r="K124" s="3"/>
      <c r="L124" s="103"/>
      <c r="M124" s="108"/>
      <c r="N124" s="9"/>
    </row>
    <row r="125" spans="1:14" ht="13.95" customHeight="1">
      <c r="A125" s="1"/>
      <c r="B125" s="1"/>
      <c r="C125" s="33"/>
      <c r="D125" s="1"/>
      <c r="E125" s="3"/>
      <c r="F125" s="4"/>
      <c r="G125" s="5"/>
      <c r="I125" s="3"/>
      <c r="J125" s="3"/>
      <c r="K125" s="3"/>
      <c r="L125" s="103"/>
      <c r="M125" s="108"/>
      <c r="N125" s="9"/>
    </row>
    <row r="126" spans="1:14" ht="13.95" customHeight="1">
      <c r="A126" s="1">
        <f>A120+1</f>
        <v>22</v>
      </c>
      <c r="B126" s="1"/>
      <c r="C126" s="33" t="s">
        <v>72</v>
      </c>
      <c r="D126" s="1" t="s">
        <v>2</v>
      </c>
      <c r="E126" s="3">
        <f>SUM(I126:N126)</f>
        <v>1.4</v>
      </c>
      <c r="F126" s="3">
        <v>25750</v>
      </c>
      <c r="G126" s="5">
        <f t="shared" ref="G126" si="29">+E126*F126</f>
        <v>36050</v>
      </c>
      <c r="I126" s="4">
        <v>1.4</v>
      </c>
      <c r="J126" s="4"/>
      <c r="K126" s="4"/>
      <c r="L126" s="103"/>
      <c r="M126" s="108"/>
      <c r="N126" s="9"/>
    </row>
    <row r="127" spans="1:14" ht="13.95" customHeight="1">
      <c r="A127" s="1"/>
      <c r="B127" s="1"/>
      <c r="C127" s="33"/>
      <c r="D127" s="1"/>
      <c r="E127" s="3"/>
      <c r="F127" s="4"/>
      <c r="G127" s="5"/>
      <c r="I127" s="3"/>
      <c r="J127" s="3"/>
      <c r="K127" s="3"/>
      <c r="L127" s="103"/>
      <c r="M127" s="108"/>
      <c r="N127" s="9"/>
    </row>
    <row r="128" spans="1:14" ht="13.95" customHeight="1">
      <c r="A128" s="1"/>
      <c r="B128" s="1" t="s">
        <v>92</v>
      </c>
      <c r="C128" s="32" t="s">
        <v>3</v>
      </c>
      <c r="D128" s="1"/>
      <c r="E128" s="3"/>
      <c r="F128" s="4"/>
      <c r="G128" s="5"/>
      <c r="I128" s="3"/>
      <c r="J128" s="3"/>
      <c r="K128" s="3"/>
      <c r="L128" s="103"/>
      <c r="M128" s="108"/>
      <c r="N128" s="9"/>
    </row>
    <row r="129" spans="1:14" ht="13.95" customHeight="1">
      <c r="A129" s="1"/>
      <c r="B129" s="1"/>
      <c r="C129" s="33"/>
      <c r="D129" s="1"/>
      <c r="E129" s="3"/>
      <c r="F129" s="4"/>
      <c r="G129" s="5"/>
      <c r="I129" s="3"/>
      <c r="J129" s="3"/>
      <c r="K129" s="3"/>
      <c r="L129" s="103"/>
      <c r="M129" s="108"/>
      <c r="N129" s="9"/>
    </row>
    <row r="130" spans="1:14" ht="13.95" customHeight="1">
      <c r="A130" s="1">
        <f>A126+1</f>
        <v>23</v>
      </c>
      <c r="B130" s="1"/>
      <c r="C130" s="33" t="s">
        <v>73</v>
      </c>
      <c r="D130" s="1" t="s">
        <v>60</v>
      </c>
      <c r="E130" s="3">
        <f>SUM(I130:N130)</f>
        <v>0</v>
      </c>
      <c r="F130" s="13">
        <v>345</v>
      </c>
      <c r="G130" s="5">
        <f t="shared" ref="G130" si="30">+E130*F130</f>
        <v>0</v>
      </c>
      <c r="I130" s="3"/>
      <c r="J130" s="3"/>
      <c r="K130" s="3"/>
      <c r="L130" s="103"/>
      <c r="M130" s="108"/>
      <c r="N130" s="9"/>
    </row>
    <row r="131" spans="1:14" ht="13.95" customHeight="1">
      <c r="A131" s="1"/>
      <c r="B131" s="1"/>
      <c r="C131" s="33"/>
      <c r="D131" s="1"/>
      <c r="E131" s="3"/>
      <c r="F131" s="4"/>
      <c r="G131" s="5"/>
      <c r="I131" s="3"/>
      <c r="J131" s="3"/>
      <c r="K131" s="3"/>
      <c r="L131" s="103"/>
      <c r="M131" s="108"/>
      <c r="N131" s="9"/>
    </row>
    <row r="132" spans="1:14" ht="13.95" customHeight="1">
      <c r="A132" s="1"/>
      <c r="B132" s="36" t="s">
        <v>93</v>
      </c>
      <c r="C132" s="34" t="s">
        <v>4</v>
      </c>
      <c r="D132" s="1"/>
      <c r="E132" s="3"/>
      <c r="F132" s="4"/>
      <c r="G132" s="5"/>
      <c r="I132" s="3"/>
      <c r="J132" s="3"/>
      <c r="K132" s="3"/>
      <c r="L132" s="103"/>
      <c r="M132" s="108"/>
      <c r="N132" s="9"/>
    </row>
    <row r="133" spans="1:14" ht="13.95" customHeight="1">
      <c r="A133" s="1"/>
      <c r="C133" s="33"/>
      <c r="D133" s="1"/>
      <c r="E133" s="3"/>
      <c r="F133" s="4"/>
      <c r="G133" s="5"/>
      <c r="I133" s="3"/>
      <c r="J133" s="3"/>
      <c r="K133" s="3"/>
      <c r="L133" s="103"/>
      <c r="M133" s="108"/>
      <c r="N133" s="9"/>
    </row>
    <row r="134" spans="1:14" ht="13.95" customHeight="1">
      <c r="A134" s="1"/>
      <c r="B134" s="20" t="s">
        <v>94</v>
      </c>
      <c r="C134" s="32" t="s">
        <v>5</v>
      </c>
      <c r="D134" s="1"/>
      <c r="E134" s="3"/>
      <c r="F134" s="4"/>
      <c r="G134" s="5"/>
      <c r="I134" s="3"/>
      <c r="J134" s="3"/>
      <c r="K134" s="3"/>
      <c r="L134" s="103"/>
      <c r="M134" s="108"/>
      <c r="N134" s="9"/>
    </row>
    <row r="135" spans="1:14" ht="13.95" customHeight="1">
      <c r="A135" s="1"/>
      <c r="C135" s="33"/>
      <c r="D135" s="1"/>
      <c r="E135" s="3"/>
      <c r="F135" s="4"/>
      <c r="G135" s="5"/>
      <c r="I135" s="3"/>
      <c r="J135" s="3"/>
      <c r="K135" s="3"/>
      <c r="L135" s="103"/>
      <c r="M135" s="108"/>
      <c r="N135" s="9"/>
    </row>
    <row r="136" spans="1:14" ht="13.95" customHeight="1">
      <c r="A136" s="1"/>
      <c r="C136" s="33" t="s">
        <v>74</v>
      </c>
      <c r="D136" s="1"/>
      <c r="E136" s="3"/>
      <c r="F136" s="4"/>
      <c r="G136" s="5"/>
      <c r="I136" s="3"/>
      <c r="J136" s="3"/>
      <c r="K136" s="3"/>
      <c r="L136" s="103"/>
      <c r="M136" s="108"/>
      <c r="N136" s="9"/>
    </row>
    <row r="137" spans="1:14" ht="13.95" customHeight="1">
      <c r="A137" s="1"/>
      <c r="C137" s="33"/>
      <c r="D137" s="1"/>
      <c r="E137" s="3"/>
      <c r="F137" s="4"/>
      <c r="G137" s="5"/>
      <c r="I137" s="3"/>
      <c r="J137" s="3"/>
      <c r="K137" s="3"/>
      <c r="L137" s="103"/>
      <c r="M137" s="108"/>
      <c r="N137" s="9"/>
    </row>
    <row r="138" spans="1:14" ht="13.95" customHeight="1">
      <c r="A138" s="1">
        <f>A130+1</f>
        <v>24</v>
      </c>
      <c r="C138" s="33" t="s">
        <v>24</v>
      </c>
      <c r="D138" s="1" t="s">
        <v>60</v>
      </c>
      <c r="E138" s="3">
        <f>SUM(I138:N138)</f>
        <v>30</v>
      </c>
      <c r="F138" s="3">
        <v>175</v>
      </c>
      <c r="G138" s="5">
        <f t="shared" ref="G138" si="31">+E138*F138</f>
        <v>5250</v>
      </c>
      <c r="I138" s="3">
        <v>30</v>
      </c>
      <c r="J138" s="3"/>
      <c r="K138" s="3"/>
      <c r="L138" s="103"/>
      <c r="M138" s="108"/>
      <c r="N138" s="9"/>
    </row>
    <row r="139" spans="1:14" ht="13.95" customHeight="1">
      <c r="A139" s="1"/>
      <c r="C139" s="33"/>
      <c r="D139" s="1"/>
      <c r="E139" s="3"/>
      <c r="F139" s="3"/>
      <c r="G139" s="5"/>
      <c r="I139" s="3"/>
      <c r="J139" s="3"/>
      <c r="K139" s="3"/>
      <c r="L139" s="103"/>
      <c r="M139" s="108"/>
      <c r="N139" s="9"/>
    </row>
    <row r="140" spans="1:14" ht="13.95" customHeight="1">
      <c r="A140" s="1"/>
      <c r="C140" s="33"/>
      <c r="D140" s="1"/>
      <c r="E140" s="3"/>
      <c r="F140" s="3"/>
      <c r="G140" s="5"/>
      <c r="I140" s="3"/>
      <c r="J140" s="3"/>
      <c r="K140" s="3"/>
      <c r="L140" s="103"/>
      <c r="M140" s="108"/>
      <c r="N140" s="9"/>
    </row>
    <row r="141" spans="1:14" ht="13.95" customHeight="1">
      <c r="A141" s="1"/>
      <c r="C141" s="33"/>
      <c r="D141" s="1"/>
      <c r="E141" s="3"/>
      <c r="F141" s="3"/>
      <c r="G141" s="5"/>
      <c r="I141" s="3"/>
      <c r="J141" s="3"/>
      <c r="K141" s="3"/>
      <c r="L141" s="103"/>
      <c r="M141" s="108"/>
      <c r="N141" s="9"/>
    </row>
    <row r="142" spans="1:14" ht="13.95" customHeight="1">
      <c r="A142" s="1"/>
      <c r="C142" s="33"/>
      <c r="D142" s="1"/>
      <c r="E142" s="3"/>
      <c r="F142" s="3"/>
      <c r="G142" s="5"/>
      <c r="I142" s="3"/>
      <c r="J142" s="3"/>
      <c r="K142" s="3"/>
      <c r="L142" s="103"/>
      <c r="M142" s="108"/>
      <c r="N142" s="9"/>
    </row>
    <row r="143" spans="1:14" ht="13.95" customHeight="1">
      <c r="A143" s="1"/>
      <c r="C143" s="33"/>
      <c r="D143" s="1"/>
      <c r="E143" s="3"/>
      <c r="F143" s="3"/>
      <c r="G143" s="5"/>
      <c r="I143" s="3"/>
      <c r="J143" s="3"/>
      <c r="K143" s="3"/>
      <c r="L143" s="103"/>
      <c r="M143" s="108"/>
      <c r="N143" s="9"/>
    </row>
    <row r="144" spans="1:14" ht="13.95" customHeight="1">
      <c r="A144" s="1"/>
      <c r="C144" s="33"/>
      <c r="D144" s="1"/>
      <c r="E144" s="3"/>
      <c r="F144" s="3"/>
      <c r="G144" s="5"/>
      <c r="I144" s="3"/>
      <c r="J144" s="3"/>
      <c r="K144" s="3"/>
      <c r="L144" s="103"/>
      <c r="M144" s="108"/>
      <c r="N144" s="9"/>
    </row>
    <row r="145" spans="1:14" ht="13.95" customHeight="1">
      <c r="A145" s="1"/>
      <c r="B145" s="1"/>
      <c r="C145" s="33"/>
      <c r="D145" s="1"/>
      <c r="E145" s="3"/>
      <c r="F145" s="4"/>
      <c r="G145" s="5"/>
      <c r="I145" s="3"/>
      <c r="J145" s="3"/>
      <c r="K145" s="3"/>
      <c r="L145" s="103"/>
      <c r="M145" s="108"/>
      <c r="N145" s="9"/>
    </row>
    <row r="146" spans="1:14" ht="13.95" customHeight="1">
      <c r="A146" s="1"/>
      <c r="B146" s="1"/>
      <c r="C146" s="33"/>
      <c r="D146" s="1"/>
      <c r="E146" s="3"/>
      <c r="F146" s="4"/>
      <c r="G146" s="5"/>
      <c r="I146" s="3"/>
      <c r="J146" s="3"/>
      <c r="K146" s="3"/>
      <c r="L146" s="103"/>
      <c r="M146" s="108"/>
      <c r="N146" s="9"/>
    </row>
    <row r="147" spans="1:14" ht="13.95" customHeight="1">
      <c r="A147" s="1"/>
      <c r="B147" s="1"/>
      <c r="C147" s="33"/>
      <c r="D147" s="1"/>
      <c r="E147" s="3"/>
      <c r="F147" s="4"/>
      <c r="G147" s="5"/>
      <c r="I147" s="3"/>
      <c r="J147" s="3"/>
      <c r="K147" s="3"/>
      <c r="L147" s="103"/>
      <c r="M147" s="108"/>
      <c r="N147" s="9"/>
    </row>
    <row r="148" spans="1:14" ht="20.100000000000001" customHeight="1">
      <c r="A148" s="149" t="s">
        <v>66</v>
      </c>
      <c r="B148" s="150"/>
      <c r="C148" s="150"/>
      <c r="D148" s="150"/>
      <c r="E148" s="150"/>
      <c r="F148" s="151"/>
      <c r="G148" s="116">
        <f>SUM(G100:G147)</f>
        <v>71285</v>
      </c>
      <c r="I148" s="9"/>
      <c r="J148" s="9"/>
      <c r="K148" s="9"/>
      <c r="L148" s="103"/>
      <c r="M148" s="108"/>
      <c r="N148" s="9"/>
    </row>
    <row r="149" spans="1:14" ht="13.95" customHeight="1">
      <c r="A149" s="39"/>
      <c r="B149" s="39"/>
      <c r="C149" s="39"/>
      <c r="D149" s="39"/>
      <c r="E149" s="39"/>
      <c r="F149" s="39"/>
      <c r="G149" s="113"/>
      <c r="I149" s="9"/>
      <c r="J149" s="9"/>
      <c r="K149" s="9"/>
      <c r="L149" s="103"/>
      <c r="M149" s="108"/>
      <c r="N149" s="9"/>
    </row>
    <row r="150" spans="1:14" ht="13.95" customHeight="1">
      <c r="A150" s="39"/>
      <c r="B150" s="39"/>
      <c r="C150" s="39"/>
      <c r="D150" s="39"/>
      <c r="E150" s="39"/>
      <c r="F150" s="39"/>
      <c r="G150" s="113"/>
      <c r="I150" s="9"/>
      <c r="J150" s="9"/>
      <c r="K150" s="9"/>
      <c r="L150" s="103"/>
      <c r="M150" s="108"/>
      <c r="N150" s="9"/>
    </row>
    <row r="151" spans="1:14" ht="22.2" customHeight="1">
      <c r="A151" s="44" t="s">
        <v>8</v>
      </c>
      <c r="B151" s="48" t="s">
        <v>9</v>
      </c>
      <c r="C151" s="44" t="s">
        <v>10</v>
      </c>
      <c r="D151" s="48" t="s">
        <v>11</v>
      </c>
      <c r="E151" s="48" t="s">
        <v>59</v>
      </c>
      <c r="F151" s="49" t="s">
        <v>12</v>
      </c>
      <c r="G151" s="111" t="s">
        <v>13</v>
      </c>
      <c r="I151" s="9"/>
      <c r="J151" s="9"/>
      <c r="K151" s="9"/>
      <c r="L151" s="103"/>
      <c r="M151" s="108"/>
      <c r="N151" s="9"/>
    </row>
    <row r="152" spans="1:14" ht="20.100000000000001" customHeight="1">
      <c r="A152" s="149" t="s">
        <v>67</v>
      </c>
      <c r="B152" s="150"/>
      <c r="C152" s="150"/>
      <c r="D152" s="150"/>
      <c r="E152" s="150"/>
      <c r="F152" s="151"/>
      <c r="G152" s="116">
        <f>+G148</f>
        <v>71285</v>
      </c>
      <c r="I152" s="9"/>
      <c r="J152" s="9"/>
      <c r="K152" s="9"/>
      <c r="L152" s="103"/>
      <c r="M152" s="108"/>
      <c r="N152" s="9"/>
    </row>
    <row r="153" spans="1:14" ht="13.95" customHeight="1">
      <c r="A153" s="1"/>
      <c r="B153" s="1"/>
      <c r="C153" s="33"/>
      <c r="D153" s="1"/>
      <c r="E153" s="3"/>
      <c r="F153" s="4"/>
      <c r="G153" s="5"/>
      <c r="I153" s="3"/>
      <c r="J153" s="3"/>
      <c r="K153" s="3"/>
      <c r="L153" s="103"/>
      <c r="M153" s="108"/>
      <c r="N153" s="9"/>
    </row>
    <row r="154" spans="1:14" ht="13.95" customHeight="1">
      <c r="A154" s="1"/>
      <c r="B154" s="1"/>
      <c r="C154" s="32" t="s">
        <v>158</v>
      </c>
      <c r="D154" s="1"/>
      <c r="E154" s="3"/>
      <c r="F154" s="4"/>
      <c r="G154" s="5"/>
      <c r="I154" s="3"/>
      <c r="J154" s="3"/>
      <c r="K154" s="3"/>
      <c r="L154" s="103"/>
      <c r="M154" s="108"/>
      <c r="N154" s="9"/>
    </row>
    <row r="155" spans="1:14" ht="13.95" customHeight="1">
      <c r="A155" s="1"/>
      <c r="B155" s="1"/>
      <c r="C155" s="33"/>
      <c r="D155" s="1"/>
      <c r="E155" s="3"/>
      <c r="F155" s="4"/>
      <c r="G155" s="5"/>
      <c r="I155" s="3"/>
      <c r="J155" s="3"/>
      <c r="K155" s="3"/>
      <c r="L155" s="103"/>
      <c r="M155" s="108"/>
      <c r="N155" s="9"/>
    </row>
    <row r="156" spans="1:14" ht="13.95" customHeight="1">
      <c r="A156" s="1">
        <f>A138+1</f>
        <v>25</v>
      </c>
      <c r="B156" s="1"/>
      <c r="C156" s="33" t="s">
        <v>202</v>
      </c>
      <c r="D156" s="1" t="s">
        <v>51</v>
      </c>
      <c r="E156" s="3">
        <f>SUM(I156:N156)</f>
        <v>3</v>
      </c>
      <c r="F156" s="3">
        <v>3550</v>
      </c>
      <c r="G156" s="5">
        <f t="shared" ref="G156" si="32">+E156*F156</f>
        <v>10650</v>
      </c>
      <c r="I156" s="3">
        <v>3</v>
      </c>
      <c r="J156" s="3"/>
      <c r="K156" s="3"/>
      <c r="L156" s="103"/>
      <c r="M156" s="108"/>
      <c r="N156" s="9"/>
    </row>
    <row r="157" spans="1:14" ht="13.95" customHeight="1">
      <c r="A157" s="1"/>
      <c r="B157" s="1"/>
      <c r="C157" s="33"/>
      <c r="D157" s="1"/>
      <c r="E157" s="3"/>
      <c r="F157" s="3"/>
      <c r="G157" s="5"/>
      <c r="I157" s="3"/>
      <c r="J157" s="3"/>
      <c r="K157" s="3"/>
      <c r="L157" s="103"/>
      <c r="M157" s="108"/>
      <c r="N157" s="9"/>
    </row>
    <row r="158" spans="1:14" ht="13.95" customHeight="1">
      <c r="A158" s="1">
        <f>A156+1</f>
        <v>26</v>
      </c>
      <c r="B158" s="1"/>
      <c r="C158" s="33" t="s">
        <v>28</v>
      </c>
      <c r="D158" s="1" t="s">
        <v>51</v>
      </c>
      <c r="E158" s="3">
        <f>SUM(I158:N158)</f>
        <v>9</v>
      </c>
      <c r="F158" s="3">
        <v>3200</v>
      </c>
      <c r="G158" s="5">
        <f t="shared" ref="G158" si="33">+E158*F158</f>
        <v>28800</v>
      </c>
      <c r="I158" s="3">
        <v>9</v>
      </c>
      <c r="J158" s="3"/>
      <c r="K158" s="3"/>
      <c r="L158" s="103"/>
      <c r="M158" s="108"/>
      <c r="N158" s="9"/>
    </row>
    <row r="159" spans="1:14" ht="13.95" customHeight="1">
      <c r="A159" s="1"/>
      <c r="B159" s="1"/>
      <c r="C159" s="33"/>
      <c r="D159" s="1"/>
      <c r="E159" s="3"/>
      <c r="F159" s="3"/>
      <c r="G159" s="5"/>
      <c r="I159" s="3"/>
      <c r="J159" s="3"/>
      <c r="K159" s="3"/>
      <c r="L159" s="103"/>
      <c r="M159" s="108"/>
      <c r="N159" s="9"/>
    </row>
    <row r="160" spans="1:14" ht="13.95" customHeight="1">
      <c r="A160" s="1">
        <v>25</v>
      </c>
      <c r="B160" s="1"/>
      <c r="C160" s="33" t="s">
        <v>62</v>
      </c>
      <c r="D160" s="1" t="s">
        <v>51</v>
      </c>
      <c r="E160" s="3">
        <f>SUM(I160:N160)</f>
        <v>0</v>
      </c>
      <c r="F160" s="3">
        <v>3350</v>
      </c>
      <c r="G160" s="5">
        <f t="shared" ref="G160" si="34">+E160*F160</f>
        <v>0</v>
      </c>
      <c r="I160" s="3"/>
      <c r="J160" s="3"/>
      <c r="K160" s="3"/>
      <c r="L160" s="103"/>
      <c r="M160" s="108"/>
      <c r="N160" s="9"/>
    </row>
    <row r="161" spans="1:14" ht="13.95" customHeight="1">
      <c r="A161" s="1"/>
      <c r="B161" s="1"/>
      <c r="C161" s="33"/>
      <c r="D161" s="1"/>
      <c r="E161" s="3"/>
      <c r="F161" s="3"/>
      <c r="G161" s="5"/>
      <c r="I161" s="3"/>
      <c r="J161" s="3"/>
      <c r="K161" s="3"/>
      <c r="L161" s="103"/>
      <c r="M161" s="108"/>
      <c r="N161" s="9"/>
    </row>
    <row r="162" spans="1:14" ht="13.95" customHeight="1">
      <c r="A162" s="1">
        <v>26</v>
      </c>
      <c r="B162" s="1"/>
      <c r="C162" s="33" t="s">
        <v>27</v>
      </c>
      <c r="D162" s="1" t="s">
        <v>51</v>
      </c>
      <c r="E162" s="3">
        <f>SUM(I162:N162)</f>
        <v>0</v>
      </c>
      <c r="F162" s="3">
        <v>3200</v>
      </c>
      <c r="G162" s="5">
        <f t="shared" ref="G162" si="35">+E162*F162</f>
        <v>0</v>
      </c>
      <c r="I162" s="3"/>
      <c r="J162" s="3"/>
      <c r="K162" s="3"/>
      <c r="L162" s="103"/>
      <c r="M162" s="108"/>
      <c r="N162" s="9"/>
    </row>
    <row r="163" spans="1:14" ht="13.95" customHeight="1">
      <c r="A163" s="1"/>
      <c r="B163" s="1"/>
      <c r="C163" s="33"/>
      <c r="D163" s="1"/>
      <c r="E163" s="3"/>
      <c r="F163" s="3"/>
      <c r="G163" s="5"/>
      <c r="I163" s="3"/>
      <c r="J163" s="3"/>
      <c r="K163" s="3"/>
      <c r="L163" s="103"/>
      <c r="M163" s="108"/>
      <c r="N163" s="9"/>
    </row>
    <row r="164" spans="1:14" ht="13.95" customHeight="1">
      <c r="A164" s="1">
        <f>A162+1</f>
        <v>27</v>
      </c>
      <c r="B164" s="1"/>
      <c r="C164" s="33" t="s">
        <v>250</v>
      </c>
      <c r="D164" s="1" t="s">
        <v>51</v>
      </c>
      <c r="E164" s="3">
        <f>SUM(I164:N164)</f>
        <v>0</v>
      </c>
      <c r="F164" s="3">
        <v>3650</v>
      </c>
      <c r="G164" s="5">
        <f t="shared" ref="G164" si="36">+E164*F164</f>
        <v>0</v>
      </c>
      <c r="I164" s="3"/>
      <c r="J164" s="3"/>
      <c r="K164" s="3"/>
      <c r="L164" s="103"/>
      <c r="M164" s="108"/>
      <c r="N164" s="9"/>
    </row>
    <row r="165" spans="1:14" ht="13.95" customHeight="1">
      <c r="A165" s="1"/>
      <c r="B165" s="1"/>
      <c r="C165" s="33"/>
      <c r="D165" s="1"/>
      <c r="E165" s="3"/>
      <c r="F165" s="4"/>
      <c r="G165" s="5"/>
      <c r="I165" s="3"/>
      <c r="J165" s="3"/>
      <c r="K165" s="3"/>
      <c r="L165" s="103"/>
      <c r="M165" s="108"/>
      <c r="N165" s="9"/>
    </row>
    <row r="166" spans="1:14" ht="13.95" customHeight="1">
      <c r="A166" s="1"/>
      <c r="B166" s="1" t="s">
        <v>96</v>
      </c>
      <c r="C166" s="32" t="s">
        <v>159</v>
      </c>
      <c r="D166" s="1"/>
      <c r="E166" s="3"/>
      <c r="F166" s="4"/>
      <c r="G166" s="5"/>
      <c r="I166" s="9"/>
      <c r="J166" s="9"/>
      <c r="K166" s="9"/>
      <c r="L166" s="103"/>
      <c r="M166" s="108"/>
      <c r="N166" s="9"/>
    </row>
    <row r="167" spans="1:14" ht="13.95" customHeight="1">
      <c r="A167" s="1"/>
      <c r="B167" s="1"/>
      <c r="C167" s="33"/>
      <c r="D167" s="1"/>
      <c r="E167" s="3"/>
      <c r="F167" s="4"/>
      <c r="G167" s="5"/>
      <c r="I167" s="9"/>
      <c r="J167" s="9"/>
      <c r="K167" s="9"/>
      <c r="L167" s="103"/>
      <c r="M167" s="108"/>
      <c r="N167" s="9"/>
    </row>
    <row r="168" spans="1:14" ht="13.95" customHeight="1">
      <c r="A168" s="1"/>
      <c r="B168" s="1"/>
      <c r="C168" s="33" t="s">
        <v>160</v>
      </c>
      <c r="D168" s="1"/>
      <c r="E168" s="3"/>
      <c r="F168" s="4"/>
      <c r="G168" s="5"/>
      <c r="I168" s="9"/>
      <c r="J168" s="9"/>
      <c r="K168" s="9"/>
      <c r="L168" s="103"/>
      <c r="M168" s="108"/>
      <c r="N168" s="9"/>
    </row>
    <row r="169" spans="1:14" ht="13.95" customHeight="1">
      <c r="A169" s="1"/>
      <c r="B169" s="1"/>
      <c r="C169" s="33"/>
      <c r="D169" s="1"/>
      <c r="E169" s="3"/>
      <c r="F169" s="4"/>
      <c r="G169" s="5"/>
      <c r="I169" s="9"/>
      <c r="J169" s="9"/>
      <c r="K169" s="9"/>
      <c r="L169" s="103"/>
      <c r="M169" s="108"/>
      <c r="N169" s="9"/>
    </row>
    <row r="170" spans="1:14" ht="13.95" customHeight="1">
      <c r="A170" s="1">
        <f>A164+1</f>
        <v>28</v>
      </c>
      <c r="B170" s="1"/>
      <c r="C170" s="33" t="s">
        <v>28</v>
      </c>
      <c r="D170" s="1" t="s">
        <v>60</v>
      </c>
      <c r="E170" s="3">
        <f>SUM(I170:N170)</f>
        <v>18</v>
      </c>
      <c r="F170" s="3">
        <v>46</v>
      </c>
      <c r="G170" s="5">
        <f t="shared" ref="G170" si="37">+E170*F170</f>
        <v>828</v>
      </c>
      <c r="I170" s="3">
        <v>18</v>
      </c>
      <c r="J170" s="3"/>
      <c r="K170" s="3"/>
      <c r="L170" s="103"/>
      <c r="M170" s="108"/>
      <c r="N170" s="9"/>
    </row>
    <row r="171" spans="1:14" ht="13.95" customHeight="1">
      <c r="A171" s="1"/>
      <c r="B171" s="1"/>
      <c r="C171" s="33"/>
      <c r="D171" s="1"/>
      <c r="E171" s="3"/>
      <c r="F171" s="3"/>
      <c r="G171" s="5"/>
      <c r="I171" s="3"/>
      <c r="J171" s="3"/>
      <c r="K171" s="3"/>
      <c r="L171" s="103"/>
      <c r="M171" s="108"/>
      <c r="N171" s="9"/>
    </row>
    <row r="172" spans="1:14" ht="13.95" customHeight="1">
      <c r="A172" s="1"/>
      <c r="B172" s="1"/>
      <c r="C172" s="33" t="s">
        <v>196</v>
      </c>
      <c r="D172" s="1"/>
      <c r="E172" s="3"/>
      <c r="F172" s="3"/>
      <c r="G172" s="5"/>
      <c r="I172" s="3"/>
      <c r="J172" s="3"/>
      <c r="K172" s="3"/>
      <c r="L172" s="103"/>
      <c r="M172" s="108"/>
      <c r="N172" s="9"/>
    </row>
    <row r="173" spans="1:14" ht="13.95" customHeight="1">
      <c r="A173" s="1"/>
      <c r="B173" s="1"/>
      <c r="C173" s="33"/>
      <c r="D173" s="1"/>
      <c r="E173" s="3"/>
      <c r="F173" s="3"/>
      <c r="G173" s="5"/>
      <c r="I173" s="3"/>
      <c r="J173" s="3"/>
      <c r="K173" s="3"/>
      <c r="L173" s="103"/>
      <c r="M173" s="108"/>
      <c r="N173" s="9"/>
    </row>
    <row r="174" spans="1:14" ht="13.95" customHeight="1">
      <c r="A174" s="1">
        <f>A170+1</f>
        <v>29</v>
      </c>
      <c r="B174" s="1"/>
      <c r="C174" s="33" t="s">
        <v>29</v>
      </c>
      <c r="D174" s="1" t="s">
        <v>60</v>
      </c>
      <c r="E174" s="3">
        <f>SUM(I174:N174)</f>
        <v>0</v>
      </c>
      <c r="F174" s="3">
        <v>75</v>
      </c>
      <c r="G174" s="5">
        <f t="shared" ref="G174" si="38">+E174*F174</f>
        <v>0</v>
      </c>
      <c r="I174" s="3"/>
      <c r="J174" s="3"/>
      <c r="K174" s="3"/>
      <c r="L174" s="103"/>
      <c r="M174" s="108"/>
      <c r="N174" s="9"/>
    </row>
    <row r="175" spans="1:14" ht="13.95" customHeight="1">
      <c r="A175" s="1"/>
      <c r="B175" s="1"/>
      <c r="C175" s="33"/>
      <c r="D175" s="1"/>
      <c r="E175" s="3"/>
      <c r="F175" s="4"/>
      <c r="G175" s="5"/>
      <c r="I175" s="3"/>
      <c r="J175" s="3"/>
      <c r="K175" s="3"/>
      <c r="L175" s="103"/>
      <c r="M175" s="108"/>
      <c r="N175" s="9"/>
    </row>
    <row r="176" spans="1:14" ht="13.95" customHeight="1">
      <c r="A176" s="1"/>
      <c r="B176" s="1" t="s">
        <v>97</v>
      </c>
      <c r="C176" s="34" t="s">
        <v>20</v>
      </c>
      <c r="D176" s="1"/>
      <c r="E176" s="3"/>
      <c r="F176" s="4"/>
      <c r="G176" s="5"/>
      <c r="I176" s="3"/>
      <c r="J176" s="3"/>
      <c r="K176" s="3"/>
      <c r="L176" s="103"/>
      <c r="M176" s="108"/>
      <c r="N176" s="9"/>
    </row>
    <row r="177" spans="1:14" ht="13.95" customHeight="1">
      <c r="A177" s="1"/>
      <c r="B177" s="1"/>
      <c r="C177" s="34"/>
      <c r="D177" s="1"/>
      <c r="E177" s="3"/>
      <c r="F177" s="4"/>
      <c r="G177" s="5"/>
      <c r="I177" s="3"/>
      <c r="J177" s="3"/>
      <c r="K177" s="3"/>
      <c r="L177" s="103"/>
      <c r="M177" s="108"/>
      <c r="N177" s="9"/>
    </row>
    <row r="178" spans="1:14" ht="13.95" customHeight="1">
      <c r="A178" s="1"/>
      <c r="B178" s="1"/>
      <c r="C178" s="32" t="s">
        <v>213</v>
      </c>
      <c r="D178" s="1"/>
      <c r="E178" s="3"/>
      <c r="F178" s="4"/>
      <c r="G178" s="5"/>
      <c r="I178" s="3"/>
      <c r="J178" s="3"/>
      <c r="K178" s="3"/>
      <c r="L178" s="103"/>
      <c r="M178" s="108"/>
      <c r="N178" s="9"/>
    </row>
    <row r="179" spans="1:14" ht="13.95" customHeight="1">
      <c r="A179" s="1"/>
      <c r="B179" s="1"/>
      <c r="C179" s="34"/>
      <c r="D179" s="1"/>
      <c r="E179" s="3"/>
      <c r="F179" s="4"/>
      <c r="G179" s="5"/>
      <c r="I179" s="3"/>
      <c r="J179" s="3"/>
      <c r="K179" s="3"/>
      <c r="L179" s="103"/>
      <c r="M179" s="108"/>
      <c r="N179" s="9"/>
    </row>
    <row r="180" spans="1:14" ht="27" customHeight="1">
      <c r="A180" s="1">
        <f>A174+1</f>
        <v>30</v>
      </c>
      <c r="B180" s="1"/>
      <c r="C180" s="33" t="s">
        <v>237</v>
      </c>
      <c r="D180" s="1" t="s">
        <v>1</v>
      </c>
      <c r="E180" s="3">
        <f>SUM(I180:N180)</f>
        <v>0</v>
      </c>
      <c r="F180" s="3">
        <v>375</v>
      </c>
      <c r="G180" s="5">
        <f t="shared" ref="G180" si="39">+E180*F180</f>
        <v>0</v>
      </c>
      <c r="I180" s="3"/>
      <c r="J180" s="3"/>
      <c r="K180" s="3"/>
      <c r="L180" s="103"/>
      <c r="M180" s="108"/>
      <c r="N180" s="9"/>
    </row>
    <row r="181" spans="1:14" ht="13.95" customHeight="1">
      <c r="A181" s="1"/>
      <c r="B181" s="1"/>
      <c r="C181" s="33"/>
      <c r="D181" s="1"/>
      <c r="E181" s="3"/>
      <c r="F181" s="3"/>
      <c r="G181" s="5"/>
      <c r="I181" s="3"/>
      <c r="J181" s="3"/>
      <c r="K181" s="3"/>
      <c r="L181" s="103"/>
      <c r="M181" s="108"/>
      <c r="N181" s="9"/>
    </row>
    <row r="182" spans="1:14" ht="24.6" customHeight="1">
      <c r="A182" s="1">
        <f>A180+1</f>
        <v>31</v>
      </c>
      <c r="B182" s="1"/>
      <c r="C182" s="33" t="s">
        <v>285</v>
      </c>
      <c r="D182" s="1" t="s">
        <v>1</v>
      </c>
      <c r="E182" s="3">
        <f>SUM(I182:N182)</f>
        <v>0</v>
      </c>
      <c r="F182" s="3">
        <v>355</v>
      </c>
      <c r="G182" s="5">
        <f t="shared" ref="G182" si="40">+E182*F182</f>
        <v>0</v>
      </c>
      <c r="I182" s="3"/>
      <c r="J182" s="3"/>
      <c r="K182" s="3"/>
      <c r="L182" s="104"/>
      <c r="M182" s="108"/>
      <c r="N182" s="9"/>
    </row>
    <row r="183" spans="1:14" ht="13.95" customHeight="1">
      <c r="A183" s="1"/>
      <c r="B183" s="1"/>
      <c r="C183" s="33"/>
      <c r="D183" s="1"/>
      <c r="E183" s="3"/>
      <c r="F183" s="3"/>
      <c r="G183" s="5"/>
      <c r="I183" s="3"/>
      <c r="J183" s="3"/>
      <c r="K183" s="3"/>
      <c r="L183" s="103"/>
      <c r="M183" s="108"/>
      <c r="N183" s="9"/>
    </row>
    <row r="184" spans="1:14" ht="23.4" customHeight="1">
      <c r="A184" s="1">
        <f>A182+1</f>
        <v>32</v>
      </c>
      <c r="B184" s="1"/>
      <c r="C184" s="33" t="s">
        <v>243</v>
      </c>
      <c r="D184" s="1" t="s">
        <v>1</v>
      </c>
      <c r="E184" s="3">
        <f>SUM(I184:N184)</f>
        <v>24</v>
      </c>
      <c r="F184" s="3">
        <v>195</v>
      </c>
      <c r="G184" s="5">
        <f t="shared" ref="G184" si="41">+E184*F184</f>
        <v>4680</v>
      </c>
      <c r="I184" s="3">
        <v>24</v>
      </c>
      <c r="J184" s="3"/>
      <c r="K184" s="3"/>
      <c r="L184" s="103"/>
      <c r="M184" s="108"/>
      <c r="N184" s="9"/>
    </row>
    <row r="185" spans="1:14" ht="13.95" customHeight="1">
      <c r="A185" s="1"/>
      <c r="B185" s="1"/>
      <c r="C185" s="33"/>
      <c r="D185" s="1"/>
      <c r="E185" s="3"/>
      <c r="F185" s="3"/>
      <c r="G185" s="5"/>
      <c r="I185" s="3"/>
      <c r="J185" s="3"/>
      <c r="K185" s="3"/>
      <c r="L185" s="103"/>
      <c r="M185" s="108"/>
      <c r="N185" s="9"/>
    </row>
    <row r="186" spans="1:14" ht="13.95" customHeight="1">
      <c r="A186" s="1"/>
      <c r="B186" s="1"/>
      <c r="C186" s="33" t="s">
        <v>239</v>
      </c>
      <c r="D186" s="1" t="s">
        <v>1</v>
      </c>
      <c r="E186" s="3">
        <f>SUM(I186:N186)</f>
        <v>0</v>
      </c>
      <c r="F186" s="3">
        <v>155</v>
      </c>
      <c r="G186" s="5">
        <f t="shared" ref="G186" si="42">+E186*F186</f>
        <v>0</v>
      </c>
      <c r="I186" s="3"/>
      <c r="J186" s="3"/>
      <c r="K186" s="3"/>
      <c r="L186" s="103"/>
      <c r="M186" s="108"/>
      <c r="N186" s="9"/>
    </row>
    <row r="187" spans="1:14" ht="13.95" customHeight="1">
      <c r="A187" s="1"/>
      <c r="B187" s="1"/>
      <c r="C187" s="33"/>
      <c r="D187" s="1"/>
      <c r="E187" s="3"/>
      <c r="F187" s="4"/>
      <c r="G187" s="5"/>
      <c r="I187" s="3"/>
      <c r="J187" s="3"/>
      <c r="K187" s="3"/>
      <c r="L187" s="103"/>
      <c r="M187" s="108"/>
      <c r="N187" s="9"/>
    </row>
    <row r="188" spans="1:14" ht="13.95" customHeight="1">
      <c r="A188" s="1"/>
      <c r="B188" s="1"/>
      <c r="C188" s="32" t="s">
        <v>198</v>
      </c>
      <c r="D188" s="1"/>
      <c r="E188" s="3"/>
      <c r="F188" s="4"/>
      <c r="G188" s="5"/>
      <c r="I188" s="3"/>
      <c r="J188" s="3"/>
      <c r="K188" s="3"/>
      <c r="L188" s="103"/>
      <c r="M188" s="108"/>
      <c r="N188" s="9"/>
    </row>
    <row r="189" spans="1:14" ht="13.95" customHeight="1">
      <c r="A189" s="1"/>
      <c r="B189" s="1"/>
      <c r="C189" s="33"/>
      <c r="D189" s="1"/>
      <c r="E189" s="3"/>
      <c r="F189" s="4"/>
      <c r="G189" s="5"/>
      <c r="I189" s="3"/>
      <c r="J189" s="3"/>
      <c r="K189" s="3"/>
      <c r="L189" s="103"/>
      <c r="M189" s="108"/>
      <c r="N189" s="9"/>
    </row>
    <row r="190" spans="1:14" ht="13.95" customHeight="1">
      <c r="A190" s="1">
        <f>A184+1</f>
        <v>33</v>
      </c>
      <c r="B190" s="1"/>
      <c r="C190" s="33" t="s">
        <v>199</v>
      </c>
      <c r="D190" s="1" t="s">
        <v>1</v>
      </c>
      <c r="E190" s="3">
        <f>SUM(I190:N190)</f>
        <v>0</v>
      </c>
      <c r="F190" s="3">
        <f>F180</f>
        <v>375</v>
      </c>
      <c r="G190" s="5">
        <f t="shared" ref="G190" si="43">+E190*F190</f>
        <v>0</v>
      </c>
      <c r="I190" s="3"/>
      <c r="J190" s="3"/>
      <c r="K190" s="3"/>
      <c r="L190" s="103"/>
      <c r="M190" s="108"/>
      <c r="N190" s="9"/>
    </row>
    <row r="191" spans="1:14" ht="13.95" customHeight="1">
      <c r="A191" s="1"/>
      <c r="B191" s="1"/>
      <c r="C191" s="33"/>
      <c r="D191" s="1"/>
      <c r="E191" s="3"/>
      <c r="F191" s="3"/>
      <c r="G191" s="5"/>
      <c r="I191" s="3"/>
      <c r="J191" s="3"/>
      <c r="K191" s="3"/>
      <c r="L191" s="103"/>
      <c r="M191" s="108"/>
      <c r="N191" s="9"/>
    </row>
    <row r="192" spans="1:14" ht="13.95" customHeight="1">
      <c r="A192" s="1">
        <f>A190+1</f>
        <v>34</v>
      </c>
      <c r="B192" s="1"/>
      <c r="C192" s="33" t="s">
        <v>200</v>
      </c>
      <c r="D192" s="1" t="s">
        <v>1</v>
      </c>
      <c r="E192" s="3">
        <f>SUM(I192:N192)</f>
        <v>0</v>
      </c>
      <c r="F192" s="3">
        <v>395</v>
      </c>
      <c r="G192" s="5">
        <f t="shared" ref="G192" si="44">+E192*F192</f>
        <v>0</v>
      </c>
      <c r="I192" s="3"/>
      <c r="J192" s="3"/>
      <c r="K192" s="3"/>
      <c r="L192" s="103"/>
      <c r="M192" s="108"/>
      <c r="N192" s="9"/>
    </row>
    <row r="193" spans="1:14" ht="13.95" customHeight="1">
      <c r="A193" s="1"/>
      <c r="B193" s="1"/>
      <c r="C193" s="33"/>
      <c r="D193" s="1"/>
      <c r="E193" s="3"/>
      <c r="F193" s="3"/>
      <c r="G193" s="5"/>
      <c r="I193" s="3"/>
      <c r="J193" s="3"/>
      <c r="K193" s="3"/>
      <c r="L193" s="103"/>
      <c r="M193" s="108"/>
      <c r="N193" s="9"/>
    </row>
    <row r="194" spans="1:14" ht="13.95" customHeight="1">
      <c r="A194" s="1">
        <f>A192+1</f>
        <v>35</v>
      </c>
      <c r="B194" s="1"/>
      <c r="C194" s="33" t="s">
        <v>214</v>
      </c>
      <c r="D194" s="1" t="s">
        <v>1</v>
      </c>
      <c r="E194" s="3">
        <f>SUM(I194:N194)</f>
        <v>0</v>
      </c>
      <c r="F194" s="3">
        <v>395</v>
      </c>
      <c r="G194" s="5">
        <f t="shared" ref="G194" si="45">+E194*F194</f>
        <v>0</v>
      </c>
      <c r="I194" s="3"/>
      <c r="J194" s="3"/>
      <c r="K194" s="3"/>
      <c r="L194" s="103"/>
      <c r="M194" s="108"/>
      <c r="N194" s="9"/>
    </row>
    <row r="195" spans="1:14" ht="13.95" customHeight="1">
      <c r="A195" s="1"/>
      <c r="B195" s="1"/>
      <c r="C195" s="33"/>
      <c r="D195" s="1"/>
      <c r="E195" s="3"/>
      <c r="F195" s="3"/>
      <c r="G195" s="5"/>
      <c r="I195" s="3"/>
      <c r="J195" s="3"/>
      <c r="K195" s="3"/>
      <c r="L195" s="103"/>
      <c r="M195" s="108"/>
      <c r="N195" s="9"/>
    </row>
    <row r="196" spans="1:14" ht="13.95" customHeight="1">
      <c r="A196" s="1"/>
      <c r="B196" s="1"/>
      <c r="C196" s="33"/>
      <c r="D196" s="1"/>
      <c r="E196" s="3"/>
      <c r="F196" s="4"/>
      <c r="G196" s="5"/>
      <c r="I196" s="3"/>
      <c r="J196" s="3"/>
      <c r="K196" s="3"/>
      <c r="L196" s="103"/>
      <c r="M196" s="108"/>
      <c r="N196" s="9"/>
    </row>
    <row r="197" spans="1:14" ht="13.95" customHeight="1">
      <c r="A197" s="1"/>
      <c r="B197" s="1"/>
      <c r="C197" s="33"/>
      <c r="D197" s="1"/>
      <c r="E197" s="3"/>
      <c r="F197" s="4"/>
      <c r="G197" s="5"/>
      <c r="I197" s="3"/>
      <c r="J197" s="3"/>
      <c r="K197" s="3"/>
      <c r="L197" s="103"/>
      <c r="M197" s="108"/>
      <c r="N197" s="9"/>
    </row>
    <row r="198" spans="1:14" ht="20.100000000000001" customHeight="1">
      <c r="A198" s="149" t="s">
        <v>66</v>
      </c>
      <c r="B198" s="150"/>
      <c r="C198" s="150"/>
      <c r="D198" s="150"/>
      <c r="E198" s="150"/>
      <c r="F198" s="151"/>
      <c r="G198" s="116">
        <f>SUM(G152:G197)</f>
        <v>116243</v>
      </c>
      <c r="I198" s="9"/>
      <c r="J198" s="9"/>
      <c r="K198" s="9"/>
      <c r="L198" s="103"/>
      <c r="M198" s="108"/>
      <c r="N198" s="9"/>
    </row>
    <row r="199" spans="1:14" ht="13.95" customHeight="1">
      <c r="A199" s="39"/>
      <c r="B199" s="39"/>
      <c r="C199" s="39"/>
      <c r="D199" s="39"/>
      <c r="E199" s="39"/>
      <c r="F199" s="39"/>
      <c r="G199" s="113"/>
      <c r="I199" s="9"/>
      <c r="J199" s="9"/>
      <c r="K199" s="9"/>
      <c r="L199" s="103"/>
      <c r="M199" s="108"/>
      <c r="N199" s="9"/>
    </row>
    <row r="200" spans="1:14" ht="13.95" customHeight="1">
      <c r="A200" s="39"/>
      <c r="B200" s="39"/>
      <c r="C200" s="39"/>
      <c r="D200" s="39"/>
      <c r="E200" s="39"/>
      <c r="F200" s="39"/>
      <c r="G200" s="113"/>
      <c r="I200" s="9"/>
      <c r="J200" s="9"/>
      <c r="K200" s="9"/>
      <c r="L200" s="103"/>
      <c r="M200" s="108"/>
      <c r="N200" s="9"/>
    </row>
    <row r="201" spans="1:14" ht="22.2" customHeight="1">
      <c r="A201" s="44" t="s">
        <v>8</v>
      </c>
      <c r="B201" s="48" t="s">
        <v>9</v>
      </c>
      <c r="C201" s="44" t="s">
        <v>10</v>
      </c>
      <c r="D201" s="48" t="s">
        <v>11</v>
      </c>
      <c r="E201" s="48" t="s">
        <v>59</v>
      </c>
      <c r="F201" s="49" t="s">
        <v>12</v>
      </c>
      <c r="G201" s="111" t="s">
        <v>13</v>
      </c>
      <c r="I201" s="9"/>
      <c r="J201" s="9"/>
      <c r="K201" s="9"/>
      <c r="L201" s="103"/>
      <c r="M201" s="108"/>
      <c r="N201" s="9"/>
    </row>
    <row r="202" spans="1:14" ht="20.100000000000001" customHeight="1">
      <c r="A202" s="149" t="s">
        <v>67</v>
      </c>
      <c r="B202" s="150"/>
      <c r="C202" s="150"/>
      <c r="D202" s="150"/>
      <c r="E202" s="150"/>
      <c r="F202" s="151"/>
      <c r="G202" s="116">
        <f>+G198</f>
        <v>116243</v>
      </c>
      <c r="I202" s="9"/>
      <c r="J202" s="9"/>
      <c r="K202" s="9"/>
      <c r="L202" s="103"/>
      <c r="M202" s="108"/>
      <c r="N202" s="9"/>
    </row>
    <row r="203" spans="1:14" ht="13.95" customHeight="1">
      <c r="A203" s="1"/>
      <c r="B203" s="1"/>
      <c r="C203" s="33"/>
      <c r="D203" s="1"/>
      <c r="E203" s="3"/>
      <c r="F203" s="4"/>
      <c r="G203" s="5"/>
      <c r="I203" s="3"/>
      <c r="J203" s="3"/>
      <c r="K203" s="3"/>
      <c r="L203" s="103"/>
      <c r="M203" s="108"/>
      <c r="N203" s="9"/>
    </row>
    <row r="204" spans="1:14" ht="13.95" customHeight="1">
      <c r="A204" s="9"/>
      <c r="B204" s="1" t="s">
        <v>98</v>
      </c>
      <c r="C204" s="34" t="s">
        <v>30</v>
      </c>
      <c r="D204" s="1"/>
      <c r="E204" s="3"/>
      <c r="F204" s="4"/>
      <c r="G204" s="5"/>
      <c r="I204" s="3"/>
      <c r="J204" s="3"/>
      <c r="K204" s="3"/>
      <c r="L204" s="103"/>
      <c r="M204" s="108"/>
      <c r="N204" s="9"/>
    </row>
    <row r="205" spans="1:14" ht="13.95" customHeight="1">
      <c r="A205" s="9"/>
      <c r="B205" s="1"/>
      <c r="C205" s="33"/>
      <c r="D205" s="1"/>
      <c r="E205" s="3"/>
      <c r="F205" s="4"/>
      <c r="G205" s="5"/>
      <c r="I205" s="3"/>
      <c r="J205" s="3"/>
      <c r="K205" s="3"/>
      <c r="L205" s="103"/>
      <c r="M205" s="108"/>
      <c r="N205" s="9"/>
    </row>
    <row r="206" spans="1:14" ht="13.95" customHeight="1">
      <c r="A206" s="9"/>
      <c r="B206" s="1"/>
      <c r="C206" s="33" t="s">
        <v>31</v>
      </c>
      <c r="D206" s="1"/>
      <c r="E206" s="3"/>
      <c r="F206" s="4"/>
      <c r="G206" s="5"/>
      <c r="I206" s="3"/>
      <c r="J206" s="3"/>
      <c r="K206" s="3"/>
      <c r="L206" s="103"/>
      <c r="M206" s="108"/>
      <c r="N206" s="9"/>
    </row>
    <row r="207" spans="1:14" ht="13.95" customHeight="1">
      <c r="A207" s="9"/>
      <c r="B207" s="1"/>
      <c r="C207" s="33"/>
      <c r="D207" s="1"/>
      <c r="E207" s="3"/>
      <c r="F207" s="4"/>
      <c r="G207" s="5"/>
      <c r="I207" s="3"/>
      <c r="J207" s="3"/>
      <c r="K207" s="3"/>
      <c r="L207" s="103"/>
      <c r="M207" s="108"/>
      <c r="N207" s="9"/>
    </row>
    <row r="208" spans="1:14" ht="13.95" customHeight="1">
      <c r="A208" s="9">
        <f>A194+1</f>
        <v>36</v>
      </c>
      <c r="B208" s="1"/>
      <c r="C208" s="33" t="s">
        <v>32</v>
      </c>
      <c r="D208" s="1" t="s">
        <v>51</v>
      </c>
      <c r="E208" s="3">
        <f>SUM(I208:N208)</f>
        <v>0.09</v>
      </c>
      <c r="F208" s="3">
        <v>35000</v>
      </c>
      <c r="G208" s="5">
        <f t="shared" ref="G208" si="46">+E208*F208</f>
        <v>3150</v>
      </c>
      <c r="I208" s="4">
        <v>0.09</v>
      </c>
      <c r="J208" s="4"/>
      <c r="K208" s="4"/>
      <c r="L208" s="103"/>
      <c r="M208" s="108"/>
      <c r="N208" s="9"/>
    </row>
    <row r="209" spans="1:14" ht="13.95" customHeight="1">
      <c r="A209" s="9"/>
      <c r="B209" s="1"/>
      <c r="C209" s="33"/>
      <c r="D209" s="1"/>
      <c r="E209" s="4"/>
      <c r="F209" s="3"/>
      <c r="G209" s="5"/>
      <c r="I209" s="4"/>
      <c r="J209" s="4"/>
      <c r="K209" s="4"/>
      <c r="L209" s="103"/>
      <c r="M209" s="108"/>
      <c r="N209" s="9"/>
    </row>
    <row r="210" spans="1:14" ht="13.95" customHeight="1">
      <c r="A210" s="9"/>
      <c r="B210" s="1"/>
      <c r="C210" s="37" t="s">
        <v>40</v>
      </c>
      <c r="D210" s="1"/>
      <c r="E210" s="4"/>
      <c r="F210" s="3"/>
      <c r="G210" s="5"/>
      <c r="I210" s="4"/>
      <c r="J210" s="4"/>
      <c r="K210" s="4"/>
      <c r="L210" s="103"/>
      <c r="M210" s="108"/>
      <c r="N210" s="9"/>
    </row>
    <row r="211" spans="1:14" ht="13.95" customHeight="1">
      <c r="A211" s="9"/>
      <c r="B211" s="1"/>
      <c r="C211" s="33"/>
      <c r="D211" s="1"/>
      <c r="E211" s="4"/>
      <c r="F211" s="3"/>
      <c r="G211" s="5"/>
      <c r="I211" s="4"/>
      <c r="J211" s="4"/>
      <c r="K211" s="4"/>
      <c r="L211" s="103"/>
      <c r="M211" s="108"/>
      <c r="N211" s="9"/>
    </row>
    <row r="212" spans="1:14" ht="13.95" customHeight="1">
      <c r="A212" s="9">
        <f>A208+1</f>
        <v>37</v>
      </c>
      <c r="B212" s="1"/>
      <c r="C212" s="33" t="s">
        <v>32</v>
      </c>
      <c r="D212" s="1" t="s">
        <v>51</v>
      </c>
      <c r="E212" s="3">
        <f>SUM(I212:N212)</f>
        <v>0</v>
      </c>
      <c r="F212" s="3">
        <f>F208</f>
        <v>35000</v>
      </c>
      <c r="G212" s="5">
        <f t="shared" ref="G212" si="47">+E212*F212</f>
        <v>0</v>
      </c>
      <c r="I212" s="4"/>
      <c r="J212" s="4"/>
      <c r="K212" s="4"/>
      <c r="L212" s="103"/>
      <c r="M212" s="108"/>
      <c r="N212" s="9"/>
    </row>
    <row r="213" spans="1:14" ht="13.95" customHeight="1">
      <c r="A213" s="1"/>
      <c r="B213" s="1"/>
      <c r="C213" s="33"/>
      <c r="D213" s="1"/>
      <c r="E213" s="3"/>
      <c r="F213" s="4"/>
      <c r="G213" s="5"/>
      <c r="I213" s="3"/>
      <c r="J213" s="3"/>
      <c r="K213" s="3"/>
      <c r="L213" s="103"/>
      <c r="M213" s="108"/>
      <c r="N213" s="9"/>
    </row>
    <row r="214" spans="1:14" ht="24.6" customHeight="1">
      <c r="A214" s="9"/>
      <c r="B214" s="1" t="s">
        <v>99</v>
      </c>
      <c r="C214" s="34" t="s">
        <v>63</v>
      </c>
      <c r="D214" s="1"/>
      <c r="E214" s="3"/>
      <c r="F214" s="4"/>
      <c r="G214" s="5"/>
      <c r="I214" s="9"/>
      <c r="J214" s="9"/>
      <c r="K214" s="9"/>
      <c r="L214" s="103"/>
      <c r="M214" s="108"/>
      <c r="N214" s="9"/>
    </row>
    <row r="215" spans="1:14" ht="13.95" customHeight="1">
      <c r="A215" s="9"/>
      <c r="B215" s="1"/>
      <c r="C215" s="34"/>
      <c r="D215" s="1"/>
      <c r="E215" s="3"/>
      <c r="F215" s="4"/>
      <c r="G215" s="5"/>
      <c r="I215" s="9"/>
      <c r="J215" s="9"/>
      <c r="K215" s="9"/>
      <c r="L215" s="103"/>
      <c r="M215" s="108"/>
      <c r="N215" s="9"/>
    </row>
    <row r="216" spans="1:14" ht="22.95" customHeight="1">
      <c r="A216" s="9"/>
      <c r="B216" s="1"/>
      <c r="C216" s="34" t="s">
        <v>58</v>
      </c>
      <c r="D216" s="1"/>
      <c r="E216" s="3"/>
      <c r="F216" s="4"/>
      <c r="G216" s="5"/>
      <c r="I216" s="9"/>
      <c r="J216" s="9"/>
      <c r="K216" s="9"/>
      <c r="L216" s="103"/>
      <c r="M216" s="108"/>
      <c r="N216" s="9"/>
    </row>
    <row r="217" spans="1:14" ht="13.95" customHeight="1">
      <c r="A217" s="9"/>
      <c r="B217" s="1"/>
      <c r="C217" s="33"/>
      <c r="D217" s="1"/>
      <c r="E217" s="3"/>
      <c r="F217" s="4"/>
      <c r="G217" s="5"/>
      <c r="I217" s="9"/>
      <c r="J217" s="9"/>
      <c r="K217" s="9"/>
      <c r="L217" s="103"/>
      <c r="M217" s="108"/>
      <c r="N217" s="9"/>
    </row>
    <row r="218" spans="1:14" ht="46.2" customHeight="1">
      <c r="A218" s="9">
        <f>A212+1</f>
        <v>38</v>
      </c>
      <c r="B218" s="1"/>
      <c r="C218" s="33" t="s">
        <v>240</v>
      </c>
      <c r="D218" s="1" t="s">
        <v>6</v>
      </c>
      <c r="E218" s="3">
        <f>SUM(I218:N218)</f>
        <v>0</v>
      </c>
      <c r="F218" s="3">
        <v>275</v>
      </c>
      <c r="G218" s="5">
        <f t="shared" ref="G218" si="48">+E218*F218</f>
        <v>0</v>
      </c>
      <c r="I218" s="9"/>
      <c r="J218" s="9"/>
      <c r="K218" s="9"/>
      <c r="L218" s="103"/>
      <c r="M218" s="108"/>
      <c r="N218" s="9"/>
    </row>
    <row r="219" spans="1:14" ht="13.95" customHeight="1">
      <c r="A219" s="9"/>
      <c r="B219" s="1"/>
      <c r="C219" s="33"/>
      <c r="D219" s="1"/>
      <c r="E219" s="3"/>
      <c r="F219" s="3"/>
      <c r="G219" s="5"/>
      <c r="I219" s="9"/>
      <c r="J219" s="9"/>
      <c r="K219" s="9"/>
      <c r="L219" s="103"/>
      <c r="M219" s="108"/>
      <c r="N219" s="9"/>
    </row>
    <row r="220" spans="1:14" ht="48" customHeight="1">
      <c r="A220" s="9">
        <f>A218+1</f>
        <v>39</v>
      </c>
      <c r="B220" s="1"/>
      <c r="C220" s="33" t="s">
        <v>227</v>
      </c>
      <c r="D220" s="1" t="s">
        <v>6</v>
      </c>
      <c r="E220" s="3">
        <f>SUM(I220:N220)</f>
        <v>0</v>
      </c>
      <c r="F220" s="3">
        <v>975</v>
      </c>
      <c r="G220" s="5">
        <f t="shared" ref="G220" si="49">+E220*F220</f>
        <v>0</v>
      </c>
      <c r="I220" s="45"/>
      <c r="J220" s="45"/>
      <c r="K220" s="45"/>
      <c r="L220" s="103"/>
      <c r="M220" s="108"/>
      <c r="N220" s="9"/>
    </row>
    <row r="221" spans="1:14" ht="12.6" customHeight="1">
      <c r="A221" s="9"/>
      <c r="B221" s="1"/>
      <c r="C221" s="33"/>
      <c r="D221" s="1"/>
      <c r="E221" s="3"/>
      <c r="F221" s="4"/>
      <c r="G221" s="5"/>
      <c r="I221" s="9"/>
      <c r="J221" s="9"/>
      <c r="K221" s="9"/>
      <c r="L221" s="103"/>
      <c r="M221" s="108"/>
      <c r="N221" s="9"/>
    </row>
    <row r="222" spans="1:14" ht="13.95" customHeight="1">
      <c r="A222" s="1"/>
      <c r="B222" s="1" t="s">
        <v>103</v>
      </c>
      <c r="C222" s="34" t="s">
        <v>7</v>
      </c>
      <c r="D222" s="1"/>
      <c r="E222" s="3"/>
      <c r="F222" s="4"/>
      <c r="G222" s="5"/>
      <c r="I222" s="9"/>
      <c r="J222" s="9"/>
      <c r="K222" s="9"/>
      <c r="L222" s="103"/>
      <c r="M222" s="108"/>
      <c r="N222" s="9"/>
    </row>
    <row r="223" spans="1:14" ht="13.95" customHeight="1">
      <c r="A223" s="1"/>
      <c r="B223" s="1"/>
      <c r="C223" s="33"/>
      <c r="D223" s="1"/>
      <c r="E223" s="3"/>
      <c r="F223" s="4"/>
      <c r="G223" s="5"/>
      <c r="I223" s="9"/>
      <c r="J223" s="9"/>
      <c r="K223" s="9"/>
      <c r="L223" s="103"/>
      <c r="M223" s="108"/>
      <c r="N223" s="9"/>
    </row>
    <row r="224" spans="1:14" ht="13.95" customHeight="1">
      <c r="A224" s="1"/>
      <c r="B224" s="1"/>
      <c r="C224" s="33" t="s">
        <v>68</v>
      </c>
      <c r="D224" s="1"/>
      <c r="E224" s="3"/>
      <c r="F224" s="4"/>
      <c r="G224" s="5"/>
      <c r="I224" s="9"/>
      <c r="J224" s="9"/>
      <c r="K224" s="9"/>
      <c r="L224" s="103"/>
      <c r="M224" s="108"/>
      <c r="N224" s="9"/>
    </row>
    <row r="225" spans="1:14" ht="13.95" customHeight="1">
      <c r="A225" s="1"/>
      <c r="B225" s="1"/>
      <c r="C225" s="33"/>
      <c r="D225" s="1"/>
      <c r="E225" s="3"/>
      <c r="F225" s="4"/>
      <c r="G225" s="5"/>
      <c r="I225" s="9"/>
      <c r="J225" s="9"/>
      <c r="K225" s="9"/>
      <c r="L225" s="103"/>
      <c r="M225" s="108"/>
      <c r="N225" s="9"/>
    </row>
    <row r="226" spans="1:14" ht="22.95" customHeight="1">
      <c r="A226" s="1">
        <f>A220+1</f>
        <v>40</v>
      </c>
      <c r="B226" s="1"/>
      <c r="C226" s="33" t="s">
        <v>197</v>
      </c>
      <c r="D226" s="1" t="s">
        <v>60</v>
      </c>
      <c r="E226" s="3">
        <f>SUM(I226:N226)</f>
        <v>0</v>
      </c>
      <c r="F226" s="13">
        <v>165</v>
      </c>
      <c r="G226" s="5">
        <f t="shared" ref="G226" si="50">+E226*F226</f>
        <v>0</v>
      </c>
      <c r="I226" s="9"/>
      <c r="J226" s="9"/>
      <c r="K226" s="9"/>
      <c r="L226" s="103"/>
      <c r="M226" s="108"/>
      <c r="N226" s="9"/>
    </row>
    <row r="227" spans="1:14" ht="13.95" customHeight="1">
      <c r="A227" s="1"/>
      <c r="B227" s="1"/>
      <c r="C227" s="33"/>
      <c r="D227" s="35"/>
      <c r="E227" s="3"/>
      <c r="F227" s="4"/>
      <c r="G227" s="5"/>
      <c r="I227" s="9"/>
      <c r="J227" s="9"/>
      <c r="K227" s="9"/>
      <c r="L227" s="103"/>
      <c r="M227" s="108"/>
      <c r="N227" s="9"/>
    </row>
    <row r="228" spans="1:14" ht="13.95" customHeight="1">
      <c r="A228" s="1"/>
      <c r="B228" s="1"/>
      <c r="C228" s="46" t="s">
        <v>231</v>
      </c>
      <c r="D228" s="1"/>
      <c r="E228" s="3"/>
      <c r="F228" s="4"/>
      <c r="G228" s="5"/>
      <c r="I228" s="9"/>
      <c r="J228" s="9"/>
      <c r="K228" s="9"/>
      <c r="L228" s="103"/>
      <c r="M228" s="108"/>
      <c r="N228" s="9"/>
    </row>
    <row r="229" spans="1:14" ht="13.95" customHeight="1">
      <c r="A229" s="1"/>
      <c r="B229" s="1"/>
      <c r="C229" s="47"/>
      <c r="D229" s="35"/>
      <c r="E229" s="3"/>
      <c r="F229" s="4"/>
      <c r="G229" s="5"/>
      <c r="I229" s="9"/>
      <c r="J229" s="9"/>
      <c r="K229" s="9"/>
      <c r="L229" s="103"/>
      <c r="M229" s="108"/>
      <c r="N229" s="9"/>
    </row>
    <row r="230" spans="1:14" ht="48.6" customHeight="1">
      <c r="A230" s="1">
        <f>A226+1</f>
        <v>41</v>
      </c>
      <c r="B230" s="1"/>
      <c r="C230" s="55" t="s">
        <v>75</v>
      </c>
      <c r="D230" s="1" t="s">
        <v>51</v>
      </c>
      <c r="E230" s="3">
        <f>SUM(I230:N230)</f>
        <v>0</v>
      </c>
      <c r="F230" s="3">
        <v>1185</v>
      </c>
      <c r="G230" s="5">
        <f t="shared" ref="G230" si="51">+E230*F230</f>
        <v>0</v>
      </c>
      <c r="I230" s="9"/>
      <c r="J230" s="9"/>
      <c r="K230" s="9"/>
      <c r="L230" s="103"/>
      <c r="M230" s="108"/>
      <c r="N230" s="9"/>
    </row>
    <row r="231" spans="1:14">
      <c r="A231" s="1"/>
      <c r="B231" s="1"/>
      <c r="C231" s="55"/>
      <c r="D231" s="35"/>
      <c r="E231" s="3"/>
      <c r="F231" s="3"/>
      <c r="G231" s="5"/>
      <c r="I231" s="9"/>
      <c r="J231" s="9"/>
      <c r="K231" s="9"/>
      <c r="L231" s="103"/>
      <c r="M231" s="108"/>
      <c r="N231" s="9"/>
    </row>
    <row r="232" spans="1:14">
      <c r="A232" s="1"/>
      <c r="B232" s="1"/>
      <c r="C232" s="55"/>
      <c r="D232" s="35"/>
      <c r="E232" s="3"/>
      <c r="F232" s="3"/>
      <c r="G232" s="5"/>
      <c r="I232" s="9"/>
      <c r="J232" s="9"/>
      <c r="K232" s="9"/>
      <c r="L232" s="103"/>
      <c r="M232" s="108"/>
      <c r="N232" s="9"/>
    </row>
    <row r="233" spans="1:14">
      <c r="A233" s="1"/>
      <c r="B233" s="1"/>
      <c r="C233" s="55"/>
      <c r="D233" s="35"/>
      <c r="E233" s="3"/>
      <c r="F233" s="3"/>
      <c r="G233" s="5"/>
      <c r="I233" s="9"/>
      <c r="J233" s="9"/>
      <c r="K233" s="9"/>
      <c r="L233" s="103"/>
      <c r="M233" s="108"/>
      <c r="N233" s="9"/>
    </row>
    <row r="234" spans="1:14">
      <c r="A234" s="1"/>
      <c r="B234" s="1"/>
      <c r="C234" s="55"/>
      <c r="D234" s="35"/>
      <c r="E234" s="3"/>
      <c r="F234" s="3"/>
      <c r="G234" s="5"/>
      <c r="I234" s="9"/>
      <c r="J234" s="9"/>
      <c r="K234" s="9"/>
      <c r="L234" s="103"/>
      <c r="M234" s="108"/>
      <c r="N234" s="9"/>
    </row>
    <row r="235" spans="1:14">
      <c r="A235" s="1"/>
      <c r="B235" s="1"/>
      <c r="C235" s="55"/>
      <c r="D235" s="35"/>
      <c r="E235" s="3"/>
      <c r="F235" s="3"/>
      <c r="G235" s="5"/>
      <c r="I235" s="9"/>
      <c r="J235" s="9"/>
      <c r="K235" s="9"/>
      <c r="L235" s="103"/>
      <c r="M235" s="108"/>
      <c r="N235" s="9"/>
    </row>
    <row r="236" spans="1:14">
      <c r="A236" s="1"/>
      <c r="B236" s="1"/>
      <c r="C236" s="55"/>
      <c r="D236" s="35"/>
      <c r="E236" s="3"/>
      <c r="F236" s="3"/>
      <c r="G236" s="5"/>
      <c r="I236" s="9"/>
      <c r="J236" s="9"/>
      <c r="K236" s="9"/>
      <c r="L236" s="103"/>
      <c r="M236" s="108"/>
      <c r="N236" s="9"/>
    </row>
    <row r="237" spans="1:14" ht="13.95" customHeight="1">
      <c r="A237" s="1"/>
      <c r="B237" s="1"/>
      <c r="C237" s="55"/>
      <c r="D237" s="35"/>
      <c r="E237" s="3"/>
      <c r="F237" s="4"/>
      <c r="G237" s="5"/>
      <c r="I237" s="9"/>
      <c r="J237" s="9"/>
      <c r="K237" s="9"/>
      <c r="L237" s="103"/>
      <c r="M237" s="108"/>
      <c r="N237" s="9"/>
    </row>
    <row r="238" spans="1:14" ht="13.95" customHeight="1">
      <c r="A238" s="1"/>
      <c r="B238" s="1"/>
      <c r="C238" s="55"/>
      <c r="D238" s="35"/>
      <c r="E238" s="3"/>
      <c r="F238" s="4"/>
      <c r="G238" s="5"/>
      <c r="I238" s="9"/>
      <c r="J238" s="9"/>
      <c r="K238" s="9"/>
      <c r="L238" s="103"/>
      <c r="M238" s="108"/>
      <c r="N238" s="9"/>
    </row>
    <row r="239" spans="1:14" ht="13.95" customHeight="1">
      <c r="A239" s="1"/>
      <c r="B239" s="1"/>
      <c r="C239" s="55"/>
      <c r="D239" s="35"/>
      <c r="E239" s="3"/>
      <c r="F239" s="4"/>
      <c r="G239" s="5"/>
      <c r="I239" s="9"/>
      <c r="J239" s="9"/>
      <c r="K239" s="9"/>
      <c r="L239" s="103"/>
      <c r="M239" s="108"/>
      <c r="N239" s="9"/>
    </row>
    <row r="240" spans="1:14" ht="13.95" customHeight="1">
      <c r="A240" s="1"/>
      <c r="B240" s="1"/>
      <c r="C240" s="55"/>
      <c r="D240" s="35"/>
      <c r="E240" s="3"/>
      <c r="F240" s="4"/>
      <c r="G240" s="5"/>
      <c r="I240" s="9"/>
      <c r="J240" s="9"/>
      <c r="K240" s="9"/>
      <c r="L240" s="103"/>
      <c r="M240" s="108"/>
      <c r="N240" s="9"/>
    </row>
    <row r="241" spans="1:14" ht="13.95" customHeight="1">
      <c r="A241" s="1"/>
      <c r="B241" s="1"/>
      <c r="C241" s="55"/>
      <c r="D241" s="35"/>
      <c r="E241" s="3"/>
      <c r="F241" s="4"/>
      <c r="G241" s="5"/>
      <c r="I241" s="9"/>
      <c r="J241" s="9"/>
      <c r="K241" s="9"/>
      <c r="L241" s="103"/>
      <c r="M241" s="108"/>
      <c r="N241" s="9"/>
    </row>
    <row r="242" spans="1:14" ht="20.100000000000001" customHeight="1">
      <c r="A242" s="149" t="s">
        <v>66</v>
      </c>
      <c r="B242" s="150"/>
      <c r="C242" s="150"/>
      <c r="D242" s="150"/>
      <c r="E242" s="150"/>
      <c r="F242" s="151"/>
      <c r="G242" s="116">
        <f>SUM(G202:G241)</f>
        <v>119393</v>
      </c>
      <c r="I242" s="9"/>
      <c r="J242" s="9"/>
      <c r="K242" s="9"/>
      <c r="L242" s="103"/>
      <c r="M242" s="108"/>
      <c r="N242" s="9"/>
    </row>
    <row r="243" spans="1:14" ht="13.95" customHeight="1">
      <c r="A243" s="39"/>
      <c r="B243" s="39"/>
      <c r="C243" s="39"/>
      <c r="D243" s="39"/>
      <c r="E243" s="39"/>
      <c r="F243" s="39"/>
      <c r="G243" s="113"/>
      <c r="I243" s="9"/>
      <c r="J243" s="9"/>
      <c r="K243" s="9"/>
      <c r="L243" s="103"/>
      <c r="M243" s="108"/>
      <c r="N243" s="9"/>
    </row>
    <row r="244" spans="1:14" ht="13.95" customHeight="1">
      <c r="A244" s="39"/>
      <c r="B244" s="39"/>
      <c r="C244" s="39"/>
      <c r="D244" s="39"/>
      <c r="E244" s="39"/>
      <c r="F244" s="39"/>
      <c r="G244" s="113"/>
      <c r="I244" s="9"/>
      <c r="J244" s="9"/>
      <c r="K244" s="9"/>
      <c r="L244" s="103"/>
      <c r="M244" s="108"/>
      <c r="N244" s="9"/>
    </row>
    <row r="245" spans="1:14" ht="22.2" customHeight="1">
      <c r="A245" s="44" t="s">
        <v>8</v>
      </c>
      <c r="B245" s="48" t="s">
        <v>9</v>
      </c>
      <c r="C245" s="44" t="s">
        <v>10</v>
      </c>
      <c r="D245" s="48" t="s">
        <v>11</v>
      </c>
      <c r="E245" s="48" t="s">
        <v>59</v>
      </c>
      <c r="F245" s="49" t="s">
        <v>12</v>
      </c>
      <c r="G245" s="111" t="s">
        <v>13</v>
      </c>
      <c r="I245" s="9"/>
      <c r="J245" s="9"/>
      <c r="K245" s="9"/>
      <c r="L245" s="103"/>
      <c r="M245" s="108"/>
      <c r="N245" s="9"/>
    </row>
    <row r="246" spans="1:14" ht="20.100000000000001" customHeight="1">
      <c r="A246" s="149" t="s">
        <v>67</v>
      </c>
      <c r="B246" s="150"/>
      <c r="C246" s="150"/>
      <c r="D246" s="150"/>
      <c r="E246" s="150"/>
      <c r="F246" s="151"/>
      <c r="G246" s="116">
        <f>+G242</f>
        <v>119393</v>
      </c>
      <c r="I246" s="9"/>
      <c r="J246" s="9"/>
      <c r="K246" s="9"/>
      <c r="L246" s="103"/>
      <c r="M246" s="108"/>
      <c r="N246" s="9"/>
    </row>
    <row r="247" spans="1:14" ht="13.95" customHeight="1">
      <c r="A247" s="1"/>
      <c r="B247" s="1"/>
      <c r="C247" s="55"/>
      <c r="D247" s="35"/>
      <c r="E247" s="3"/>
      <c r="F247" s="4"/>
      <c r="G247" s="5"/>
      <c r="I247" s="9"/>
      <c r="J247" s="9"/>
      <c r="K247" s="9"/>
      <c r="L247" s="103"/>
      <c r="M247" s="108"/>
      <c r="N247" s="9"/>
    </row>
    <row r="248" spans="1:14" ht="13.95" customHeight="1">
      <c r="A248" s="1"/>
      <c r="B248" s="1"/>
      <c r="C248" s="56" t="s">
        <v>230</v>
      </c>
      <c r="D248" s="9"/>
      <c r="E248" s="9"/>
      <c r="F248" s="122"/>
      <c r="G248" s="5"/>
      <c r="I248" s="9"/>
      <c r="J248" s="9"/>
      <c r="K248" s="9"/>
      <c r="L248" s="103"/>
      <c r="M248" s="108"/>
      <c r="N248" s="9"/>
    </row>
    <row r="249" spans="1:14" ht="13.95" customHeight="1">
      <c r="A249" s="1"/>
      <c r="B249" s="1"/>
      <c r="C249" s="57"/>
      <c r="D249" s="9"/>
      <c r="E249" s="9"/>
      <c r="F249" s="122"/>
      <c r="G249" s="5"/>
      <c r="I249" s="9"/>
      <c r="J249" s="9"/>
      <c r="K249" s="9"/>
      <c r="L249" s="103"/>
      <c r="M249" s="108"/>
      <c r="N249" s="9"/>
    </row>
    <row r="250" spans="1:14" ht="48" customHeight="1">
      <c r="A250" s="1"/>
      <c r="B250" s="1"/>
      <c r="C250" s="33" t="s">
        <v>242</v>
      </c>
      <c r="D250" s="57"/>
      <c r="E250" s="57"/>
      <c r="F250" s="57"/>
      <c r="G250" s="5"/>
      <c r="I250" s="9"/>
      <c r="J250" s="9"/>
      <c r="K250" s="9"/>
      <c r="L250" s="103"/>
      <c r="M250" s="108"/>
      <c r="N250" s="9"/>
    </row>
    <row r="251" spans="1:14" ht="13.95" customHeight="1">
      <c r="A251" s="1"/>
      <c r="B251" s="1"/>
      <c r="C251" s="33"/>
      <c r="D251" s="9"/>
      <c r="E251" s="9"/>
      <c r="F251" s="122"/>
      <c r="G251" s="5"/>
      <c r="I251" s="9"/>
      <c r="J251" s="9"/>
      <c r="K251" s="9"/>
      <c r="L251" s="103"/>
      <c r="M251" s="108"/>
      <c r="N251" s="9"/>
    </row>
    <row r="252" spans="1:14" ht="25.95" customHeight="1">
      <c r="A252" s="1"/>
      <c r="B252" s="1"/>
      <c r="C252" s="33" t="s">
        <v>232</v>
      </c>
      <c r="D252" s="9"/>
      <c r="E252" s="9"/>
      <c r="F252" s="122"/>
      <c r="G252" s="5"/>
      <c r="I252" s="9"/>
      <c r="J252" s="9"/>
      <c r="K252" s="9"/>
      <c r="L252" s="103"/>
      <c r="M252" s="108"/>
      <c r="N252" s="9"/>
    </row>
    <row r="253" spans="1:14" ht="13.95" customHeight="1">
      <c r="A253" s="1"/>
      <c r="B253" s="1"/>
      <c r="C253" s="33"/>
      <c r="D253" s="9"/>
      <c r="E253" s="9"/>
      <c r="F253" s="122"/>
      <c r="G253" s="5"/>
      <c r="I253" s="9"/>
      <c r="J253" s="9"/>
      <c r="K253" s="9"/>
      <c r="L253" s="103"/>
      <c r="M253" s="108"/>
      <c r="N253" s="9"/>
    </row>
    <row r="254" spans="1:14" ht="38.4" customHeight="1">
      <c r="A254" s="1">
        <f>A230+1</f>
        <v>42</v>
      </c>
      <c r="B254" s="1"/>
      <c r="C254" s="33" t="s">
        <v>233</v>
      </c>
      <c r="D254" s="9" t="s">
        <v>1</v>
      </c>
      <c r="E254" s="3">
        <f>SUM(I254:N254)</f>
        <v>0</v>
      </c>
      <c r="F254" s="144">
        <v>775</v>
      </c>
      <c r="G254" s="5">
        <f t="shared" ref="G254" si="52">+E254*F254</f>
        <v>0</v>
      </c>
      <c r="I254" s="9"/>
      <c r="J254" s="9"/>
      <c r="K254" s="9"/>
      <c r="L254" s="103"/>
      <c r="M254" s="108"/>
      <c r="N254" s="9"/>
    </row>
    <row r="255" spans="1:14" ht="13.95" customHeight="1">
      <c r="A255" s="1"/>
      <c r="B255" s="1"/>
      <c r="C255" s="33"/>
      <c r="D255" s="9"/>
      <c r="E255" s="9"/>
      <c r="F255" s="144"/>
      <c r="G255" s="5"/>
      <c r="I255" s="9"/>
      <c r="J255" s="9"/>
      <c r="K255" s="9"/>
      <c r="L255" s="103"/>
      <c r="M255" s="108"/>
      <c r="N255" s="9"/>
    </row>
    <row r="256" spans="1:14" ht="25.95" customHeight="1">
      <c r="A256" s="1">
        <f>A254+1</f>
        <v>43</v>
      </c>
      <c r="B256" s="1"/>
      <c r="C256" s="33" t="s">
        <v>228</v>
      </c>
      <c r="D256" s="9" t="s">
        <v>6</v>
      </c>
      <c r="E256" s="3">
        <f>SUM(I256:N256)</f>
        <v>0</v>
      </c>
      <c r="F256" s="144">
        <v>275</v>
      </c>
      <c r="G256" s="5">
        <f t="shared" ref="G256" si="53">+E256*F256</f>
        <v>0</v>
      </c>
      <c r="I256" s="9"/>
      <c r="J256" s="9"/>
      <c r="K256" s="9"/>
      <c r="L256" s="103"/>
      <c r="M256" s="108"/>
      <c r="N256" s="9"/>
    </row>
    <row r="257" spans="1:14" ht="13.95" customHeight="1">
      <c r="A257" s="1"/>
      <c r="B257" s="1"/>
      <c r="C257" s="33"/>
      <c r="D257" s="9"/>
      <c r="E257" s="9"/>
      <c r="F257" s="144"/>
      <c r="G257" s="5"/>
      <c r="I257" s="9"/>
      <c r="J257" s="9"/>
      <c r="K257" s="9"/>
      <c r="L257" s="103"/>
      <c r="M257" s="108"/>
      <c r="N257" s="9"/>
    </row>
    <row r="258" spans="1:14" ht="13.95" customHeight="1">
      <c r="A258" s="1">
        <f>A256+1</f>
        <v>44</v>
      </c>
      <c r="B258" s="1"/>
      <c r="C258" s="33" t="s">
        <v>229</v>
      </c>
      <c r="D258" s="9" t="s">
        <v>6</v>
      </c>
      <c r="E258" s="3">
        <f>SUM(I258:N258)</f>
        <v>0</v>
      </c>
      <c r="F258" s="144">
        <v>650</v>
      </c>
      <c r="G258" s="5">
        <f t="shared" ref="G258" si="54">+E258*F258</f>
        <v>0</v>
      </c>
      <c r="I258" s="9"/>
      <c r="J258" s="9"/>
      <c r="K258" s="9"/>
      <c r="L258" s="103"/>
      <c r="M258" s="108"/>
      <c r="N258" s="9"/>
    </row>
    <row r="259" spans="1:14" ht="13.95" customHeight="1">
      <c r="A259" s="1"/>
      <c r="B259" s="1"/>
      <c r="C259" s="17"/>
      <c r="D259" s="35"/>
      <c r="E259" s="3"/>
      <c r="F259" s="14"/>
      <c r="G259" s="5"/>
      <c r="I259" s="9"/>
      <c r="J259" s="9"/>
      <c r="K259" s="9"/>
      <c r="L259" s="103"/>
      <c r="M259" s="108"/>
      <c r="N259" s="9"/>
    </row>
    <row r="260" spans="1:14">
      <c r="A260" s="16">
        <f>+A258+1</f>
        <v>45</v>
      </c>
      <c r="B260" s="16"/>
      <c r="C260" s="47" t="s">
        <v>241</v>
      </c>
      <c r="D260" s="58" t="s">
        <v>1</v>
      </c>
      <c r="E260" s="3">
        <f>SUM(I260:N260)</f>
        <v>0</v>
      </c>
      <c r="F260" s="13">
        <v>425</v>
      </c>
      <c r="G260" s="15">
        <f t="shared" ref="G260" si="55">+E260*F260</f>
        <v>0</v>
      </c>
      <c r="I260" s="9"/>
      <c r="J260" s="9"/>
      <c r="K260" s="9"/>
      <c r="L260" s="103"/>
      <c r="M260" s="108"/>
      <c r="N260" s="9"/>
    </row>
    <row r="261" spans="1:14" ht="13.95" customHeight="1">
      <c r="A261" s="1"/>
      <c r="B261" s="1"/>
      <c r="C261" s="17"/>
      <c r="D261" s="35"/>
      <c r="E261" s="3"/>
      <c r="F261" s="4"/>
      <c r="G261" s="5"/>
      <c r="I261" s="9"/>
      <c r="J261" s="9"/>
      <c r="K261" s="9"/>
      <c r="L261" s="103"/>
      <c r="M261" s="108"/>
      <c r="N261" s="9"/>
    </row>
    <row r="262" spans="1:14" ht="22.2" customHeight="1">
      <c r="A262" s="1"/>
      <c r="B262" s="51" t="s">
        <v>105</v>
      </c>
      <c r="C262" s="11" t="s">
        <v>204</v>
      </c>
      <c r="D262" s="40"/>
      <c r="E262" s="3"/>
      <c r="F262" s="4"/>
      <c r="G262" s="5"/>
      <c r="I262" s="9"/>
      <c r="J262" s="9"/>
      <c r="K262" s="9"/>
      <c r="L262" s="103"/>
      <c r="M262" s="108"/>
      <c r="N262" s="9"/>
    </row>
    <row r="263" spans="1:14" ht="13.95" customHeight="1">
      <c r="A263" s="1"/>
      <c r="B263" s="51"/>
      <c r="C263" s="6"/>
      <c r="D263" s="9"/>
      <c r="E263" s="3"/>
      <c r="F263" s="4"/>
      <c r="G263" s="5"/>
      <c r="I263" s="9"/>
      <c r="J263" s="9"/>
      <c r="K263" s="9"/>
      <c r="L263" s="103"/>
      <c r="M263" s="108"/>
      <c r="N263" s="9"/>
    </row>
    <row r="264" spans="1:14" ht="13.95" customHeight="1">
      <c r="A264" s="1"/>
      <c r="B264" s="51" t="s">
        <v>92</v>
      </c>
      <c r="C264" s="52" t="s">
        <v>205</v>
      </c>
      <c r="D264" s="9"/>
      <c r="E264" s="3"/>
      <c r="F264" s="4"/>
      <c r="G264" s="5"/>
      <c r="I264" s="9"/>
      <c r="J264" s="9"/>
      <c r="K264" s="9"/>
      <c r="L264" s="103"/>
      <c r="M264" s="108"/>
      <c r="N264" s="9"/>
    </row>
    <row r="265" spans="1:14" ht="13.95" customHeight="1">
      <c r="A265" s="1"/>
      <c r="B265" s="51"/>
      <c r="C265" s="6"/>
      <c r="D265" s="9"/>
      <c r="E265" s="3"/>
      <c r="F265" s="4"/>
      <c r="G265" s="5"/>
      <c r="I265" s="9"/>
      <c r="J265" s="9"/>
      <c r="K265" s="9"/>
      <c r="L265" s="103"/>
      <c r="M265" s="108"/>
      <c r="N265" s="9"/>
    </row>
    <row r="266" spans="1:14" ht="24" customHeight="1">
      <c r="A266" s="1"/>
      <c r="B266" s="51" t="s">
        <v>206</v>
      </c>
      <c r="C266" s="21" t="s">
        <v>207</v>
      </c>
      <c r="D266" s="9"/>
      <c r="E266" s="3"/>
      <c r="F266" s="4"/>
      <c r="G266" s="5"/>
      <c r="I266" s="9"/>
      <c r="J266" s="9"/>
      <c r="K266" s="9"/>
      <c r="L266" s="103"/>
      <c r="M266" s="108"/>
      <c r="N266" s="9"/>
    </row>
    <row r="267" spans="1:14" ht="13.95" customHeight="1">
      <c r="A267" s="1"/>
      <c r="B267" s="51"/>
      <c r="C267" s="6"/>
      <c r="D267" s="9"/>
      <c r="E267" s="3"/>
      <c r="F267" s="4"/>
      <c r="G267" s="5"/>
      <c r="I267" s="9"/>
      <c r="J267" s="9"/>
      <c r="K267" s="9"/>
      <c r="L267" s="103"/>
      <c r="M267" s="108"/>
      <c r="N267" s="9"/>
    </row>
    <row r="268" spans="1:14" ht="13.95" customHeight="1">
      <c r="A268" s="1">
        <f>A260+1</f>
        <v>46</v>
      </c>
      <c r="B268" s="51" t="s">
        <v>208</v>
      </c>
      <c r="C268" s="6" t="s">
        <v>21</v>
      </c>
      <c r="D268" s="9" t="s">
        <v>1</v>
      </c>
      <c r="E268" s="3">
        <f>SUM(I268:N268)</f>
        <v>0</v>
      </c>
      <c r="F268" s="13">
        <v>1950</v>
      </c>
      <c r="G268" s="5">
        <f t="shared" ref="G268" si="56">+E268*F268</f>
        <v>0</v>
      </c>
      <c r="I268" s="9"/>
      <c r="J268" s="9"/>
      <c r="K268" s="9"/>
      <c r="L268" s="103"/>
      <c r="M268" s="108"/>
      <c r="N268" s="9"/>
    </row>
    <row r="269" spans="1:14" ht="13.95" customHeight="1">
      <c r="A269" s="1"/>
      <c r="B269" s="51"/>
      <c r="C269" s="6"/>
      <c r="D269" s="9"/>
      <c r="E269" s="3"/>
      <c r="F269" s="13"/>
      <c r="G269" s="5"/>
      <c r="I269" s="9"/>
      <c r="J269" s="9"/>
      <c r="K269" s="9"/>
      <c r="L269" s="103"/>
      <c r="M269" s="108"/>
      <c r="N269" s="9"/>
    </row>
    <row r="270" spans="1:14" ht="12.6" customHeight="1">
      <c r="A270" s="1">
        <f>A268+1</f>
        <v>47</v>
      </c>
      <c r="B270" s="51" t="s">
        <v>209</v>
      </c>
      <c r="C270" s="18" t="s">
        <v>210</v>
      </c>
      <c r="D270" s="9" t="s">
        <v>6</v>
      </c>
      <c r="E270" s="3">
        <f>SUM(I270:N270)</f>
        <v>0</v>
      </c>
      <c r="F270" s="13">
        <v>350</v>
      </c>
      <c r="G270" s="5">
        <f t="shared" ref="G270" si="57">+E270*F270</f>
        <v>0</v>
      </c>
      <c r="I270" s="9"/>
      <c r="J270" s="9"/>
      <c r="K270" s="9"/>
      <c r="L270" s="103"/>
      <c r="M270" s="108"/>
      <c r="N270" s="9"/>
    </row>
    <row r="271" spans="1:14" ht="12.6" customHeight="1">
      <c r="A271" s="1"/>
      <c r="B271" s="1"/>
      <c r="C271" s="33"/>
      <c r="D271" s="35"/>
      <c r="E271" s="3"/>
      <c r="F271" s="13"/>
      <c r="G271" s="5"/>
      <c r="I271" s="9"/>
      <c r="J271" s="9"/>
      <c r="K271" s="9"/>
      <c r="L271" s="103"/>
      <c r="M271" s="108"/>
      <c r="N271" s="9"/>
    </row>
    <row r="272" spans="1:14" ht="12.6" customHeight="1">
      <c r="A272" s="1"/>
      <c r="B272" s="1"/>
      <c r="C272" s="123" t="s">
        <v>236</v>
      </c>
      <c r="D272" s="35"/>
      <c r="E272" s="3"/>
      <c r="F272" s="13"/>
      <c r="G272" s="5"/>
      <c r="I272" s="9"/>
      <c r="J272" s="9"/>
      <c r="K272" s="9"/>
      <c r="L272" s="103"/>
      <c r="M272" s="108"/>
      <c r="N272" s="9"/>
    </row>
    <row r="273" spans="1:14" ht="12.6" customHeight="1">
      <c r="A273" s="1"/>
      <c r="B273" s="1"/>
      <c r="C273" s="6"/>
      <c r="D273" s="35"/>
      <c r="E273" s="3"/>
      <c r="F273" s="13"/>
      <c r="G273" s="5"/>
      <c r="I273" s="9"/>
      <c r="J273" s="9"/>
      <c r="K273" s="9"/>
      <c r="L273" s="103"/>
      <c r="M273" s="108"/>
      <c r="N273" s="9"/>
    </row>
    <row r="274" spans="1:14" ht="12.6" customHeight="1">
      <c r="A274" s="1"/>
      <c r="B274" s="1"/>
      <c r="C274" s="124" t="s">
        <v>234</v>
      </c>
      <c r="D274" s="35"/>
      <c r="E274" s="3"/>
      <c r="F274" s="13"/>
      <c r="G274" s="5"/>
      <c r="I274" s="9"/>
      <c r="J274" s="9"/>
      <c r="K274" s="9"/>
      <c r="L274" s="103"/>
      <c r="M274" s="108"/>
      <c r="N274" s="9"/>
    </row>
    <row r="275" spans="1:14" ht="12.6" customHeight="1">
      <c r="A275" s="1"/>
      <c r="B275" s="1"/>
      <c r="C275" s="33"/>
      <c r="D275" s="35"/>
      <c r="E275" s="3"/>
      <c r="F275" s="13"/>
      <c r="G275" s="5"/>
      <c r="I275" s="9"/>
      <c r="J275" s="9"/>
      <c r="K275" s="9"/>
      <c r="L275" s="103"/>
      <c r="M275" s="108"/>
      <c r="N275" s="9"/>
    </row>
    <row r="276" spans="1:14" ht="38.4" customHeight="1">
      <c r="A276" s="1">
        <f>A270+1</f>
        <v>48</v>
      </c>
      <c r="B276" s="1"/>
      <c r="C276" s="125" t="s">
        <v>235</v>
      </c>
      <c r="D276" s="1" t="s">
        <v>60</v>
      </c>
      <c r="E276" s="3">
        <f>SUM(I276:N276)</f>
        <v>0</v>
      </c>
      <c r="F276" s="13">
        <v>3750</v>
      </c>
      <c r="G276" s="5">
        <f t="shared" ref="G276" si="58">+E276*F276</f>
        <v>0</v>
      </c>
      <c r="I276" s="9"/>
      <c r="J276" s="9"/>
      <c r="K276" s="9"/>
      <c r="L276" s="103"/>
      <c r="M276" s="108"/>
      <c r="N276" s="9"/>
    </row>
    <row r="277" spans="1:14" ht="12.6" customHeight="1">
      <c r="A277" s="1"/>
      <c r="B277" s="1"/>
      <c r="C277" s="33"/>
      <c r="D277" s="35"/>
      <c r="E277" s="3"/>
      <c r="F277" s="13"/>
      <c r="G277" s="5"/>
      <c r="I277" s="9"/>
      <c r="J277" s="9"/>
      <c r="K277" s="9"/>
      <c r="L277" s="103"/>
      <c r="M277" s="108"/>
      <c r="N277" s="9"/>
    </row>
    <row r="278" spans="1:14" ht="13.95" customHeight="1">
      <c r="A278" s="1"/>
      <c r="B278" s="1"/>
      <c r="C278" s="34" t="s">
        <v>212</v>
      </c>
      <c r="D278" s="1" t="s">
        <v>64</v>
      </c>
      <c r="E278" s="3"/>
      <c r="F278" s="14"/>
      <c r="G278" s="5"/>
      <c r="I278" s="9"/>
      <c r="J278" s="9"/>
      <c r="K278" s="9"/>
      <c r="L278" s="103"/>
      <c r="M278" s="108"/>
      <c r="N278" s="9"/>
    </row>
    <row r="279" spans="1:14" ht="13.95" customHeight="1">
      <c r="A279" s="1"/>
      <c r="B279" s="1"/>
      <c r="C279" s="33" t="s">
        <v>64</v>
      </c>
      <c r="D279" s="1" t="s">
        <v>64</v>
      </c>
      <c r="E279" s="3"/>
      <c r="F279" s="4"/>
      <c r="G279" s="5"/>
      <c r="I279" s="9"/>
      <c r="J279" s="9"/>
      <c r="K279" s="9"/>
      <c r="L279" s="103"/>
      <c r="M279" s="108"/>
      <c r="N279" s="9"/>
    </row>
    <row r="280" spans="1:14" ht="22.2" customHeight="1">
      <c r="A280" s="1">
        <f>A276+1</f>
        <v>49</v>
      </c>
      <c r="B280" s="1"/>
      <c r="C280" s="33" t="s">
        <v>217</v>
      </c>
      <c r="D280" s="1" t="s">
        <v>60</v>
      </c>
      <c r="E280" s="3">
        <f>SUM(I280:N280)</f>
        <v>0</v>
      </c>
      <c r="F280" s="3">
        <v>885</v>
      </c>
      <c r="G280" s="5">
        <f t="shared" ref="G280" si="59">+E280*F280</f>
        <v>0</v>
      </c>
      <c r="I280" s="9"/>
      <c r="J280" s="9"/>
      <c r="K280" s="9"/>
      <c r="L280" s="103"/>
      <c r="M280" s="108"/>
      <c r="N280" s="9"/>
    </row>
    <row r="281" spans="1:14">
      <c r="A281" s="1"/>
      <c r="B281" s="1"/>
      <c r="C281" s="33"/>
      <c r="D281" s="35"/>
      <c r="E281" s="3"/>
      <c r="F281" s="3"/>
      <c r="G281" s="5"/>
      <c r="I281" s="9"/>
      <c r="J281" s="9"/>
      <c r="K281" s="9"/>
      <c r="L281" s="103"/>
      <c r="M281" s="108"/>
      <c r="N281" s="9"/>
    </row>
    <row r="282" spans="1:14" ht="13.95" customHeight="1">
      <c r="A282" s="1"/>
      <c r="B282" s="1"/>
      <c r="C282" s="33"/>
      <c r="D282" s="35"/>
      <c r="E282" s="3"/>
      <c r="F282" s="4"/>
      <c r="G282" s="5"/>
      <c r="I282" s="9"/>
      <c r="J282" s="9"/>
      <c r="K282" s="9"/>
      <c r="L282" s="103"/>
      <c r="M282" s="108"/>
      <c r="N282" s="9"/>
    </row>
    <row r="283" spans="1:14" ht="13.95" customHeight="1">
      <c r="A283" s="1"/>
      <c r="B283" s="1"/>
      <c r="C283" s="33"/>
      <c r="D283" s="35"/>
      <c r="E283" s="3"/>
      <c r="F283" s="4"/>
      <c r="G283" s="5"/>
      <c r="I283" s="9"/>
      <c r="J283" s="9"/>
      <c r="K283" s="9"/>
      <c r="L283" s="103"/>
      <c r="M283" s="108"/>
      <c r="N283" s="9"/>
    </row>
    <row r="284" spans="1:14" ht="13.95" customHeight="1">
      <c r="A284" s="1"/>
      <c r="B284" s="1"/>
      <c r="C284" s="33"/>
      <c r="D284" s="35"/>
      <c r="E284" s="3"/>
      <c r="F284" s="4"/>
      <c r="G284" s="5"/>
      <c r="I284" s="9"/>
      <c r="J284" s="9"/>
      <c r="K284" s="9"/>
      <c r="L284" s="103"/>
      <c r="M284" s="108"/>
      <c r="N284" s="9"/>
    </row>
    <row r="285" spans="1:14" ht="20.100000000000001" customHeight="1">
      <c r="A285" s="149" t="s">
        <v>66</v>
      </c>
      <c r="B285" s="150"/>
      <c r="C285" s="150"/>
      <c r="D285" s="150"/>
      <c r="E285" s="150"/>
      <c r="F285" s="151"/>
      <c r="G285" s="116">
        <f>SUM(G246:G284)</f>
        <v>119393</v>
      </c>
      <c r="I285" s="9"/>
      <c r="J285" s="9"/>
      <c r="K285" s="9"/>
      <c r="L285" s="103"/>
      <c r="M285" s="108"/>
      <c r="N285" s="9"/>
    </row>
    <row r="286" spans="1:14" ht="13.95" customHeight="1">
      <c r="A286" s="39"/>
      <c r="B286" s="39"/>
      <c r="C286" s="39"/>
      <c r="D286" s="39"/>
      <c r="E286" s="39"/>
      <c r="F286" s="39"/>
      <c r="G286" s="113"/>
      <c r="I286" s="9"/>
      <c r="J286" s="9"/>
      <c r="K286" s="9"/>
      <c r="L286" s="103"/>
      <c r="M286" s="108"/>
      <c r="N286" s="9"/>
    </row>
    <row r="287" spans="1:14" ht="13.95" customHeight="1">
      <c r="A287" s="39"/>
      <c r="B287" s="39"/>
      <c r="C287" s="39"/>
      <c r="D287" s="39"/>
      <c r="E287" s="39"/>
      <c r="F287" s="39"/>
      <c r="G287" s="113"/>
      <c r="I287" s="9"/>
      <c r="J287" s="9"/>
      <c r="K287" s="9"/>
      <c r="L287" s="103"/>
      <c r="M287" s="108"/>
      <c r="N287" s="9"/>
    </row>
    <row r="288" spans="1:14" ht="22.2" customHeight="1">
      <c r="A288" s="44" t="s">
        <v>8</v>
      </c>
      <c r="B288" s="48" t="s">
        <v>9</v>
      </c>
      <c r="C288" s="44" t="s">
        <v>10</v>
      </c>
      <c r="D288" s="48" t="s">
        <v>11</v>
      </c>
      <c r="E288" s="48" t="s">
        <v>59</v>
      </c>
      <c r="F288" s="49" t="s">
        <v>12</v>
      </c>
      <c r="G288" s="111" t="s">
        <v>13</v>
      </c>
      <c r="I288" s="9"/>
      <c r="J288" s="9"/>
      <c r="K288" s="9"/>
      <c r="L288" s="103"/>
      <c r="M288" s="108"/>
      <c r="N288" s="9"/>
    </row>
    <row r="289" spans="1:14" ht="20.100000000000001" customHeight="1">
      <c r="A289" s="149" t="s">
        <v>67</v>
      </c>
      <c r="B289" s="150"/>
      <c r="C289" s="150"/>
      <c r="D289" s="150"/>
      <c r="E289" s="150"/>
      <c r="F289" s="151"/>
      <c r="G289" s="116">
        <f>+G285</f>
        <v>119393</v>
      </c>
      <c r="I289" s="9"/>
      <c r="J289" s="9"/>
      <c r="K289" s="9"/>
      <c r="L289" s="103"/>
      <c r="M289" s="108"/>
      <c r="N289" s="9"/>
    </row>
    <row r="290" spans="1:14" ht="13.95" customHeight="1">
      <c r="A290" s="1"/>
      <c r="B290" s="1"/>
      <c r="C290" s="33"/>
      <c r="D290" s="35"/>
      <c r="E290" s="3"/>
      <c r="F290" s="4"/>
      <c r="G290" s="5"/>
      <c r="I290" s="9"/>
      <c r="J290" s="9"/>
      <c r="K290" s="9"/>
      <c r="L290" s="103"/>
      <c r="M290" s="108"/>
      <c r="N290" s="9"/>
    </row>
    <row r="291" spans="1:14" ht="13.95" customHeight="1">
      <c r="A291" s="16"/>
      <c r="B291" s="76" t="s">
        <v>167</v>
      </c>
      <c r="C291" s="74" t="s">
        <v>168</v>
      </c>
      <c r="D291" s="93"/>
      <c r="E291" s="94"/>
      <c r="F291" s="14"/>
      <c r="G291" s="15"/>
      <c r="I291" s="9"/>
      <c r="J291" s="9"/>
      <c r="K291" s="9"/>
      <c r="L291" s="103"/>
      <c r="M291" s="108"/>
      <c r="N291" s="9"/>
    </row>
    <row r="292" spans="1:14" ht="13.95" customHeight="1">
      <c r="A292" s="16"/>
      <c r="B292" s="12"/>
      <c r="C292" s="75"/>
      <c r="D292" s="93"/>
      <c r="E292" s="94"/>
      <c r="F292" s="14"/>
      <c r="G292" s="15"/>
      <c r="I292" s="9"/>
      <c r="J292" s="9"/>
      <c r="K292" s="9"/>
      <c r="L292" s="103"/>
      <c r="M292" s="108"/>
      <c r="N292" s="9"/>
    </row>
    <row r="293" spans="1:14" ht="13.95" customHeight="1">
      <c r="A293" s="16"/>
      <c r="B293" s="12" t="s">
        <v>193</v>
      </c>
      <c r="C293" s="70" t="s">
        <v>164</v>
      </c>
      <c r="D293" s="12"/>
      <c r="E293" s="94"/>
      <c r="F293" s="14"/>
      <c r="G293" s="15"/>
      <c r="I293" s="9"/>
      <c r="J293" s="9"/>
      <c r="K293" s="9"/>
      <c r="L293" s="103"/>
      <c r="M293" s="108"/>
      <c r="N293" s="9"/>
    </row>
    <row r="294" spans="1:14" ht="13.95" customHeight="1">
      <c r="A294" s="16"/>
      <c r="B294" s="73"/>
      <c r="C294" s="62"/>
      <c r="D294" s="12"/>
      <c r="E294" s="94"/>
      <c r="F294" s="14"/>
      <c r="G294" s="15"/>
      <c r="I294" s="9"/>
      <c r="J294" s="9"/>
      <c r="K294" s="9"/>
      <c r="L294" s="103"/>
      <c r="M294" s="108"/>
      <c r="N294" s="9"/>
    </row>
    <row r="295" spans="1:14" ht="13.95" customHeight="1">
      <c r="A295" s="16">
        <v>50</v>
      </c>
      <c r="B295" s="73"/>
      <c r="C295" s="75" t="s">
        <v>112</v>
      </c>
      <c r="D295" s="12" t="s">
        <v>60</v>
      </c>
      <c r="E295" s="3">
        <f>SUM(I295:N295)</f>
        <v>0</v>
      </c>
      <c r="F295" s="13">
        <v>890</v>
      </c>
      <c r="G295" s="15">
        <f>+E295*F295</f>
        <v>0</v>
      </c>
      <c r="I295" s="9"/>
      <c r="J295" s="9"/>
      <c r="K295" s="9"/>
      <c r="L295" s="103"/>
      <c r="M295" s="108"/>
      <c r="N295" s="9"/>
    </row>
    <row r="296" spans="1:14" ht="13.95" customHeight="1">
      <c r="A296" s="16"/>
      <c r="B296" s="73"/>
      <c r="C296" s="62"/>
      <c r="D296" s="12"/>
      <c r="E296" s="94"/>
      <c r="F296" s="14"/>
      <c r="G296" s="15"/>
      <c r="I296" s="9"/>
      <c r="J296" s="9"/>
      <c r="K296" s="9"/>
      <c r="L296" s="103"/>
      <c r="M296" s="108"/>
      <c r="N296" s="9"/>
    </row>
    <row r="297" spans="1:14" ht="13.95" customHeight="1">
      <c r="A297" s="16"/>
      <c r="B297" s="12" t="s">
        <v>195</v>
      </c>
      <c r="C297" s="70" t="s">
        <v>194</v>
      </c>
      <c r="D297" s="12"/>
      <c r="E297" s="94"/>
      <c r="F297" s="14"/>
      <c r="G297" s="15"/>
      <c r="I297" s="9"/>
      <c r="J297" s="9"/>
      <c r="K297" s="9"/>
      <c r="L297" s="103"/>
      <c r="M297" s="108"/>
      <c r="N297" s="9"/>
    </row>
    <row r="298" spans="1:14" ht="13.95" customHeight="1">
      <c r="A298" s="16"/>
      <c r="B298" s="73"/>
      <c r="C298" s="62"/>
      <c r="D298" s="12"/>
      <c r="E298" s="94"/>
      <c r="F298" s="14"/>
      <c r="G298" s="15"/>
      <c r="I298" s="9"/>
      <c r="J298" s="9"/>
      <c r="K298" s="9"/>
      <c r="L298" s="103"/>
      <c r="M298" s="108"/>
      <c r="N298" s="9"/>
    </row>
    <row r="299" spans="1:14" ht="13.95" customHeight="1">
      <c r="A299" s="16">
        <v>51</v>
      </c>
      <c r="B299" s="73"/>
      <c r="C299" s="75" t="s">
        <v>165</v>
      </c>
      <c r="D299" s="12" t="s">
        <v>60</v>
      </c>
      <c r="E299" s="3">
        <f>SUM(I299:N299)</f>
        <v>0</v>
      </c>
      <c r="F299" s="14">
        <v>325</v>
      </c>
      <c r="G299" s="15">
        <f t="shared" ref="G299" si="60">+E299*F299</f>
        <v>0</v>
      </c>
      <c r="I299" s="9"/>
      <c r="J299" s="9"/>
      <c r="K299" s="9"/>
      <c r="L299" s="103"/>
      <c r="M299" s="108"/>
      <c r="N299" s="9"/>
    </row>
    <row r="300" spans="1:14" ht="13.95" customHeight="1">
      <c r="A300" s="16"/>
      <c r="B300" s="12"/>
      <c r="C300" s="75"/>
      <c r="D300" s="93"/>
      <c r="E300" s="94"/>
      <c r="F300" s="14"/>
      <c r="G300" s="15"/>
      <c r="I300" s="9"/>
      <c r="J300" s="9"/>
      <c r="K300" s="9"/>
      <c r="L300" s="103"/>
      <c r="M300" s="108"/>
      <c r="N300" s="9"/>
    </row>
    <row r="301" spans="1:14" ht="24">
      <c r="A301" s="16"/>
      <c r="B301" s="76" t="s">
        <v>169</v>
      </c>
      <c r="C301" s="46" t="s">
        <v>216</v>
      </c>
      <c r="D301" s="12"/>
      <c r="E301" s="12"/>
      <c r="F301" s="145"/>
      <c r="G301" s="15"/>
      <c r="I301" s="9"/>
      <c r="J301" s="9"/>
      <c r="K301" s="9"/>
      <c r="L301" s="103"/>
      <c r="M301" s="108"/>
      <c r="N301" s="9"/>
    </row>
    <row r="302" spans="1:14" ht="13.95" customHeight="1">
      <c r="A302" s="16"/>
      <c r="B302" s="76"/>
      <c r="C302" s="75"/>
      <c r="D302" s="12"/>
      <c r="E302" s="12"/>
      <c r="F302" s="145"/>
      <c r="G302" s="15"/>
      <c r="I302" s="9"/>
      <c r="J302" s="9"/>
      <c r="K302" s="9"/>
      <c r="L302" s="103"/>
      <c r="M302" s="108"/>
      <c r="N302" s="9"/>
    </row>
    <row r="303" spans="1:14" ht="13.95" customHeight="1">
      <c r="A303" s="16"/>
      <c r="B303" s="76" t="s">
        <v>169</v>
      </c>
      <c r="C303" s="75" t="s">
        <v>170</v>
      </c>
      <c r="D303" s="12"/>
      <c r="E303" s="12"/>
      <c r="F303" s="145"/>
      <c r="G303" s="15"/>
      <c r="I303" s="9"/>
      <c r="J303" s="9"/>
      <c r="K303" s="9"/>
      <c r="L303" s="103"/>
      <c r="M303" s="108"/>
      <c r="N303" s="9"/>
    </row>
    <row r="304" spans="1:14" ht="13.95" customHeight="1">
      <c r="A304" s="16"/>
      <c r="B304" s="76"/>
      <c r="C304" s="75"/>
      <c r="D304" s="12"/>
      <c r="E304" s="12"/>
      <c r="F304" s="145"/>
      <c r="G304" s="15"/>
      <c r="I304" s="9"/>
      <c r="J304" s="9"/>
      <c r="K304" s="9"/>
      <c r="L304" s="103"/>
      <c r="M304" s="108"/>
      <c r="N304" s="9"/>
    </row>
    <row r="305" spans="1:15" ht="13.95" customHeight="1">
      <c r="A305" s="16">
        <v>52</v>
      </c>
      <c r="B305" s="76" t="s">
        <v>171</v>
      </c>
      <c r="C305" s="75" t="s">
        <v>172</v>
      </c>
      <c r="D305" s="12" t="s">
        <v>60</v>
      </c>
      <c r="E305" s="3">
        <f>SUM(I305:N305)</f>
        <v>0</v>
      </c>
      <c r="F305" s="94">
        <v>275</v>
      </c>
      <c r="G305" s="15">
        <f t="shared" ref="G305:G313" si="61">+E305*F305</f>
        <v>0</v>
      </c>
      <c r="I305" s="9"/>
      <c r="J305" s="9"/>
      <c r="K305" s="9"/>
      <c r="L305" s="103"/>
      <c r="M305" s="108"/>
      <c r="N305" s="9"/>
    </row>
    <row r="306" spans="1:15" ht="13.95" customHeight="1">
      <c r="A306" s="16"/>
      <c r="B306" s="12"/>
      <c r="C306" s="75"/>
      <c r="D306" s="93"/>
      <c r="E306" s="94"/>
      <c r="F306" s="14"/>
      <c r="G306" s="15"/>
      <c r="I306" s="9"/>
      <c r="J306" s="9"/>
      <c r="K306" s="9"/>
      <c r="L306" s="103"/>
      <c r="M306" s="108"/>
      <c r="N306" s="9"/>
    </row>
    <row r="307" spans="1:15" ht="13.95" customHeight="1">
      <c r="A307" s="16"/>
      <c r="B307" s="12" t="s">
        <v>102</v>
      </c>
      <c r="C307" s="74" t="s">
        <v>166</v>
      </c>
      <c r="D307" s="12"/>
      <c r="E307" s="94"/>
      <c r="F307" s="14"/>
      <c r="G307" s="15"/>
      <c r="I307" s="9"/>
      <c r="J307" s="9"/>
      <c r="K307" s="9"/>
      <c r="L307" s="103"/>
      <c r="M307" s="108"/>
      <c r="N307" s="9"/>
    </row>
    <row r="308" spans="1:15" ht="13.95" customHeight="1">
      <c r="A308" s="16"/>
      <c r="B308" s="12"/>
      <c r="C308" s="95"/>
      <c r="D308" s="12"/>
      <c r="E308" s="94"/>
      <c r="F308" s="14"/>
      <c r="G308" s="15"/>
      <c r="I308" s="9"/>
      <c r="J308" s="9"/>
      <c r="K308" s="103"/>
      <c r="L308" s="103"/>
      <c r="M308" s="108"/>
      <c r="N308" s="9"/>
    </row>
    <row r="309" spans="1:15" ht="13.95" customHeight="1">
      <c r="A309" s="16"/>
      <c r="B309" s="12"/>
      <c r="C309" s="75" t="s">
        <v>78</v>
      </c>
      <c r="D309" s="12"/>
      <c r="E309" s="94"/>
      <c r="F309" s="14"/>
      <c r="G309" s="15"/>
      <c r="I309" s="103"/>
      <c r="J309" s="103"/>
      <c r="K309" s="103"/>
      <c r="L309" s="103"/>
      <c r="M309" s="134"/>
      <c r="N309" s="9"/>
    </row>
    <row r="310" spans="1:15" ht="13.95" customHeight="1">
      <c r="A310" s="16"/>
      <c r="B310" s="12"/>
      <c r="C310" s="75"/>
      <c r="D310" s="12"/>
      <c r="E310" s="94"/>
      <c r="F310" s="14"/>
      <c r="G310" s="15"/>
      <c r="I310" s="103"/>
      <c r="J310" s="103"/>
      <c r="K310" s="103"/>
      <c r="L310" s="103"/>
      <c r="M310" s="134"/>
      <c r="N310" s="9"/>
    </row>
    <row r="311" spans="1:15" ht="36">
      <c r="A311" s="16">
        <v>53</v>
      </c>
      <c r="B311" s="12"/>
      <c r="C311" s="47" t="s">
        <v>203</v>
      </c>
      <c r="D311" s="12" t="s">
        <v>6</v>
      </c>
      <c r="E311" s="3">
        <f>SUM(I311:N311)</f>
        <v>0</v>
      </c>
      <c r="F311" s="13">
        <v>16000</v>
      </c>
      <c r="G311" s="15">
        <f t="shared" si="61"/>
        <v>0</v>
      </c>
      <c r="I311" s="103"/>
      <c r="J311" s="103"/>
      <c r="K311" s="103"/>
      <c r="L311" s="103"/>
      <c r="M311" s="134"/>
      <c r="N311" s="103"/>
      <c r="O311" s="41"/>
    </row>
    <row r="312" spans="1:15" ht="13.95" customHeight="1">
      <c r="A312" s="16"/>
      <c r="B312" s="12"/>
      <c r="C312" s="75"/>
      <c r="D312" s="93"/>
      <c r="E312" s="94"/>
      <c r="F312" s="13"/>
      <c r="G312" s="15"/>
      <c r="I312" s="103"/>
      <c r="J312" s="103"/>
      <c r="K312" s="103"/>
      <c r="L312" s="103"/>
      <c r="M312" s="134"/>
      <c r="N312" s="103"/>
      <c r="O312" s="41"/>
    </row>
    <row r="313" spans="1:15" ht="36">
      <c r="A313" s="16">
        <v>54</v>
      </c>
      <c r="B313" s="12"/>
      <c r="C313" s="47" t="s">
        <v>286</v>
      </c>
      <c r="D313" s="12" t="s">
        <v>6</v>
      </c>
      <c r="E313" s="3">
        <f>SUM(I313:N313)</f>
        <v>0</v>
      </c>
      <c r="F313" s="13">
        <v>65000</v>
      </c>
      <c r="G313" s="15">
        <f t="shared" si="61"/>
        <v>0</v>
      </c>
      <c r="I313" s="103"/>
      <c r="J313" s="103"/>
      <c r="K313" s="103"/>
      <c r="L313" s="103"/>
      <c r="M313" s="134"/>
      <c r="N313" s="103"/>
      <c r="O313" s="41"/>
    </row>
    <row r="314" spans="1:15" ht="13.95" customHeight="1">
      <c r="A314" s="16"/>
      <c r="B314" s="12"/>
      <c r="C314" s="75"/>
      <c r="D314" s="93"/>
      <c r="E314" s="3"/>
      <c r="F314" s="13"/>
      <c r="G314" s="15"/>
      <c r="I314" s="103"/>
      <c r="J314" s="103"/>
      <c r="K314" s="103"/>
      <c r="L314" s="103"/>
      <c r="M314" s="134"/>
      <c r="N314" s="103"/>
      <c r="O314" s="41"/>
    </row>
    <row r="315" spans="1:15" ht="13.95" customHeight="1">
      <c r="A315" s="16"/>
      <c r="B315" s="12"/>
      <c r="C315" s="75"/>
      <c r="D315" s="93"/>
      <c r="E315" s="3"/>
      <c r="F315" s="13"/>
      <c r="G315" s="15"/>
      <c r="I315" s="103"/>
      <c r="J315" s="103"/>
      <c r="K315" s="103"/>
      <c r="L315" s="103"/>
      <c r="M315" s="134"/>
      <c r="N315" s="103"/>
      <c r="O315" s="41"/>
    </row>
    <row r="316" spans="1:15" ht="13.95" customHeight="1">
      <c r="A316" s="16"/>
      <c r="B316" s="12"/>
      <c r="C316" s="75"/>
      <c r="D316" s="93"/>
      <c r="E316" s="3"/>
      <c r="F316" s="13"/>
      <c r="G316" s="15"/>
      <c r="I316" s="103"/>
      <c r="J316" s="103"/>
      <c r="K316" s="103"/>
      <c r="L316" s="103"/>
      <c r="M316" s="134"/>
      <c r="N316" s="103"/>
      <c r="O316" s="41"/>
    </row>
    <row r="317" spans="1:15" ht="13.95" customHeight="1">
      <c r="A317" s="16"/>
      <c r="B317" s="12"/>
      <c r="C317" s="75"/>
      <c r="D317" s="93"/>
      <c r="E317" s="3"/>
      <c r="F317" s="13"/>
      <c r="G317" s="15"/>
      <c r="I317" s="103"/>
      <c r="J317" s="103"/>
      <c r="K317" s="103"/>
      <c r="L317" s="103"/>
      <c r="M317" s="134"/>
      <c r="N317" s="103"/>
      <c r="O317" s="41"/>
    </row>
    <row r="318" spans="1:15" ht="13.95" customHeight="1">
      <c r="A318" s="16"/>
      <c r="B318" s="12"/>
      <c r="C318" s="75"/>
      <c r="D318" s="93"/>
      <c r="E318" s="3"/>
      <c r="F318" s="13"/>
      <c r="G318" s="15"/>
      <c r="I318" s="103"/>
      <c r="J318" s="103"/>
      <c r="K318" s="103"/>
      <c r="L318" s="103"/>
      <c r="M318" s="134"/>
      <c r="N318" s="103"/>
      <c r="O318" s="41"/>
    </row>
    <row r="319" spans="1:15" ht="13.95" customHeight="1">
      <c r="A319" s="16"/>
      <c r="B319" s="12"/>
      <c r="C319" s="75"/>
      <c r="D319" s="93"/>
      <c r="E319" s="3"/>
      <c r="F319" s="13"/>
      <c r="G319" s="15"/>
      <c r="I319" s="103"/>
      <c r="J319" s="103"/>
      <c r="K319" s="103"/>
      <c r="L319" s="103"/>
      <c r="M319" s="134"/>
      <c r="N319" s="103"/>
      <c r="O319" s="41"/>
    </row>
    <row r="320" spans="1:15" ht="13.95" customHeight="1">
      <c r="A320" s="16"/>
      <c r="B320" s="12"/>
      <c r="C320" s="75"/>
      <c r="D320" s="93"/>
      <c r="E320" s="3"/>
      <c r="F320" s="13"/>
      <c r="G320" s="15"/>
      <c r="I320" s="103"/>
      <c r="J320" s="103"/>
      <c r="K320" s="103"/>
      <c r="L320" s="103"/>
      <c r="M320" s="134"/>
      <c r="N320" s="103"/>
      <c r="O320" s="41"/>
    </row>
    <row r="321" spans="1:15" ht="13.95" customHeight="1">
      <c r="A321" s="16"/>
      <c r="B321" s="12"/>
      <c r="C321" s="75"/>
      <c r="D321" s="93"/>
      <c r="E321" s="3"/>
      <c r="F321" s="13"/>
      <c r="G321" s="15"/>
      <c r="I321" s="103"/>
      <c r="J321" s="103"/>
      <c r="K321" s="103"/>
      <c r="L321" s="103"/>
      <c r="M321" s="134"/>
      <c r="N321" s="103"/>
      <c r="O321" s="41"/>
    </row>
    <row r="322" spans="1:15" ht="13.95" customHeight="1">
      <c r="A322" s="16"/>
      <c r="B322" s="12"/>
      <c r="C322" s="75"/>
      <c r="D322" s="93"/>
      <c r="E322" s="3"/>
      <c r="F322" s="13"/>
      <c r="G322" s="15"/>
      <c r="I322" s="103"/>
      <c r="J322" s="103"/>
      <c r="K322" s="103"/>
      <c r="L322" s="103"/>
      <c r="M322" s="134"/>
      <c r="N322" s="103"/>
      <c r="O322" s="41"/>
    </row>
    <row r="323" spans="1:15" ht="13.95" customHeight="1">
      <c r="A323" s="16"/>
      <c r="B323" s="12"/>
      <c r="C323" s="75"/>
      <c r="D323" s="93"/>
      <c r="E323" s="3"/>
      <c r="F323" s="13"/>
      <c r="G323" s="15"/>
      <c r="I323" s="103"/>
      <c r="J323" s="103"/>
      <c r="K323" s="103"/>
      <c r="L323" s="103"/>
      <c r="M323" s="134"/>
      <c r="N323" s="103"/>
      <c r="O323" s="41"/>
    </row>
    <row r="324" spans="1:15" ht="13.95" customHeight="1">
      <c r="A324" s="16"/>
      <c r="B324" s="12"/>
      <c r="C324" s="75"/>
      <c r="D324" s="93"/>
      <c r="E324" s="3"/>
      <c r="F324" s="13"/>
      <c r="G324" s="15"/>
      <c r="I324" s="103"/>
      <c r="J324" s="103"/>
      <c r="K324" s="103"/>
      <c r="L324" s="103"/>
      <c r="M324" s="134"/>
      <c r="N324" s="103"/>
      <c r="O324" s="41"/>
    </row>
    <row r="325" spans="1:15" ht="13.95" customHeight="1">
      <c r="A325" s="16"/>
      <c r="B325" s="12"/>
      <c r="C325" s="75"/>
      <c r="D325" s="93"/>
      <c r="E325" s="3"/>
      <c r="F325" s="13"/>
      <c r="G325" s="15"/>
      <c r="I325" s="103"/>
      <c r="J325" s="103"/>
      <c r="K325" s="103"/>
      <c r="L325" s="103"/>
      <c r="M325" s="134"/>
      <c r="N325" s="103"/>
      <c r="O325" s="41"/>
    </row>
    <row r="326" spans="1:15" ht="13.95" customHeight="1">
      <c r="A326" s="16"/>
      <c r="B326" s="12"/>
      <c r="C326" s="75"/>
      <c r="D326" s="93"/>
      <c r="E326" s="3"/>
      <c r="F326" s="13"/>
      <c r="G326" s="15"/>
      <c r="I326" s="103"/>
      <c r="J326" s="103"/>
      <c r="K326" s="103"/>
      <c r="L326" s="103"/>
      <c r="M326" s="134"/>
      <c r="N326" s="103"/>
      <c r="O326" s="41"/>
    </row>
    <row r="327" spans="1:15" ht="13.95" customHeight="1">
      <c r="A327" s="16"/>
      <c r="B327" s="12"/>
      <c r="C327" s="75"/>
      <c r="D327" s="93"/>
      <c r="E327" s="3"/>
      <c r="F327" s="13"/>
      <c r="G327" s="15"/>
      <c r="I327" s="103"/>
      <c r="J327" s="103"/>
      <c r="K327" s="103"/>
      <c r="L327" s="103"/>
      <c r="M327" s="134"/>
      <c r="N327" s="103"/>
      <c r="O327" s="41"/>
    </row>
    <row r="328" spans="1:15" ht="13.95" customHeight="1">
      <c r="A328" s="16"/>
      <c r="B328" s="12"/>
      <c r="C328" s="75"/>
      <c r="D328" s="93"/>
      <c r="E328" s="3"/>
      <c r="F328" s="13"/>
      <c r="G328" s="15"/>
      <c r="I328" s="103"/>
      <c r="J328" s="103"/>
      <c r="K328" s="103"/>
      <c r="L328" s="103"/>
      <c r="M328" s="134"/>
      <c r="N328" s="103"/>
      <c r="O328" s="41"/>
    </row>
    <row r="329" spans="1:15" ht="13.95" customHeight="1">
      <c r="A329" s="16"/>
      <c r="B329" s="12"/>
      <c r="C329" s="75"/>
      <c r="D329" s="93"/>
      <c r="E329" s="3"/>
      <c r="F329" s="13"/>
      <c r="G329" s="15"/>
      <c r="I329" s="103"/>
      <c r="J329" s="103"/>
      <c r="K329" s="103"/>
      <c r="L329" s="103"/>
      <c r="M329" s="134"/>
      <c r="N329" s="103"/>
      <c r="O329" s="41"/>
    </row>
    <row r="330" spans="1:15" ht="13.95" customHeight="1">
      <c r="A330" s="16"/>
      <c r="B330" s="12"/>
      <c r="C330" s="75"/>
      <c r="D330" s="93"/>
      <c r="E330" s="3"/>
      <c r="F330" s="13"/>
      <c r="G330" s="15"/>
      <c r="I330" s="103"/>
      <c r="J330" s="103"/>
      <c r="K330" s="103"/>
      <c r="L330" s="103"/>
      <c r="M330" s="134"/>
      <c r="N330" s="103"/>
      <c r="O330" s="41"/>
    </row>
    <row r="331" spans="1:15" ht="13.95" customHeight="1">
      <c r="A331" s="16"/>
      <c r="B331" s="16"/>
      <c r="C331" s="47"/>
      <c r="D331" s="58"/>
      <c r="E331" s="13"/>
      <c r="F331" s="14"/>
      <c r="G331" s="15"/>
      <c r="I331" s="105"/>
      <c r="J331" s="105"/>
      <c r="K331" s="105"/>
      <c r="L331" s="105"/>
      <c r="M331" s="135"/>
      <c r="N331" s="53"/>
      <c r="O331" s="41"/>
    </row>
    <row r="332" spans="1:15">
      <c r="A332" s="16"/>
      <c r="B332" s="16"/>
      <c r="C332" s="47"/>
      <c r="D332" s="58"/>
      <c r="E332" s="13"/>
      <c r="F332" s="14"/>
      <c r="G332" s="15"/>
    </row>
    <row r="333" spans="1:15">
      <c r="A333" s="16"/>
      <c r="B333" s="16"/>
      <c r="C333" s="47"/>
      <c r="D333" s="58"/>
      <c r="E333" s="13"/>
      <c r="F333" s="14"/>
      <c r="G333" s="15"/>
    </row>
    <row r="334" spans="1:15">
      <c r="A334" s="16"/>
      <c r="B334" s="16"/>
      <c r="C334" s="47"/>
      <c r="D334" s="58"/>
      <c r="E334" s="13"/>
      <c r="F334" s="14"/>
      <c r="G334" s="15"/>
    </row>
    <row r="335" spans="1:15" ht="20.399999999999999" customHeight="1">
      <c r="A335" s="156" t="s">
        <v>161</v>
      </c>
      <c r="B335" s="157"/>
      <c r="C335" s="157"/>
      <c r="D335" s="157"/>
      <c r="E335" s="157"/>
      <c r="F335" s="158"/>
      <c r="G335" s="78">
        <f>SUM(G289:G334)</f>
        <v>119393</v>
      </c>
    </row>
  </sheetData>
  <mergeCells count="13">
    <mergeCell ref="A152:F152"/>
    <mergeCell ref="A48:F48"/>
    <mergeCell ref="A52:F52"/>
    <mergeCell ref="A96:F96"/>
    <mergeCell ref="A100:F100"/>
    <mergeCell ref="A148:F148"/>
    <mergeCell ref="A335:F335"/>
    <mergeCell ref="A198:F198"/>
    <mergeCell ref="A202:F202"/>
    <mergeCell ref="A242:F242"/>
    <mergeCell ref="A246:F246"/>
    <mergeCell ref="A285:F285"/>
    <mergeCell ref="A289:F289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769BE-4523-4230-B867-DE073F0B5304}">
  <dimension ref="A1:O335"/>
  <sheetViews>
    <sheetView showGridLines="0" view="pageBreakPreview" topLeftCell="A2" zoomScaleNormal="100" zoomScaleSheetLayoutView="100" workbookViewId="0">
      <selection activeCell="I2" sqref="I1:N1048576"/>
    </sheetView>
  </sheetViews>
  <sheetFormatPr defaultColWidth="13.109375" defaultRowHeight="12"/>
  <cols>
    <col min="1" max="1" width="4.88671875" style="22" customWidth="1"/>
    <col min="2" max="2" width="8.33203125" style="20" customWidth="1"/>
    <col min="3" max="3" width="40.6640625" style="21" customWidth="1"/>
    <col min="4" max="4" width="5.109375" style="22" customWidth="1"/>
    <col min="5" max="5" width="7.6640625" style="22" customWidth="1"/>
    <col min="6" max="6" width="8.6640625" style="23" customWidth="1"/>
    <col min="7" max="7" width="11.6640625" style="24" customWidth="1"/>
    <col min="8" max="8" width="4.33203125" style="6" customWidth="1"/>
    <col min="9" max="12" width="11.6640625" style="22" hidden="1" customWidth="1"/>
    <col min="13" max="13" width="13.109375" style="106" hidden="1" customWidth="1"/>
    <col min="14" max="14" width="0" style="22" hidden="1" customWidth="1"/>
    <col min="15" max="16384" width="13.109375" style="6"/>
  </cols>
  <sheetData>
    <row r="1" spans="1:14" ht="20.399999999999999" hidden="1" customHeight="1">
      <c r="A1" s="19" t="s">
        <v>80</v>
      </c>
    </row>
    <row r="2" spans="1:14" ht="15" customHeight="1">
      <c r="A2" s="142" t="str">
        <f>Summary!A2</f>
        <v>NAFASI WATER - ARNOT WASTE TREATMENT PLANT</v>
      </c>
      <c r="G2" s="25" t="str">
        <f>Summary!C2</f>
        <v>Revision T1</v>
      </c>
    </row>
    <row r="3" spans="1:14" ht="15" customHeight="1">
      <c r="A3" s="19" t="str">
        <f>Summary!A3</f>
        <v>PILING AND CIVIL WORK</v>
      </c>
      <c r="G3" s="26"/>
    </row>
    <row r="4" spans="1:14" ht="15" customHeight="1">
      <c r="A4" s="19" t="s">
        <v>262</v>
      </c>
      <c r="G4" s="143">
        <f>Summary!C4</f>
        <v>45183</v>
      </c>
    </row>
    <row r="5" spans="1:14" ht="15" customHeight="1">
      <c r="A5" s="27"/>
      <c r="B5" s="28"/>
      <c r="C5" s="28"/>
      <c r="E5" s="29"/>
      <c r="G5" s="30"/>
    </row>
    <row r="6" spans="1:14" s="42" customFormat="1" ht="37.200000000000003" customHeight="1">
      <c r="A6" s="44" t="s">
        <v>8</v>
      </c>
      <c r="B6" s="48" t="s">
        <v>9</v>
      </c>
      <c r="C6" s="44" t="s">
        <v>10</v>
      </c>
      <c r="D6" s="48" t="s">
        <v>11</v>
      </c>
      <c r="E6" s="48" t="s">
        <v>59</v>
      </c>
      <c r="F6" s="49" t="s">
        <v>12</v>
      </c>
      <c r="G6" s="49" t="s">
        <v>13</v>
      </c>
      <c r="I6" s="100" t="s">
        <v>265</v>
      </c>
      <c r="J6" s="100"/>
      <c r="K6" s="100"/>
      <c r="L6" s="101"/>
      <c r="M6" s="100"/>
      <c r="N6" s="48"/>
    </row>
    <row r="7" spans="1:14" s="42" customFormat="1" ht="4.95" customHeight="1">
      <c r="A7" s="2"/>
      <c r="B7" s="40"/>
      <c r="C7" s="50"/>
      <c r="D7" s="40"/>
      <c r="E7" s="40"/>
      <c r="F7" s="54"/>
      <c r="G7" s="54"/>
      <c r="I7" s="40"/>
      <c r="J7" s="40"/>
      <c r="K7" s="40"/>
      <c r="L7" s="102"/>
      <c r="M7" s="107"/>
      <c r="N7" s="109"/>
    </row>
    <row r="8" spans="1:14" ht="19.2" customHeight="1">
      <c r="A8" s="1"/>
      <c r="B8" s="2"/>
      <c r="C8" s="11" t="s">
        <v>269</v>
      </c>
      <c r="D8" s="1"/>
      <c r="E8" s="1"/>
      <c r="F8" s="4"/>
      <c r="G8" s="5"/>
      <c r="I8" s="9"/>
      <c r="J8" s="9"/>
      <c r="K8" s="9"/>
      <c r="L8" s="103"/>
      <c r="M8" s="108"/>
      <c r="N8" s="9"/>
    </row>
    <row r="9" spans="1:14" ht="10.95" customHeight="1">
      <c r="A9" s="1"/>
      <c r="B9" s="2"/>
      <c r="C9" s="11"/>
      <c r="D9" s="1"/>
      <c r="E9" s="1"/>
      <c r="F9" s="4"/>
      <c r="G9" s="5"/>
      <c r="I9" s="9"/>
      <c r="J9" s="9"/>
      <c r="K9" s="9"/>
      <c r="L9" s="103"/>
      <c r="M9" s="108"/>
      <c r="N9" s="9"/>
    </row>
    <row r="10" spans="1:14" ht="22.2" customHeight="1">
      <c r="A10" s="1"/>
      <c r="B10" s="1" t="s">
        <v>22</v>
      </c>
      <c r="C10" s="34" t="s">
        <v>69</v>
      </c>
      <c r="D10" s="1"/>
      <c r="E10" s="3" t="str">
        <f>IF(SUM(H10:M10)&gt;0,SUM(H10:M10),"")</f>
        <v/>
      </c>
      <c r="F10" s="4"/>
      <c r="G10" s="5"/>
      <c r="I10" s="9"/>
      <c r="J10" s="9"/>
      <c r="K10" s="9"/>
      <c r="L10" s="103"/>
      <c r="M10" s="108"/>
      <c r="N10" s="9"/>
    </row>
    <row r="11" spans="1:14" ht="13.95" customHeight="1">
      <c r="A11" s="1"/>
      <c r="B11" s="1"/>
      <c r="C11" s="34"/>
      <c r="D11" s="1"/>
      <c r="E11" s="3" t="str">
        <f>IF(SUM(H11:M11)&gt;0,SUM(H11:M11),"")</f>
        <v/>
      </c>
      <c r="F11" s="4"/>
      <c r="G11" s="5"/>
      <c r="I11" s="9"/>
      <c r="J11" s="9"/>
      <c r="K11" s="9"/>
      <c r="L11" s="103"/>
      <c r="M11" s="108"/>
      <c r="N11" s="9"/>
    </row>
    <row r="12" spans="1:14" ht="13.95" customHeight="1">
      <c r="A12" s="1"/>
      <c r="B12" s="1"/>
      <c r="C12" s="32" t="s">
        <v>55</v>
      </c>
      <c r="D12" s="1"/>
      <c r="E12" s="3" t="str">
        <f>IF(SUM(H12:M12)&gt;0,SUM(H12:M12),"")</f>
        <v/>
      </c>
      <c r="F12" s="4"/>
      <c r="G12" s="5"/>
      <c r="I12" s="9"/>
      <c r="J12" s="9"/>
      <c r="K12" s="9"/>
      <c r="L12" s="103"/>
      <c r="M12" s="108"/>
      <c r="N12" s="9"/>
    </row>
    <row r="13" spans="1:14" ht="13.95" customHeight="1">
      <c r="A13" s="1"/>
      <c r="B13" s="1"/>
      <c r="C13" s="32"/>
      <c r="D13" s="1"/>
      <c r="E13" s="3" t="str">
        <f>IF(SUM(H13:M13)&gt;0,SUM(H13:M13),"")</f>
        <v/>
      </c>
      <c r="F13" s="4"/>
      <c r="G13" s="5"/>
      <c r="I13" s="9"/>
      <c r="J13" s="9"/>
      <c r="K13" s="9"/>
      <c r="L13" s="103"/>
      <c r="M13" s="108"/>
      <c r="N13" s="9"/>
    </row>
    <row r="14" spans="1:14" ht="22.2" customHeight="1">
      <c r="A14" s="1">
        <v>1</v>
      </c>
      <c r="B14" s="1"/>
      <c r="C14" s="33" t="s">
        <v>218</v>
      </c>
      <c r="D14" s="1" t="s">
        <v>6</v>
      </c>
      <c r="E14" s="3">
        <f>SUM(I14:N14)</f>
        <v>0</v>
      </c>
      <c r="F14" s="13">
        <v>1150</v>
      </c>
      <c r="G14" s="5">
        <f t="shared" ref="G14" si="0">+E14*F14</f>
        <v>0</v>
      </c>
      <c r="I14" s="137">
        <v>0</v>
      </c>
      <c r="J14" s="137">
        <v>0</v>
      </c>
      <c r="K14" s="137">
        <v>0</v>
      </c>
      <c r="L14" s="137">
        <v>0</v>
      </c>
      <c r="M14" s="137">
        <v>0</v>
      </c>
      <c r="N14" s="137">
        <v>0</v>
      </c>
    </row>
    <row r="15" spans="1:14" ht="13.95" customHeight="1">
      <c r="A15" s="1"/>
      <c r="B15" s="1"/>
      <c r="C15" s="32"/>
      <c r="D15" s="1"/>
      <c r="E15" s="3"/>
      <c r="F15" s="14"/>
      <c r="G15" s="5"/>
      <c r="I15" s="13"/>
      <c r="J15" s="13"/>
      <c r="K15" s="13"/>
      <c r="L15" s="13"/>
      <c r="M15" s="13"/>
      <c r="N15" s="13"/>
    </row>
    <row r="16" spans="1:14" ht="13.95" customHeight="1">
      <c r="A16" s="1"/>
      <c r="B16" s="1"/>
      <c r="C16" s="32" t="s">
        <v>221</v>
      </c>
      <c r="D16" s="1"/>
      <c r="E16" s="3"/>
      <c r="F16" s="14"/>
      <c r="G16" s="5"/>
      <c r="I16" s="13"/>
      <c r="J16" s="13"/>
      <c r="K16" s="13"/>
      <c r="L16" s="13"/>
      <c r="M16" s="13"/>
      <c r="N16" s="13"/>
    </row>
    <row r="17" spans="1:14" ht="34.950000000000003" customHeight="1">
      <c r="A17" s="1"/>
      <c r="B17" s="1"/>
      <c r="C17" s="33" t="s">
        <v>219</v>
      </c>
      <c r="D17" s="1"/>
      <c r="E17" s="3"/>
      <c r="F17" s="14"/>
      <c r="G17" s="5"/>
      <c r="I17" s="13"/>
      <c r="J17" s="13"/>
      <c r="K17" s="13"/>
      <c r="L17" s="13"/>
      <c r="M17" s="13"/>
      <c r="N17" s="13"/>
    </row>
    <row r="18" spans="1:14" ht="10.95" customHeight="1">
      <c r="A18" s="1"/>
      <c r="B18" s="1"/>
      <c r="C18" s="32"/>
      <c r="D18" s="1"/>
      <c r="E18" s="3"/>
      <c r="F18" s="13"/>
      <c r="G18" s="5"/>
      <c r="I18" s="13"/>
      <c r="J18" s="13"/>
      <c r="K18" s="13"/>
      <c r="L18" s="13"/>
      <c r="M18" s="13"/>
      <c r="N18" s="13"/>
    </row>
    <row r="19" spans="1:14" ht="13.2" customHeight="1">
      <c r="A19" s="1">
        <v>2</v>
      </c>
      <c r="B19" s="1"/>
      <c r="C19" s="33" t="s">
        <v>33</v>
      </c>
      <c r="D19" s="1" t="s">
        <v>1</v>
      </c>
      <c r="E19" s="3">
        <f>SUM(I19:N19)</f>
        <v>0</v>
      </c>
      <c r="F19" s="13">
        <v>1850</v>
      </c>
      <c r="G19" s="5">
        <f t="shared" ref="G19" si="1">+E19*F19</f>
        <v>0</v>
      </c>
      <c r="I19" s="138">
        <f t="shared" ref="I19:N19" si="2">I14*10</f>
        <v>0</v>
      </c>
      <c r="J19" s="138">
        <f t="shared" si="2"/>
        <v>0</v>
      </c>
      <c r="K19" s="138">
        <f t="shared" si="2"/>
        <v>0</v>
      </c>
      <c r="L19" s="138">
        <f t="shared" si="2"/>
        <v>0</v>
      </c>
      <c r="M19" s="138">
        <f t="shared" si="2"/>
        <v>0</v>
      </c>
      <c r="N19" s="138">
        <f t="shared" si="2"/>
        <v>0</v>
      </c>
    </row>
    <row r="20" spans="1:14" ht="13.2" customHeight="1">
      <c r="A20" s="1"/>
      <c r="B20" s="1"/>
      <c r="C20" s="32"/>
      <c r="D20" s="1"/>
      <c r="E20" s="3"/>
      <c r="F20" s="13"/>
      <c r="G20" s="5"/>
      <c r="I20" s="138"/>
      <c r="J20" s="138"/>
      <c r="K20" s="138"/>
      <c r="L20" s="138"/>
      <c r="M20" s="138"/>
      <c r="N20" s="138"/>
    </row>
    <row r="21" spans="1:14" ht="13.2" customHeight="1">
      <c r="A21" s="1">
        <v>3</v>
      </c>
      <c r="B21" s="1"/>
      <c r="C21" s="33" t="s">
        <v>34</v>
      </c>
      <c r="D21" s="1" t="s">
        <v>1</v>
      </c>
      <c r="E21" s="3">
        <f>SUM(I21:N21)</f>
        <v>0</v>
      </c>
      <c r="F21" s="13">
        <f>F19</f>
        <v>1850</v>
      </c>
      <c r="G21" s="5">
        <f t="shared" ref="G21" si="3">+E21*F21</f>
        <v>0</v>
      </c>
      <c r="I21" s="138">
        <f t="shared" ref="I21:N21" si="4">I14*5</f>
        <v>0</v>
      </c>
      <c r="J21" s="138">
        <f t="shared" si="4"/>
        <v>0</v>
      </c>
      <c r="K21" s="138">
        <f t="shared" si="4"/>
        <v>0</v>
      </c>
      <c r="L21" s="138">
        <f t="shared" si="4"/>
        <v>0</v>
      </c>
      <c r="M21" s="138">
        <f t="shared" si="4"/>
        <v>0</v>
      </c>
      <c r="N21" s="138">
        <f t="shared" si="4"/>
        <v>0</v>
      </c>
    </row>
    <row r="22" spans="1:14" ht="13.2" customHeight="1">
      <c r="A22" s="1"/>
      <c r="B22" s="1"/>
      <c r="C22" s="32"/>
      <c r="D22" s="1"/>
      <c r="E22" s="3"/>
      <c r="F22" s="13"/>
      <c r="G22" s="5"/>
      <c r="I22" s="138"/>
      <c r="J22" s="138"/>
      <c r="K22" s="138"/>
      <c r="L22" s="138"/>
      <c r="M22" s="138"/>
      <c r="N22" s="138"/>
    </row>
    <row r="23" spans="1:14" ht="13.2" customHeight="1">
      <c r="A23" s="1"/>
      <c r="B23" s="1"/>
      <c r="C23" s="32" t="s">
        <v>76</v>
      </c>
      <c r="D23" s="1"/>
      <c r="E23" s="3"/>
      <c r="F23" s="13"/>
      <c r="G23" s="5"/>
      <c r="I23" s="138"/>
      <c r="J23" s="138"/>
      <c r="K23" s="138"/>
      <c r="L23" s="138"/>
      <c r="M23" s="138"/>
      <c r="N23" s="138"/>
    </row>
    <row r="24" spans="1:14" ht="13.2" customHeight="1">
      <c r="A24" s="1"/>
      <c r="B24" s="1"/>
      <c r="C24" s="32"/>
      <c r="D24" s="1"/>
      <c r="E24" s="3"/>
      <c r="F24" s="13"/>
      <c r="G24" s="5"/>
      <c r="I24" s="138"/>
      <c r="J24" s="138"/>
      <c r="K24" s="138"/>
      <c r="L24" s="138"/>
      <c r="M24" s="138"/>
      <c r="N24" s="138"/>
    </row>
    <row r="25" spans="1:14" ht="13.2" customHeight="1">
      <c r="A25" s="1">
        <v>4</v>
      </c>
      <c r="B25" s="1"/>
      <c r="C25" s="47" t="s">
        <v>77</v>
      </c>
      <c r="D25" s="1" t="s">
        <v>6</v>
      </c>
      <c r="E25" s="3">
        <f>SUM(I25:N25)</f>
        <v>0</v>
      </c>
      <c r="F25" s="13">
        <v>1250</v>
      </c>
      <c r="G25" s="5">
        <f t="shared" ref="G25" si="5">+E25*F25</f>
        <v>0</v>
      </c>
      <c r="I25" s="138">
        <f t="shared" ref="I25:N25" si="6">I14</f>
        <v>0</v>
      </c>
      <c r="J25" s="138">
        <f t="shared" si="6"/>
        <v>0</v>
      </c>
      <c r="K25" s="138">
        <f t="shared" si="6"/>
        <v>0</v>
      </c>
      <c r="L25" s="138">
        <f t="shared" si="6"/>
        <v>0</v>
      </c>
      <c r="M25" s="138">
        <f t="shared" si="6"/>
        <v>0</v>
      </c>
      <c r="N25" s="138">
        <f t="shared" si="6"/>
        <v>0</v>
      </c>
    </row>
    <row r="26" spans="1:14" ht="13.2" customHeight="1">
      <c r="A26" s="1"/>
      <c r="B26" s="1"/>
      <c r="C26" s="32"/>
      <c r="D26" s="1"/>
      <c r="E26" s="3"/>
      <c r="F26" s="13"/>
      <c r="G26" s="5"/>
      <c r="I26" s="138"/>
      <c r="J26" s="138"/>
      <c r="K26" s="138"/>
      <c r="L26" s="138"/>
      <c r="M26" s="138"/>
      <c r="N26" s="138"/>
    </row>
    <row r="27" spans="1:14" ht="12.6" customHeight="1">
      <c r="A27" s="1"/>
      <c r="B27" s="1"/>
      <c r="C27" s="32" t="s">
        <v>71</v>
      </c>
      <c r="D27" s="1"/>
      <c r="E27" s="3"/>
      <c r="F27" s="13"/>
      <c r="G27" s="5"/>
      <c r="I27" s="138"/>
      <c r="J27" s="138"/>
      <c r="K27" s="138"/>
      <c r="L27" s="138"/>
      <c r="M27" s="138"/>
      <c r="N27" s="138"/>
    </row>
    <row r="28" spans="1:14" ht="12.6" customHeight="1">
      <c r="A28" s="1"/>
      <c r="B28" s="1"/>
      <c r="C28" s="33"/>
      <c r="D28" s="1"/>
      <c r="E28" s="3"/>
      <c r="F28" s="13"/>
      <c r="G28" s="5"/>
      <c r="I28" s="138"/>
      <c r="J28" s="138"/>
      <c r="K28" s="138"/>
      <c r="L28" s="138"/>
      <c r="M28" s="138"/>
      <c r="N28" s="138"/>
    </row>
    <row r="29" spans="1:14" ht="12.6" customHeight="1">
      <c r="A29" s="1">
        <v>5</v>
      </c>
      <c r="B29" s="1"/>
      <c r="C29" s="33" t="s">
        <v>223</v>
      </c>
      <c r="D29" s="1" t="s">
        <v>2</v>
      </c>
      <c r="E29" s="3">
        <f>SUM(I29:N29)</f>
        <v>0</v>
      </c>
      <c r="F29" s="13">
        <v>29500</v>
      </c>
      <c r="G29" s="5">
        <f t="shared" ref="G29" si="7">+E29*F29</f>
        <v>0</v>
      </c>
      <c r="I29" s="139">
        <f t="shared" ref="I29:N29" si="8">(I19+I21)*0.00325</f>
        <v>0</v>
      </c>
      <c r="J29" s="139">
        <f t="shared" si="8"/>
        <v>0</v>
      </c>
      <c r="K29" s="139">
        <f t="shared" si="8"/>
        <v>0</v>
      </c>
      <c r="L29" s="139">
        <f t="shared" si="8"/>
        <v>0</v>
      </c>
      <c r="M29" s="139">
        <f t="shared" si="8"/>
        <v>0</v>
      </c>
      <c r="N29" s="139">
        <f t="shared" si="8"/>
        <v>0</v>
      </c>
    </row>
    <row r="30" spans="1:14" ht="12.6" customHeight="1">
      <c r="A30" s="1"/>
      <c r="B30" s="1"/>
      <c r="C30" s="33"/>
      <c r="D30" s="1"/>
      <c r="E30" s="3"/>
      <c r="F30" s="13"/>
      <c r="G30" s="5"/>
      <c r="I30" s="138"/>
      <c r="J30" s="138"/>
      <c r="K30" s="138"/>
      <c r="L30" s="138"/>
      <c r="M30" s="138"/>
      <c r="N30" s="138"/>
    </row>
    <row r="31" spans="1:14" ht="12.6" customHeight="1">
      <c r="A31" s="1">
        <v>6</v>
      </c>
      <c r="B31" s="1"/>
      <c r="C31" s="33" t="s">
        <v>222</v>
      </c>
      <c r="D31" s="1" t="s">
        <v>2</v>
      </c>
      <c r="E31" s="3">
        <f>SUM(I31:AG31)</f>
        <v>0</v>
      </c>
      <c r="F31" s="13">
        <v>28000</v>
      </c>
      <c r="G31" s="5">
        <f t="shared" ref="G31" si="9">+E31*F31</f>
        <v>0</v>
      </c>
      <c r="I31" s="139">
        <f t="shared" ref="I31:N31" si="10">(I19+I21)*0.0215</f>
        <v>0</v>
      </c>
      <c r="J31" s="139">
        <f t="shared" si="10"/>
        <v>0</v>
      </c>
      <c r="K31" s="139">
        <f t="shared" si="10"/>
        <v>0</v>
      </c>
      <c r="L31" s="139">
        <f t="shared" si="10"/>
        <v>0</v>
      </c>
      <c r="M31" s="139">
        <f t="shared" si="10"/>
        <v>0</v>
      </c>
      <c r="N31" s="139">
        <f t="shared" si="10"/>
        <v>0</v>
      </c>
    </row>
    <row r="32" spans="1:14" ht="12.6" customHeight="1">
      <c r="A32" s="1"/>
      <c r="B32" s="1"/>
      <c r="C32" s="33"/>
      <c r="D32" s="1"/>
      <c r="E32" s="3"/>
      <c r="F32" s="13"/>
      <c r="G32" s="5"/>
      <c r="I32" s="138"/>
      <c r="J32" s="138"/>
      <c r="K32" s="138"/>
      <c r="L32" s="138"/>
      <c r="M32" s="138"/>
      <c r="N32" s="138"/>
    </row>
    <row r="33" spans="1:14" ht="12.6" customHeight="1">
      <c r="A33" s="1"/>
      <c r="B33" s="1"/>
      <c r="C33" s="32" t="s">
        <v>56</v>
      </c>
      <c r="D33" s="1"/>
      <c r="E33" s="3"/>
      <c r="F33" s="13"/>
      <c r="G33" s="5"/>
      <c r="I33" s="138"/>
      <c r="J33" s="138"/>
      <c r="K33" s="138"/>
      <c r="L33" s="138"/>
      <c r="M33" s="138"/>
      <c r="N33" s="138"/>
    </row>
    <row r="34" spans="1:14" ht="13.2" customHeight="1">
      <c r="A34" s="1"/>
      <c r="B34" s="1"/>
      <c r="C34" s="33"/>
      <c r="D34" s="1"/>
      <c r="E34" s="3"/>
      <c r="F34" s="13"/>
      <c r="G34" s="5"/>
      <c r="I34" s="138"/>
      <c r="J34" s="138"/>
      <c r="K34" s="138"/>
      <c r="L34" s="138"/>
      <c r="M34" s="138"/>
      <c r="N34" s="138"/>
    </row>
    <row r="35" spans="1:14" ht="13.2" customHeight="1">
      <c r="A35" s="1">
        <v>7</v>
      </c>
      <c r="B35" s="1"/>
      <c r="C35" s="33" t="s">
        <v>220</v>
      </c>
      <c r="D35" s="1"/>
      <c r="E35" s="3"/>
      <c r="F35" s="13"/>
      <c r="G35" s="5"/>
      <c r="I35" s="138"/>
      <c r="J35" s="138"/>
      <c r="K35" s="138"/>
      <c r="L35" s="138"/>
      <c r="M35" s="138"/>
      <c r="N35" s="138"/>
    </row>
    <row r="36" spans="1:14" ht="13.2" customHeight="1">
      <c r="A36" s="1"/>
      <c r="B36" s="1"/>
      <c r="C36" s="1"/>
      <c r="D36" s="1"/>
      <c r="E36" s="3"/>
      <c r="F36" s="13"/>
      <c r="G36" s="5"/>
      <c r="I36" s="138"/>
      <c r="J36" s="138"/>
      <c r="K36" s="138"/>
      <c r="L36" s="138"/>
      <c r="M36" s="138"/>
      <c r="N36" s="138"/>
    </row>
    <row r="37" spans="1:14" ht="13.2" customHeight="1">
      <c r="A37" s="1"/>
      <c r="B37" s="1"/>
      <c r="C37" s="33" t="s">
        <v>38</v>
      </c>
      <c r="D37" s="1" t="s">
        <v>51</v>
      </c>
      <c r="E37" s="3">
        <f>SUM(I37:N37)</f>
        <v>0</v>
      </c>
      <c r="F37" s="13">
        <v>3500</v>
      </c>
      <c r="G37" s="5">
        <f t="shared" ref="G37" si="11">+E37*F37</f>
        <v>0</v>
      </c>
      <c r="I37" s="139">
        <f t="shared" ref="I37:N37" si="12">((I19+I21)*0.292)+(I14*0.75)</f>
        <v>0</v>
      </c>
      <c r="J37" s="139">
        <f t="shared" si="12"/>
        <v>0</v>
      </c>
      <c r="K37" s="139">
        <f t="shared" si="12"/>
        <v>0</v>
      </c>
      <c r="L37" s="139">
        <f t="shared" si="12"/>
        <v>0</v>
      </c>
      <c r="M37" s="139">
        <f t="shared" si="12"/>
        <v>0</v>
      </c>
      <c r="N37" s="139">
        <f t="shared" si="12"/>
        <v>0</v>
      </c>
    </row>
    <row r="38" spans="1:14" ht="13.2" customHeight="1">
      <c r="A38" s="1"/>
      <c r="B38" s="1"/>
      <c r="C38" s="33"/>
      <c r="D38" s="1"/>
      <c r="E38" s="3"/>
      <c r="F38" s="13"/>
      <c r="G38" s="5"/>
      <c r="I38" s="138"/>
      <c r="J38" s="138"/>
      <c r="K38" s="138"/>
      <c r="L38" s="138"/>
      <c r="M38" s="138"/>
      <c r="N38" s="138"/>
    </row>
    <row r="39" spans="1:14" ht="13.2" customHeight="1">
      <c r="A39" s="1"/>
      <c r="B39" s="1" t="s">
        <v>23</v>
      </c>
      <c r="C39" s="32" t="s">
        <v>35</v>
      </c>
      <c r="D39" s="1"/>
      <c r="E39" s="3"/>
      <c r="F39" s="13"/>
      <c r="G39" s="5"/>
      <c r="I39" s="138"/>
      <c r="J39" s="138"/>
      <c r="K39" s="138"/>
      <c r="L39" s="138"/>
      <c r="M39" s="138"/>
      <c r="N39" s="138"/>
    </row>
    <row r="40" spans="1:14" ht="13.2" customHeight="1">
      <c r="A40" s="1"/>
      <c r="B40" s="1"/>
      <c r="C40" s="32"/>
      <c r="D40" s="1"/>
      <c r="E40" s="3"/>
      <c r="F40" s="13"/>
      <c r="G40" s="5"/>
      <c r="I40" s="138"/>
      <c r="J40" s="138"/>
      <c r="K40" s="138"/>
      <c r="L40" s="138"/>
      <c r="M40" s="138"/>
      <c r="N40" s="138"/>
    </row>
    <row r="41" spans="1:14" ht="13.2" customHeight="1">
      <c r="A41" s="1">
        <v>8</v>
      </c>
      <c r="B41" s="1"/>
      <c r="C41" s="33" t="s">
        <v>259</v>
      </c>
      <c r="D41" s="1" t="s">
        <v>6</v>
      </c>
      <c r="E41" s="3">
        <f>SUM(I41:N41)</f>
        <v>0</v>
      </c>
      <c r="F41" s="13">
        <v>875</v>
      </c>
      <c r="G41" s="5">
        <f t="shared" ref="G41" si="13">+E41*F41</f>
        <v>0</v>
      </c>
      <c r="I41" s="138">
        <f t="shared" ref="I41:N41" si="14">I14</f>
        <v>0</v>
      </c>
      <c r="J41" s="138">
        <f t="shared" si="14"/>
        <v>0</v>
      </c>
      <c r="K41" s="138">
        <f t="shared" si="14"/>
        <v>0</v>
      </c>
      <c r="L41" s="138">
        <f t="shared" si="14"/>
        <v>0</v>
      </c>
      <c r="M41" s="138">
        <f t="shared" si="14"/>
        <v>0</v>
      </c>
      <c r="N41" s="138">
        <f t="shared" si="14"/>
        <v>0</v>
      </c>
    </row>
    <row r="42" spans="1:14" ht="13.2" customHeight="1">
      <c r="A42" s="1"/>
      <c r="B42" s="2"/>
      <c r="C42" s="11"/>
      <c r="D42" s="1"/>
      <c r="E42" s="1"/>
      <c r="F42" s="13"/>
      <c r="G42" s="5"/>
      <c r="I42" s="1"/>
      <c r="J42" s="1"/>
      <c r="K42" s="1"/>
      <c r="L42" s="103"/>
      <c r="M42" s="108"/>
      <c r="N42" s="9"/>
    </row>
    <row r="43" spans="1:14" ht="24">
      <c r="A43" s="1"/>
      <c r="B43" s="2" t="s">
        <v>100</v>
      </c>
      <c r="C43" s="31" t="s">
        <v>79</v>
      </c>
      <c r="D43" s="1"/>
      <c r="E43" s="3"/>
      <c r="F43" s="14"/>
      <c r="G43" s="5"/>
      <c r="I43" s="3"/>
      <c r="J43" s="3"/>
      <c r="K43" s="3"/>
      <c r="L43" s="103"/>
      <c r="M43" s="108"/>
      <c r="N43" s="9"/>
    </row>
    <row r="44" spans="1:14" ht="13.95" customHeight="1">
      <c r="A44" s="1"/>
      <c r="B44" s="2"/>
      <c r="C44" s="8" t="s">
        <v>81</v>
      </c>
      <c r="D44" s="1"/>
      <c r="E44" s="3"/>
      <c r="F44" s="14"/>
      <c r="G44" s="5"/>
      <c r="I44" s="3"/>
      <c r="J44" s="3"/>
      <c r="K44" s="3"/>
      <c r="L44" s="103"/>
      <c r="M44" s="108"/>
      <c r="N44" s="9"/>
    </row>
    <row r="45" spans="1:14" ht="50.4" customHeight="1">
      <c r="A45" s="16">
        <v>9</v>
      </c>
      <c r="B45" s="33" t="s">
        <v>162</v>
      </c>
      <c r="C45" s="33" t="s">
        <v>163</v>
      </c>
      <c r="D45" s="9" t="s">
        <v>60</v>
      </c>
      <c r="E45" s="3">
        <f>SUM(I45:N45)</f>
        <v>0</v>
      </c>
      <c r="F45" s="13">
        <v>225</v>
      </c>
      <c r="G45" s="5">
        <f t="shared" ref="G45" si="15">+E45*F45</f>
        <v>0</v>
      </c>
      <c r="I45" s="9"/>
      <c r="J45" s="9"/>
      <c r="K45" s="9"/>
      <c r="L45" s="103"/>
      <c r="M45" s="108"/>
      <c r="N45" s="9"/>
    </row>
    <row r="46" spans="1:14">
      <c r="A46" s="16"/>
      <c r="B46" s="33"/>
      <c r="D46" s="9"/>
      <c r="E46" s="3"/>
      <c r="F46" s="13"/>
      <c r="G46" s="5"/>
      <c r="I46" s="9"/>
      <c r="J46" s="9"/>
      <c r="K46" s="9"/>
      <c r="L46" s="103"/>
      <c r="M46" s="108"/>
      <c r="N46" s="9"/>
    </row>
    <row r="47" spans="1:14" ht="13.95" customHeight="1">
      <c r="A47" s="1"/>
      <c r="B47" s="2"/>
      <c r="C47" s="8"/>
      <c r="D47" s="9"/>
      <c r="E47" s="3"/>
      <c r="F47" s="4"/>
      <c r="G47" s="5"/>
      <c r="I47" s="9"/>
      <c r="J47" s="9"/>
      <c r="K47" s="9"/>
      <c r="L47" s="103"/>
      <c r="M47" s="108"/>
      <c r="N47" s="9"/>
    </row>
    <row r="48" spans="1:14" ht="20.100000000000001" customHeight="1">
      <c r="A48" s="149" t="s">
        <v>66</v>
      </c>
      <c r="B48" s="150"/>
      <c r="C48" s="150"/>
      <c r="D48" s="150"/>
      <c r="E48" s="150"/>
      <c r="F48" s="151"/>
      <c r="G48" s="116">
        <f>SUM(G8:G47)</f>
        <v>0</v>
      </c>
      <c r="I48" s="9"/>
      <c r="J48" s="9"/>
      <c r="K48" s="9"/>
      <c r="L48" s="103"/>
      <c r="M48" s="108"/>
      <c r="N48" s="9"/>
    </row>
    <row r="49" spans="1:14">
      <c r="A49" s="39"/>
      <c r="B49" s="39"/>
      <c r="C49" s="39"/>
      <c r="D49" s="39"/>
      <c r="E49" s="39"/>
      <c r="F49" s="39"/>
      <c r="G49" s="113"/>
      <c r="I49" s="9"/>
      <c r="J49" s="9"/>
      <c r="K49" s="9"/>
      <c r="L49" s="103"/>
      <c r="M49" s="108"/>
      <c r="N49" s="9"/>
    </row>
    <row r="50" spans="1:14" ht="13.95" customHeight="1">
      <c r="A50" s="39"/>
      <c r="B50" s="39"/>
      <c r="C50" s="39"/>
      <c r="D50" s="39"/>
      <c r="E50" s="39"/>
      <c r="F50" s="39"/>
      <c r="G50" s="113"/>
      <c r="I50" s="9"/>
      <c r="J50" s="9"/>
      <c r="K50" s="9"/>
      <c r="L50" s="103"/>
      <c r="M50" s="108"/>
      <c r="N50" s="9"/>
    </row>
    <row r="51" spans="1:14" ht="24" customHeight="1">
      <c r="A51" s="44" t="s">
        <v>8</v>
      </c>
      <c r="B51" s="48" t="s">
        <v>9</v>
      </c>
      <c r="C51" s="44" t="s">
        <v>10</v>
      </c>
      <c r="D51" s="48" t="s">
        <v>11</v>
      </c>
      <c r="E51" s="48" t="s">
        <v>59</v>
      </c>
      <c r="F51" s="49" t="s">
        <v>12</v>
      </c>
      <c r="G51" s="111" t="s">
        <v>13</v>
      </c>
      <c r="I51" s="9"/>
      <c r="J51" s="9"/>
      <c r="K51" s="9"/>
      <c r="L51" s="103"/>
      <c r="M51" s="108"/>
      <c r="N51" s="9"/>
    </row>
    <row r="52" spans="1:14" ht="20.100000000000001" customHeight="1">
      <c r="A52" s="149" t="s">
        <v>67</v>
      </c>
      <c r="B52" s="150"/>
      <c r="C52" s="150"/>
      <c r="D52" s="150"/>
      <c r="E52" s="150"/>
      <c r="F52" s="151"/>
      <c r="G52" s="116">
        <f>+G48</f>
        <v>0</v>
      </c>
      <c r="I52" s="9"/>
      <c r="J52" s="9"/>
      <c r="K52" s="9"/>
      <c r="L52" s="103"/>
      <c r="M52" s="108"/>
      <c r="N52" s="9"/>
    </row>
    <row r="53" spans="1:14" ht="9" customHeight="1">
      <c r="A53" s="1"/>
      <c r="B53" s="2"/>
      <c r="C53" s="8"/>
      <c r="D53" s="9"/>
      <c r="E53" s="3"/>
      <c r="F53" s="4"/>
      <c r="G53" s="5"/>
      <c r="I53" s="3"/>
      <c r="J53" s="3"/>
      <c r="K53" s="3"/>
      <c r="L53" s="103"/>
      <c r="M53" s="108"/>
      <c r="N53" s="9"/>
    </row>
    <row r="54" spans="1:14" ht="13.95" customHeight="1">
      <c r="A54" s="1"/>
      <c r="B54" s="2" t="s">
        <v>173</v>
      </c>
      <c r="C54" s="31" t="s">
        <v>79</v>
      </c>
      <c r="D54" s="1"/>
      <c r="E54" s="3"/>
      <c r="F54" s="4"/>
      <c r="G54" s="5"/>
      <c r="I54" s="3"/>
      <c r="J54" s="3"/>
      <c r="K54" s="3"/>
      <c r="L54" s="103"/>
      <c r="M54" s="108"/>
      <c r="N54" s="9"/>
    </row>
    <row r="55" spans="1:14" ht="13.95" customHeight="1">
      <c r="A55" s="1"/>
      <c r="B55" s="2"/>
      <c r="C55" s="8" t="s">
        <v>81</v>
      </c>
      <c r="D55" s="1"/>
      <c r="E55" s="3"/>
      <c r="F55" s="4"/>
      <c r="G55" s="5"/>
      <c r="I55" s="3"/>
      <c r="J55" s="3"/>
      <c r="K55" s="3"/>
      <c r="L55" s="103"/>
      <c r="M55" s="108"/>
      <c r="N55" s="9"/>
    </row>
    <row r="56" spans="1:14" ht="13.95" customHeight="1">
      <c r="A56" s="1"/>
      <c r="B56" s="1" t="s">
        <v>87</v>
      </c>
      <c r="C56" s="37" t="s">
        <v>0</v>
      </c>
      <c r="D56" s="1"/>
      <c r="E56" s="3"/>
      <c r="F56" s="4"/>
      <c r="G56" s="5"/>
      <c r="I56" s="3"/>
      <c r="J56" s="3"/>
      <c r="K56" s="3"/>
      <c r="L56" s="103"/>
      <c r="M56" s="108"/>
      <c r="N56" s="9"/>
    </row>
    <row r="57" spans="1:14" ht="13.95" customHeight="1">
      <c r="A57" s="1"/>
      <c r="B57" s="1"/>
      <c r="C57" s="33"/>
      <c r="D57" s="1"/>
      <c r="E57" s="3"/>
      <c r="F57" s="4"/>
      <c r="G57" s="5"/>
      <c r="I57" s="3"/>
      <c r="J57" s="3"/>
      <c r="K57" s="3"/>
      <c r="L57" s="103"/>
      <c r="M57" s="108"/>
      <c r="N57" s="9"/>
    </row>
    <row r="58" spans="1:14" ht="22.95" customHeight="1">
      <c r="A58" s="1"/>
      <c r="B58" s="1"/>
      <c r="C58" s="33" t="s">
        <v>61</v>
      </c>
      <c r="D58" s="1"/>
      <c r="E58" s="3"/>
      <c r="F58" s="4"/>
      <c r="G58" s="5"/>
      <c r="I58" s="3"/>
      <c r="J58" s="3"/>
      <c r="K58" s="3"/>
      <c r="L58" s="103"/>
      <c r="M58" s="108"/>
      <c r="N58" s="9"/>
    </row>
    <row r="59" spans="1:14" ht="13.95" customHeight="1">
      <c r="A59" s="1"/>
      <c r="B59" s="1"/>
      <c r="C59" s="6"/>
      <c r="D59" s="1"/>
      <c r="E59" s="3"/>
      <c r="F59" s="4"/>
      <c r="G59" s="5"/>
      <c r="I59" s="3"/>
      <c r="J59" s="3"/>
      <c r="K59" s="3"/>
      <c r="L59" s="103"/>
      <c r="M59" s="108"/>
      <c r="N59" s="9"/>
    </row>
    <row r="60" spans="1:14" ht="13.95" customHeight="1">
      <c r="A60" s="1">
        <v>10</v>
      </c>
      <c r="B60" s="1"/>
      <c r="C60" s="33" t="s">
        <v>14</v>
      </c>
      <c r="D60" s="1" t="s">
        <v>51</v>
      </c>
      <c r="E60" s="3">
        <f>SUM(I60:N60)</f>
        <v>16.600000000000001</v>
      </c>
      <c r="F60" s="13">
        <v>175</v>
      </c>
      <c r="G60" s="5">
        <f t="shared" ref="G60" si="16">+E60*F60</f>
        <v>2905.0000000000005</v>
      </c>
      <c r="I60" s="3">
        <v>16.600000000000001</v>
      </c>
      <c r="J60" s="3"/>
      <c r="K60" s="3"/>
      <c r="L60" s="103"/>
      <c r="M60" s="108"/>
      <c r="N60" s="9"/>
    </row>
    <row r="61" spans="1:14" ht="9.75" customHeight="1">
      <c r="A61" s="1"/>
      <c r="B61" s="1"/>
      <c r="C61" s="33"/>
      <c r="D61" s="1"/>
      <c r="E61" s="3"/>
      <c r="F61" s="13"/>
      <c r="G61" s="5"/>
      <c r="I61" s="3"/>
      <c r="J61" s="3"/>
      <c r="K61" s="3"/>
      <c r="L61" s="103"/>
      <c r="M61" s="108"/>
      <c r="N61" s="9"/>
    </row>
    <row r="62" spans="1:14" ht="13.95" customHeight="1">
      <c r="A62" s="1"/>
      <c r="B62" s="1"/>
      <c r="C62" s="37" t="s">
        <v>111</v>
      </c>
      <c r="D62" s="1"/>
      <c r="E62" s="3"/>
      <c r="F62" s="13"/>
      <c r="G62" s="5"/>
      <c r="I62" s="3"/>
      <c r="J62" s="3"/>
      <c r="K62" s="3"/>
      <c r="L62" s="103"/>
      <c r="M62" s="108"/>
      <c r="N62" s="9"/>
    </row>
    <row r="63" spans="1:14" ht="9" customHeight="1">
      <c r="A63" s="1"/>
      <c r="B63" s="1"/>
      <c r="C63" s="33"/>
      <c r="D63" s="1"/>
      <c r="E63" s="3"/>
      <c r="F63" s="13"/>
      <c r="G63" s="5"/>
      <c r="I63" s="3"/>
      <c r="J63" s="3"/>
      <c r="K63" s="3"/>
      <c r="L63" s="103"/>
      <c r="M63" s="108"/>
      <c r="N63" s="9"/>
    </row>
    <row r="64" spans="1:14" ht="28.95" customHeight="1">
      <c r="A64" s="1">
        <v>11</v>
      </c>
      <c r="B64" s="1"/>
      <c r="C64" s="33" t="s">
        <v>54</v>
      </c>
      <c r="D64" s="1" t="s">
        <v>51</v>
      </c>
      <c r="E64" s="3">
        <f>SUM(I64:N64)</f>
        <v>0</v>
      </c>
      <c r="F64" s="13">
        <v>950</v>
      </c>
      <c r="G64" s="5">
        <f t="shared" ref="G64" si="17">+E64*F64</f>
        <v>0</v>
      </c>
      <c r="I64" s="3"/>
      <c r="J64" s="3"/>
      <c r="K64" s="3"/>
      <c r="L64" s="103"/>
      <c r="M64" s="108"/>
      <c r="N64" s="9"/>
    </row>
    <row r="65" spans="1:14" ht="13.95" customHeight="1">
      <c r="A65" s="1"/>
      <c r="B65" s="1"/>
      <c r="C65" s="33"/>
      <c r="D65" s="1"/>
      <c r="E65" s="3"/>
      <c r="F65" s="13"/>
      <c r="G65" s="5"/>
      <c r="I65" s="3"/>
      <c r="J65" s="3"/>
      <c r="K65" s="3"/>
      <c r="L65" s="103"/>
      <c r="M65" s="108"/>
      <c r="N65" s="9"/>
    </row>
    <row r="66" spans="1:14" ht="22.2" customHeight="1">
      <c r="A66" s="1"/>
      <c r="B66" s="1"/>
      <c r="C66" s="33" t="s">
        <v>57</v>
      </c>
      <c r="D66" s="1"/>
      <c r="E66" s="3"/>
      <c r="F66" s="13"/>
      <c r="G66" s="5"/>
      <c r="I66" s="3"/>
      <c r="J66" s="3"/>
      <c r="K66" s="3"/>
      <c r="L66" s="103"/>
      <c r="M66" s="108"/>
      <c r="N66" s="9"/>
    </row>
    <row r="67" spans="1:14" ht="13.95" customHeight="1">
      <c r="A67" s="1"/>
      <c r="B67" s="2"/>
      <c r="C67" s="8"/>
      <c r="D67" s="9"/>
      <c r="E67" s="3"/>
      <c r="F67" s="13"/>
      <c r="G67" s="5"/>
      <c r="I67" s="3"/>
      <c r="J67" s="3"/>
      <c r="K67" s="3"/>
      <c r="L67" s="103"/>
      <c r="M67" s="108"/>
      <c r="N67" s="9"/>
    </row>
    <row r="68" spans="1:14" ht="13.95" customHeight="1">
      <c r="A68" s="1"/>
      <c r="B68" s="1" t="s">
        <v>83</v>
      </c>
      <c r="C68" s="10" t="s">
        <v>25</v>
      </c>
      <c r="D68" s="9"/>
      <c r="E68" s="3"/>
      <c r="F68" s="13"/>
      <c r="G68" s="5"/>
      <c r="I68" s="3"/>
      <c r="J68" s="3"/>
      <c r="K68" s="3"/>
      <c r="L68" s="103"/>
      <c r="M68" s="108"/>
      <c r="N68" s="9"/>
    </row>
    <row r="69" spans="1:14" ht="13.95" customHeight="1">
      <c r="A69" s="1"/>
      <c r="B69" s="2"/>
      <c r="C69" s="8"/>
      <c r="D69" s="9"/>
      <c r="E69" s="3"/>
      <c r="F69" s="13"/>
      <c r="G69" s="5"/>
      <c r="I69" s="3"/>
      <c r="J69" s="3"/>
      <c r="K69" s="3"/>
      <c r="L69" s="103"/>
      <c r="M69" s="108"/>
      <c r="N69" s="9"/>
    </row>
    <row r="70" spans="1:14" ht="23.4" customHeight="1">
      <c r="A70" s="1"/>
      <c r="B70" s="2"/>
      <c r="C70" s="8" t="s">
        <v>109</v>
      </c>
      <c r="D70" s="9"/>
      <c r="E70" s="3"/>
      <c r="F70" s="13"/>
      <c r="G70" s="5"/>
      <c r="I70" s="3"/>
      <c r="J70" s="3"/>
      <c r="K70" s="3"/>
      <c r="L70" s="103"/>
      <c r="M70" s="108"/>
      <c r="N70" s="9"/>
    </row>
    <row r="71" spans="1:14" ht="13.95" customHeight="1">
      <c r="A71" s="1"/>
      <c r="B71" s="2"/>
      <c r="C71" s="8"/>
      <c r="D71" s="9"/>
      <c r="E71" s="3"/>
      <c r="F71" s="13"/>
      <c r="G71" s="5"/>
      <c r="I71" s="3"/>
      <c r="J71" s="3"/>
      <c r="K71" s="3"/>
      <c r="L71" s="103"/>
      <c r="M71" s="108"/>
      <c r="N71" s="9"/>
    </row>
    <row r="72" spans="1:14" ht="33.6" customHeight="1">
      <c r="A72" s="1">
        <v>12</v>
      </c>
      <c r="B72" s="2"/>
      <c r="C72" s="8" t="s">
        <v>108</v>
      </c>
      <c r="D72" s="9" t="s">
        <v>51</v>
      </c>
      <c r="E72" s="3">
        <f>SUM(I72:N72)</f>
        <v>7.6</v>
      </c>
      <c r="F72" s="13">
        <v>725</v>
      </c>
      <c r="G72" s="5">
        <f t="shared" ref="G72" si="18">+E72*F72</f>
        <v>5510</v>
      </c>
      <c r="I72" s="3">
        <v>7.6</v>
      </c>
      <c r="J72" s="3"/>
      <c r="K72" s="3"/>
      <c r="L72" s="103"/>
      <c r="M72" s="108"/>
      <c r="N72" s="9"/>
    </row>
    <row r="73" spans="1:14" ht="13.95" customHeight="1">
      <c r="A73" s="1"/>
      <c r="B73" s="2"/>
      <c r="C73" s="8"/>
      <c r="D73" s="9"/>
      <c r="E73" s="3"/>
      <c r="F73" s="13"/>
      <c r="G73" s="5"/>
      <c r="I73" s="3"/>
      <c r="J73" s="3"/>
      <c r="K73" s="3"/>
      <c r="L73" s="103"/>
      <c r="M73" s="108"/>
      <c r="N73" s="9"/>
    </row>
    <row r="74" spans="1:14" ht="21.6" customHeight="1">
      <c r="A74" s="1"/>
      <c r="B74" s="2" t="s">
        <v>101</v>
      </c>
      <c r="C74" s="34" t="s">
        <v>155</v>
      </c>
      <c r="D74" s="1"/>
      <c r="E74" s="3"/>
      <c r="F74" s="13"/>
      <c r="G74" s="5"/>
      <c r="I74" s="3"/>
      <c r="J74" s="3"/>
      <c r="K74" s="3"/>
      <c r="L74" s="103"/>
      <c r="M74" s="108"/>
      <c r="N74" s="9"/>
    </row>
    <row r="75" spans="1:14" ht="13.95" customHeight="1">
      <c r="A75" s="1"/>
      <c r="B75" s="1"/>
      <c r="C75" s="33"/>
      <c r="D75" s="1"/>
      <c r="E75" s="3"/>
      <c r="F75" s="13"/>
      <c r="G75" s="5"/>
      <c r="I75" s="3"/>
      <c r="J75" s="3"/>
      <c r="K75" s="3"/>
      <c r="L75" s="103"/>
      <c r="M75" s="108"/>
      <c r="N75" s="9"/>
    </row>
    <row r="76" spans="1:14" ht="13.95" customHeight="1">
      <c r="A76" s="1"/>
      <c r="B76" s="1" t="s">
        <v>88</v>
      </c>
      <c r="C76" s="32" t="s">
        <v>15</v>
      </c>
      <c r="D76" s="1"/>
      <c r="E76" s="3"/>
      <c r="F76" s="13"/>
      <c r="G76" s="5"/>
      <c r="I76" s="3"/>
      <c r="J76" s="3"/>
      <c r="K76" s="3"/>
      <c r="L76" s="103"/>
      <c r="M76" s="108"/>
      <c r="N76" s="9"/>
    </row>
    <row r="77" spans="1:14" ht="13.95" customHeight="1">
      <c r="A77" s="1"/>
      <c r="B77" s="1"/>
      <c r="C77" s="33"/>
      <c r="D77" s="1"/>
      <c r="E77" s="3"/>
      <c r="F77" s="13"/>
      <c r="G77" s="5"/>
      <c r="I77" s="3"/>
      <c r="J77" s="3"/>
      <c r="K77" s="3"/>
      <c r="L77" s="103"/>
      <c r="M77" s="108"/>
      <c r="N77" s="9"/>
    </row>
    <row r="78" spans="1:14" ht="13.95" customHeight="1">
      <c r="A78" s="1"/>
      <c r="B78" s="1" t="s">
        <v>82</v>
      </c>
      <c r="C78" s="34" t="s">
        <v>16</v>
      </c>
      <c r="D78" s="1"/>
      <c r="E78" s="3"/>
      <c r="F78" s="13"/>
      <c r="G78" s="5"/>
      <c r="I78" s="3"/>
      <c r="J78" s="3"/>
      <c r="K78" s="3"/>
      <c r="L78" s="103"/>
      <c r="M78" s="108"/>
      <c r="N78" s="9"/>
    </row>
    <row r="79" spans="1:14" ht="13.95" customHeight="1">
      <c r="A79" s="1"/>
      <c r="B79" s="1"/>
      <c r="C79" s="33"/>
      <c r="D79" s="1"/>
      <c r="E79" s="3"/>
      <c r="F79" s="13"/>
      <c r="G79" s="5"/>
      <c r="I79" s="3"/>
      <c r="J79" s="3"/>
      <c r="K79" s="3"/>
      <c r="L79" s="103"/>
      <c r="M79" s="108"/>
      <c r="N79" s="9"/>
    </row>
    <row r="80" spans="1:14" ht="13.95" customHeight="1">
      <c r="A80" s="1"/>
      <c r="B80" s="1"/>
      <c r="C80" s="37" t="s">
        <v>17</v>
      </c>
      <c r="D80" s="1"/>
      <c r="E80" s="3"/>
      <c r="F80" s="13"/>
      <c r="G80" s="5"/>
      <c r="I80" s="3"/>
      <c r="J80" s="3"/>
      <c r="K80" s="3"/>
      <c r="L80" s="103"/>
      <c r="M80" s="108"/>
      <c r="N80" s="9"/>
    </row>
    <row r="81" spans="1:14" ht="13.95" customHeight="1">
      <c r="A81" s="1"/>
      <c r="B81" s="1"/>
      <c r="C81" s="37"/>
      <c r="D81" s="1"/>
      <c r="E81" s="3"/>
      <c r="F81" s="13"/>
      <c r="G81" s="5"/>
      <c r="I81" s="3"/>
      <c r="J81" s="3"/>
      <c r="K81" s="3"/>
      <c r="L81" s="103"/>
      <c r="M81" s="108"/>
      <c r="N81" s="9"/>
    </row>
    <row r="82" spans="1:14" ht="13.95" customHeight="1">
      <c r="A82" s="1">
        <v>13</v>
      </c>
      <c r="B82" s="1"/>
      <c r="C82" s="33" t="s">
        <v>28</v>
      </c>
      <c r="D82" s="1" t="s">
        <v>60</v>
      </c>
      <c r="E82" s="3">
        <f>SUM(I82:N82)</f>
        <v>18</v>
      </c>
      <c r="F82" s="13">
        <v>475</v>
      </c>
      <c r="G82" s="5">
        <f t="shared" ref="G82" si="19">+E82*F82</f>
        <v>8550</v>
      </c>
      <c r="I82" s="3">
        <v>18</v>
      </c>
      <c r="J82" s="3"/>
      <c r="K82" s="3"/>
      <c r="L82" s="103"/>
      <c r="M82" s="108"/>
      <c r="N82" s="9"/>
    </row>
    <row r="83" spans="1:14" ht="13.95" customHeight="1">
      <c r="A83" s="1"/>
      <c r="B83" s="1"/>
      <c r="C83" s="33"/>
      <c r="D83" s="1"/>
      <c r="E83" s="3"/>
      <c r="F83" s="13"/>
      <c r="G83" s="5"/>
      <c r="I83" s="3"/>
      <c r="J83" s="3"/>
      <c r="K83" s="3"/>
      <c r="L83" s="103"/>
      <c r="M83" s="108"/>
      <c r="N83" s="9"/>
    </row>
    <row r="84" spans="1:14" ht="19.95" customHeight="1">
      <c r="A84" s="1"/>
      <c r="B84" s="1" t="s">
        <v>86</v>
      </c>
      <c r="C84" s="34" t="s">
        <v>26</v>
      </c>
      <c r="D84" s="1"/>
      <c r="E84" s="3"/>
      <c r="F84" s="13"/>
      <c r="G84" s="5"/>
      <c r="I84" s="3"/>
      <c r="J84" s="3"/>
      <c r="K84" s="3"/>
      <c r="L84" s="103"/>
      <c r="M84" s="108"/>
      <c r="N84" s="9"/>
    </row>
    <row r="85" spans="1:14" ht="13.95" customHeight="1">
      <c r="A85" s="1"/>
      <c r="B85" s="1"/>
      <c r="C85" s="33"/>
      <c r="D85" s="1"/>
      <c r="E85" s="3"/>
      <c r="F85" s="13"/>
      <c r="G85" s="5"/>
      <c r="I85" s="3"/>
      <c r="J85" s="3"/>
      <c r="K85" s="3"/>
      <c r="L85" s="103"/>
      <c r="M85" s="108"/>
      <c r="N85" s="9"/>
    </row>
    <row r="86" spans="1:14" ht="13.95" customHeight="1">
      <c r="A86" s="1"/>
      <c r="B86" s="1"/>
      <c r="C86" s="37" t="s">
        <v>17</v>
      </c>
      <c r="D86" s="1"/>
      <c r="E86" s="3"/>
      <c r="F86" s="13"/>
      <c r="G86" s="5"/>
      <c r="I86" s="3"/>
      <c r="J86" s="3"/>
      <c r="K86" s="3"/>
      <c r="L86" s="103"/>
      <c r="M86" s="108"/>
      <c r="N86" s="9"/>
    </row>
    <row r="87" spans="1:14" ht="13.95" customHeight="1">
      <c r="A87" s="1"/>
      <c r="B87" s="1"/>
      <c r="C87" s="33"/>
      <c r="D87" s="1"/>
      <c r="E87" s="3"/>
      <c r="F87" s="13"/>
      <c r="G87" s="5"/>
      <c r="I87" s="3"/>
      <c r="J87" s="3"/>
      <c r="K87" s="3"/>
      <c r="L87" s="103"/>
      <c r="M87" s="108"/>
      <c r="N87" s="9"/>
    </row>
    <row r="88" spans="1:14" ht="13.95" customHeight="1">
      <c r="A88" s="1">
        <v>14</v>
      </c>
      <c r="B88" s="1"/>
      <c r="C88" s="33" t="s">
        <v>201</v>
      </c>
      <c r="D88" s="1" t="s">
        <v>60</v>
      </c>
      <c r="E88" s="3">
        <f>SUM(I88:N88)</f>
        <v>14.4</v>
      </c>
      <c r="F88" s="13">
        <v>750</v>
      </c>
      <c r="G88" s="5">
        <f t="shared" ref="G88" si="20">+E88*F88</f>
        <v>10800</v>
      </c>
      <c r="I88" s="3">
        <v>14.4</v>
      </c>
      <c r="J88" s="3"/>
      <c r="K88" s="3"/>
      <c r="L88" s="103"/>
      <c r="M88" s="108"/>
      <c r="N88" s="9"/>
    </row>
    <row r="89" spans="1:14" ht="13.95" customHeight="1">
      <c r="A89" s="1"/>
      <c r="B89" s="1"/>
      <c r="C89" s="33"/>
      <c r="D89" s="1"/>
      <c r="E89" s="3"/>
      <c r="F89" s="13"/>
      <c r="G89" s="5"/>
      <c r="I89" s="3"/>
      <c r="J89" s="3"/>
      <c r="K89" s="3"/>
      <c r="L89" s="103"/>
      <c r="M89" s="108"/>
      <c r="N89" s="9"/>
    </row>
    <row r="90" spans="1:14" ht="13.95" customHeight="1">
      <c r="A90" s="1">
        <v>15</v>
      </c>
      <c r="B90" s="1"/>
      <c r="C90" s="33" t="s">
        <v>224</v>
      </c>
      <c r="D90" s="1" t="s">
        <v>60</v>
      </c>
      <c r="E90" s="3">
        <f>SUM(I90:N90)</f>
        <v>0</v>
      </c>
      <c r="F90" s="13">
        <v>635</v>
      </c>
      <c r="G90" s="5">
        <f t="shared" ref="G90" si="21">+E90*F90</f>
        <v>0</v>
      </c>
      <c r="I90" s="3"/>
      <c r="J90" s="3"/>
      <c r="K90" s="3"/>
      <c r="L90" s="103"/>
      <c r="M90" s="108"/>
      <c r="N90" s="9"/>
    </row>
    <row r="91" spans="1:14" ht="13.95" customHeight="1">
      <c r="A91" s="1"/>
      <c r="B91" s="1"/>
      <c r="C91" s="33"/>
      <c r="D91" s="1"/>
      <c r="E91" s="3"/>
      <c r="F91" s="13"/>
      <c r="G91" s="5"/>
      <c r="I91" s="3"/>
      <c r="J91" s="3"/>
      <c r="K91" s="3"/>
      <c r="L91" s="103"/>
      <c r="M91" s="108"/>
      <c r="N91" s="9"/>
    </row>
    <row r="92" spans="1:14" ht="13.95" customHeight="1">
      <c r="A92" s="1">
        <v>16</v>
      </c>
      <c r="B92" s="1"/>
      <c r="C92" s="33" t="s">
        <v>39</v>
      </c>
      <c r="D92" s="1" t="s">
        <v>60</v>
      </c>
      <c r="E92" s="3">
        <f>SUM(I92:N92)</f>
        <v>0</v>
      </c>
      <c r="F92" s="13">
        <v>850</v>
      </c>
      <c r="G92" s="5">
        <f t="shared" ref="G92" si="22">+E92*F92</f>
        <v>0</v>
      </c>
      <c r="I92" s="3"/>
      <c r="J92" s="3"/>
      <c r="K92" s="3"/>
      <c r="L92" s="103"/>
      <c r="M92" s="108"/>
      <c r="N92" s="9"/>
    </row>
    <row r="93" spans="1:14" ht="13.95" customHeight="1">
      <c r="A93" s="1"/>
      <c r="B93" s="1"/>
      <c r="C93" s="33"/>
      <c r="D93" s="1"/>
      <c r="E93" s="3"/>
      <c r="F93" s="13"/>
      <c r="G93" s="5"/>
      <c r="I93" s="3"/>
      <c r="J93" s="3"/>
      <c r="K93" s="3"/>
      <c r="L93" s="103"/>
      <c r="M93" s="108"/>
      <c r="N93" s="9"/>
    </row>
    <row r="94" spans="1:14" ht="13.95" customHeight="1">
      <c r="A94" s="1">
        <v>17</v>
      </c>
      <c r="B94" s="1"/>
      <c r="C94" s="33" t="s">
        <v>247</v>
      </c>
      <c r="D94" s="1" t="s">
        <v>60</v>
      </c>
      <c r="E94" s="3">
        <f>SUM(I94:N94)</f>
        <v>0</v>
      </c>
      <c r="F94" s="13">
        <v>775</v>
      </c>
      <c r="G94" s="5">
        <f t="shared" ref="G94" si="23">+E94*F94</f>
        <v>0</v>
      </c>
      <c r="I94" s="3"/>
      <c r="J94" s="3"/>
      <c r="K94" s="3"/>
      <c r="L94" s="103"/>
      <c r="M94" s="108"/>
      <c r="N94" s="9"/>
    </row>
    <row r="95" spans="1:14" ht="13.95" customHeight="1">
      <c r="A95" s="1"/>
      <c r="B95" s="1"/>
      <c r="C95" s="33"/>
      <c r="D95" s="1"/>
      <c r="E95" s="3"/>
      <c r="F95" s="4"/>
      <c r="G95" s="5"/>
      <c r="I95" s="3"/>
      <c r="J95" s="3"/>
      <c r="K95" s="3"/>
      <c r="L95" s="103"/>
      <c r="M95" s="108"/>
      <c r="N95" s="9"/>
    </row>
    <row r="96" spans="1:14" ht="20.100000000000001" customHeight="1">
      <c r="A96" s="149" t="s">
        <v>66</v>
      </c>
      <c r="B96" s="150"/>
      <c r="C96" s="150"/>
      <c r="D96" s="150"/>
      <c r="E96" s="150"/>
      <c r="F96" s="151"/>
      <c r="G96" s="116">
        <f>SUM(G52:G95)</f>
        <v>27765</v>
      </c>
      <c r="I96" s="9"/>
      <c r="J96" s="9"/>
      <c r="K96" s="9"/>
      <c r="L96" s="103"/>
      <c r="M96" s="108"/>
      <c r="N96" s="9"/>
    </row>
    <row r="97" spans="1:14" ht="13.95" customHeight="1">
      <c r="A97" s="39"/>
      <c r="B97" s="39"/>
      <c r="C97" s="39"/>
      <c r="D97" s="39"/>
      <c r="E97" s="39"/>
      <c r="F97" s="39"/>
      <c r="G97" s="113"/>
      <c r="I97" s="9"/>
      <c r="J97" s="9"/>
      <c r="K97" s="9"/>
      <c r="L97" s="103"/>
      <c r="M97" s="108"/>
      <c r="N97" s="9"/>
    </row>
    <row r="98" spans="1:14" ht="13.95" customHeight="1">
      <c r="A98" s="39"/>
      <c r="B98" s="39"/>
      <c r="C98" s="39"/>
      <c r="D98" s="39"/>
      <c r="E98" s="39"/>
      <c r="F98" s="39"/>
      <c r="G98" s="113"/>
      <c r="I98" s="9"/>
      <c r="J98" s="9"/>
      <c r="K98" s="9"/>
      <c r="L98" s="103"/>
      <c r="M98" s="108"/>
      <c r="N98" s="9"/>
    </row>
    <row r="99" spans="1:14" ht="22.2" customHeight="1">
      <c r="A99" s="44" t="s">
        <v>8</v>
      </c>
      <c r="B99" s="48" t="s">
        <v>9</v>
      </c>
      <c r="C99" s="44" t="s">
        <v>10</v>
      </c>
      <c r="D99" s="48" t="s">
        <v>11</v>
      </c>
      <c r="E99" s="48" t="s">
        <v>59</v>
      </c>
      <c r="F99" s="49" t="s">
        <v>12</v>
      </c>
      <c r="G99" s="111" t="s">
        <v>13</v>
      </c>
      <c r="I99" s="9"/>
      <c r="J99" s="9"/>
      <c r="K99" s="9"/>
      <c r="L99" s="103"/>
      <c r="M99" s="108"/>
      <c r="N99" s="9"/>
    </row>
    <row r="100" spans="1:14" ht="20.100000000000001" customHeight="1">
      <c r="A100" s="149" t="s">
        <v>67</v>
      </c>
      <c r="B100" s="150"/>
      <c r="C100" s="150"/>
      <c r="D100" s="150"/>
      <c r="E100" s="150"/>
      <c r="F100" s="151"/>
      <c r="G100" s="116">
        <f>+G96</f>
        <v>27765</v>
      </c>
      <c r="I100" s="9"/>
      <c r="J100" s="9"/>
      <c r="K100" s="9"/>
      <c r="L100" s="103"/>
      <c r="M100" s="108"/>
      <c r="N100" s="9"/>
    </row>
    <row r="101" spans="1:14" ht="13.95" customHeight="1">
      <c r="A101" s="1"/>
      <c r="B101" s="1"/>
      <c r="C101" s="33"/>
      <c r="D101" s="1"/>
      <c r="E101" s="3"/>
      <c r="F101" s="13"/>
      <c r="G101" s="5"/>
      <c r="I101" s="9"/>
      <c r="J101" s="9"/>
      <c r="K101" s="9"/>
      <c r="L101" s="103"/>
      <c r="M101" s="108"/>
      <c r="N101" s="9"/>
    </row>
    <row r="102" spans="1:14" ht="13.95" customHeight="1">
      <c r="A102" s="1"/>
      <c r="B102" s="1"/>
      <c r="C102" s="37" t="s">
        <v>248</v>
      </c>
      <c r="D102" s="1"/>
      <c r="E102" s="3"/>
      <c r="F102" s="13"/>
      <c r="G102" s="5"/>
      <c r="I102" s="3"/>
      <c r="J102" s="3"/>
      <c r="K102" s="3"/>
      <c r="L102" s="103"/>
      <c r="M102" s="108"/>
      <c r="N102" s="9"/>
    </row>
    <row r="103" spans="1:14" ht="13.95" customHeight="1">
      <c r="A103" s="1"/>
      <c r="B103" s="1"/>
      <c r="C103" s="33"/>
      <c r="D103" s="1"/>
      <c r="E103" s="3"/>
      <c r="F103" s="13"/>
      <c r="G103" s="5"/>
      <c r="I103" s="3"/>
      <c r="J103" s="3"/>
      <c r="K103" s="3"/>
      <c r="L103" s="103"/>
      <c r="M103" s="108"/>
      <c r="N103" s="9"/>
    </row>
    <row r="104" spans="1:14" ht="13.95" customHeight="1">
      <c r="A104" s="1">
        <v>18</v>
      </c>
      <c r="B104" s="1"/>
      <c r="C104" s="33" t="s">
        <v>249</v>
      </c>
      <c r="D104" s="1" t="s">
        <v>60</v>
      </c>
      <c r="E104" s="3">
        <f>SUM(I104:N104)</f>
        <v>0</v>
      </c>
      <c r="F104" s="13">
        <v>1150</v>
      </c>
      <c r="G104" s="5">
        <f t="shared" ref="G104" si="24">+E104*F104</f>
        <v>0</v>
      </c>
      <c r="I104" s="3"/>
      <c r="J104" s="3"/>
      <c r="K104" s="3"/>
      <c r="L104" s="103"/>
      <c r="M104" s="108"/>
      <c r="N104" s="9"/>
    </row>
    <row r="105" spans="1:14" ht="13.95" customHeight="1">
      <c r="A105" s="1"/>
      <c r="B105" s="1"/>
      <c r="C105" s="33"/>
      <c r="D105" s="1"/>
      <c r="E105" s="3"/>
      <c r="F105" s="13"/>
      <c r="G105" s="5"/>
      <c r="I105" s="9"/>
      <c r="J105" s="9"/>
      <c r="K105" s="9"/>
      <c r="L105" s="103"/>
      <c r="M105" s="108"/>
      <c r="N105" s="9"/>
    </row>
    <row r="106" spans="1:14" ht="13.95" customHeight="1">
      <c r="A106" s="1"/>
      <c r="B106" s="1" t="s">
        <v>89</v>
      </c>
      <c r="C106" s="32" t="s">
        <v>156</v>
      </c>
      <c r="D106" s="1"/>
      <c r="E106" s="3"/>
      <c r="F106" s="4"/>
      <c r="G106" s="5"/>
      <c r="I106" s="9"/>
      <c r="J106" s="9"/>
      <c r="K106" s="9"/>
      <c r="L106" s="103"/>
      <c r="M106" s="108"/>
      <c r="N106" s="9"/>
    </row>
    <row r="107" spans="1:14" ht="13.95" customHeight="1">
      <c r="A107" s="1"/>
      <c r="B107" s="1"/>
      <c r="C107" s="33"/>
      <c r="D107" s="1"/>
      <c r="E107" s="3"/>
      <c r="F107" s="4"/>
      <c r="G107" s="5"/>
      <c r="I107" s="9"/>
      <c r="J107" s="9"/>
      <c r="K107" s="9"/>
      <c r="L107" s="103"/>
      <c r="M107" s="108"/>
      <c r="N107" s="9"/>
    </row>
    <row r="108" spans="1:14" ht="13.95" customHeight="1">
      <c r="A108" s="1">
        <v>19</v>
      </c>
      <c r="B108" s="1"/>
      <c r="C108" s="47" t="s">
        <v>244</v>
      </c>
      <c r="D108" s="1" t="s">
        <v>1</v>
      </c>
      <c r="E108" s="3">
        <f>SUM(I108:N108)</f>
        <v>0</v>
      </c>
      <c r="F108" s="3">
        <v>135</v>
      </c>
      <c r="G108" s="5">
        <f t="shared" ref="G108" si="25">+E108*F108</f>
        <v>0</v>
      </c>
      <c r="I108" s="3"/>
      <c r="J108" s="3"/>
      <c r="K108" s="3"/>
      <c r="L108" s="103"/>
      <c r="M108" s="108"/>
      <c r="N108" s="9"/>
    </row>
    <row r="109" spans="1:14" ht="13.95" customHeight="1">
      <c r="A109" s="1"/>
      <c r="B109" s="1"/>
      <c r="C109" s="33"/>
      <c r="D109" s="1"/>
      <c r="E109" s="3"/>
      <c r="F109" s="4"/>
      <c r="G109" s="5"/>
      <c r="I109" s="3"/>
      <c r="J109" s="3"/>
      <c r="K109" s="3"/>
      <c r="L109" s="103"/>
      <c r="M109" s="108"/>
      <c r="N109" s="9"/>
    </row>
    <row r="110" spans="1:14" ht="13.95" customHeight="1">
      <c r="A110" s="1"/>
      <c r="B110" s="1" t="s">
        <v>90</v>
      </c>
      <c r="C110" s="32" t="s">
        <v>36</v>
      </c>
      <c r="D110" s="1"/>
      <c r="E110" s="3"/>
      <c r="F110" s="4"/>
      <c r="G110" s="5"/>
      <c r="I110" s="3"/>
      <c r="J110" s="3"/>
      <c r="K110" s="3"/>
      <c r="L110" s="103"/>
      <c r="M110" s="108"/>
      <c r="N110" s="9"/>
    </row>
    <row r="111" spans="1:14" ht="13.95" customHeight="1">
      <c r="A111" s="1"/>
      <c r="B111" s="1"/>
      <c r="C111" s="33"/>
      <c r="D111" s="1"/>
      <c r="E111" s="3"/>
      <c r="F111" s="4"/>
      <c r="G111" s="5"/>
      <c r="I111" s="3"/>
      <c r="J111" s="3"/>
      <c r="K111" s="3"/>
      <c r="L111" s="103"/>
      <c r="M111" s="108"/>
      <c r="N111" s="9"/>
    </row>
    <row r="112" spans="1:14" ht="24" customHeight="1">
      <c r="A112" s="1"/>
      <c r="B112" s="1"/>
      <c r="C112" s="33" t="s">
        <v>225</v>
      </c>
      <c r="D112" s="1"/>
      <c r="E112" s="3"/>
      <c r="F112" s="4"/>
      <c r="G112" s="5"/>
      <c r="I112" s="3"/>
      <c r="J112" s="3"/>
      <c r="K112" s="3"/>
      <c r="L112" s="103"/>
      <c r="M112" s="108"/>
      <c r="N112" s="9"/>
    </row>
    <row r="113" spans="1:14" ht="13.95" customHeight="1">
      <c r="A113" s="1"/>
      <c r="B113" s="1"/>
      <c r="C113" s="33"/>
      <c r="D113" s="1"/>
      <c r="E113" s="3"/>
      <c r="F113" s="4"/>
      <c r="G113" s="5"/>
      <c r="I113" s="3"/>
      <c r="J113" s="3"/>
      <c r="K113" s="3"/>
      <c r="L113" s="103"/>
      <c r="M113" s="108"/>
      <c r="N113" s="9"/>
    </row>
    <row r="114" spans="1:14" ht="13.95" customHeight="1">
      <c r="A114" s="1">
        <v>20</v>
      </c>
      <c r="B114" s="1"/>
      <c r="C114" s="33" t="s">
        <v>37</v>
      </c>
      <c r="D114" s="1" t="s">
        <v>6</v>
      </c>
      <c r="E114" s="3">
        <f>SUM(I114:N114)</f>
        <v>0</v>
      </c>
      <c r="F114" s="3">
        <v>75</v>
      </c>
      <c r="G114" s="5">
        <f t="shared" ref="G114" si="26">+E114*F114</f>
        <v>0</v>
      </c>
      <c r="I114" s="3"/>
      <c r="J114" s="3"/>
      <c r="K114" s="3"/>
      <c r="L114" s="103"/>
      <c r="M114" s="108"/>
      <c r="N114" s="9"/>
    </row>
    <row r="115" spans="1:14" ht="13.95" customHeight="1">
      <c r="A115" s="1"/>
      <c r="B115" s="1"/>
      <c r="C115" s="33"/>
      <c r="D115" s="1"/>
      <c r="E115" s="3"/>
      <c r="F115" s="3"/>
      <c r="G115" s="5"/>
      <c r="I115" s="3"/>
      <c r="J115" s="3"/>
      <c r="K115" s="3"/>
      <c r="L115" s="103"/>
      <c r="M115" s="108"/>
      <c r="N115" s="9"/>
    </row>
    <row r="116" spans="1:14" ht="13.95" customHeight="1">
      <c r="A116" s="1"/>
      <c r="B116" s="1"/>
      <c r="C116" s="33" t="s">
        <v>226</v>
      </c>
      <c r="D116" s="1" t="s">
        <v>6</v>
      </c>
      <c r="E116" s="3">
        <f>SUM(I116:N116)</f>
        <v>0</v>
      </c>
      <c r="F116" s="3">
        <v>275</v>
      </c>
      <c r="G116" s="5">
        <f t="shared" ref="G116" si="27">+E116*F116</f>
        <v>0</v>
      </c>
      <c r="I116" s="3"/>
      <c r="J116" s="3"/>
      <c r="K116" s="3"/>
      <c r="L116" s="103"/>
      <c r="M116" s="108"/>
      <c r="N116" s="9"/>
    </row>
    <row r="117" spans="1:14" ht="13.95" customHeight="1">
      <c r="A117" s="1"/>
      <c r="B117" s="1"/>
      <c r="D117" s="1"/>
      <c r="E117" s="3"/>
      <c r="F117" s="4"/>
      <c r="G117" s="5"/>
      <c r="I117" s="3"/>
      <c r="J117" s="3"/>
      <c r="K117" s="3"/>
      <c r="L117" s="103"/>
      <c r="M117" s="108"/>
      <c r="N117" s="9"/>
    </row>
    <row r="118" spans="1:14" ht="13.95" customHeight="1">
      <c r="A118" s="1"/>
      <c r="B118" s="1"/>
      <c r="C118" s="42" t="s">
        <v>104</v>
      </c>
      <c r="D118" s="1"/>
      <c r="E118" s="3"/>
      <c r="F118" s="4"/>
      <c r="G118" s="5"/>
      <c r="I118" s="3"/>
      <c r="J118" s="3"/>
      <c r="K118" s="3"/>
      <c r="L118" s="103"/>
      <c r="M118" s="108"/>
      <c r="N118" s="9"/>
    </row>
    <row r="119" spans="1:14" ht="13.95" customHeight="1">
      <c r="A119" s="1"/>
      <c r="B119" s="1"/>
      <c r="C119" s="6"/>
      <c r="D119" s="1"/>
      <c r="E119" s="3"/>
      <c r="F119" s="4"/>
      <c r="G119" s="5"/>
      <c r="I119" s="3"/>
      <c r="J119" s="3"/>
      <c r="K119" s="3"/>
      <c r="L119" s="103"/>
      <c r="M119" s="108"/>
      <c r="N119" s="9"/>
    </row>
    <row r="120" spans="1:14" ht="13.95" customHeight="1">
      <c r="A120" s="1">
        <f>A114+1</f>
        <v>21</v>
      </c>
      <c r="B120" s="1"/>
      <c r="C120" s="6" t="s">
        <v>106</v>
      </c>
      <c r="D120" s="1" t="s">
        <v>1</v>
      </c>
      <c r="E120" s="3">
        <f>SUM(I120:AG120)</f>
        <v>60</v>
      </c>
      <c r="F120" s="3">
        <v>36</v>
      </c>
      <c r="G120" s="5">
        <f t="shared" ref="G120" si="28">+E120*F120</f>
        <v>2160</v>
      </c>
      <c r="I120" s="3">
        <v>60</v>
      </c>
      <c r="J120" s="3"/>
      <c r="K120" s="3"/>
      <c r="L120" s="103"/>
      <c r="M120" s="108"/>
      <c r="N120" s="9"/>
    </row>
    <row r="121" spans="1:14" ht="13.95" customHeight="1">
      <c r="A121" s="1"/>
      <c r="B121" s="1"/>
      <c r="C121" s="6"/>
      <c r="D121" s="1"/>
      <c r="E121" s="3"/>
      <c r="F121" s="4"/>
      <c r="G121" s="5"/>
      <c r="I121" s="3"/>
      <c r="J121" s="3"/>
      <c r="K121" s="3"/>
      <c r="L121" s="103"/>
      <c r="M121" s="108"/>
      <c r="N121" s="9"/>
    </row>
    <row r="122" spans="1:14" ht="13.95" customHeight="1">
      <c r="A122" s="1"/>
      <c r="B122" s="2" t="s">
        <v>91</v>
      </c>
      <c r="C122" s="34" t="s">
        <v>18</v>
      </c>
      <c r="D122" s="1"/>
      <c r="E122" s="3"/>
      <c r="F122" s="4"/>
      <c r="G122" s="5"/>
      <c r="I122" s="3"/>
      <c r="J122" s="3"/>
      <c r="K122" s="3"/>
      <c r="L122" s="103"/>
      <c r="M122" s="108"/>
      <c r="N122" s="9"/>
    </row>
    <row r="123" spans="1:14" ht="13.95" customHeight="1">
      <c r="A123" s="1"/>
      <c r="B123" s="1"/>
      <c r="C123" s="33"/>
      <c r="D123" s="1"/>
      <c r="E123" s="3"/>
      <c r="F123" s="4"/>
      <c r="G123" s="5"/>
      <c r="I123" s="3"/>
      <c r="J123" s="3"/>
      <c r="K123" s="3"/>
      <c r="L123" s="103"/>
      <c r="M123" s="108"/>
      <c r="N123" s="9"/>
    </row>
    <row r="124" spans="1:14" ht="13.95" customHeight="1">
      <c r="A124" s="1"/>
      <c r="B124" s="1" t="s">
        <v>84</v>
      </c>
      <c r="C124" s="32" t="s">
        <v>19</v>
      </c>
      <c r="D124" s="1"/>
      <c r="E124" s="3"/>
      <c r="F124" s="4"/>
      <c r="G124" s="5"/>
      <c r="I124" s="3"/>
      <c r="J124" s="3"/>
      <c r="K124" s="3"/>
      <c r="L124" s="103"/>
      <c r="M124" s="108"/>
      <c r="N124" s="9"/>
    </row>
    <row r="125" spans="1:14" ht="13.95" customHeight="1">
      <c r="A125" s="1"/>
      <c r="B125" s="1"/>
      <c r="C125" s="33"/>
      <c r="D125" s="1"/>
      <c r="E125" s="3"/>
      <c r="F125" s="4"/>
      <c r="G125" s="5"/>
      <c r="I125" s="3"/>
      <c r="J125" s="3"/>
      <c r="K125" s="3"/>
      <c r="L125" s="103"/>
      <c r="M125" s="108"/>
      <c r="N125" s="9"/>
    </row>
    <row r="126" spans="1:14" ht="13.95" customHeight="1">
      <c r="A126" s="1">
        <f>A120+1</f>
        <v>22</v>
      </c>
      <c r="B126" s="1"/>
      <c r="C126" s="33" t="s">
        <v>72</v>
      </c>
      <c r="D126" s="1" t="s">
        <v>2</v>
      </c>
      <c r="E126" s="3">
        <f>SUM(I126:N126)</f>
        <v>1.4</v>
      </c>
      <c r="F126" s="3">
        <v>25750</v>
      </c>
      <c r="G126" s="5">
        <f t="shared" ref="G126" si="29">+E126*F126</f>
        <v>36050</v>
      </c>
      <c r="I126" s="4">
        <v>1.4</v>
      </c>
      <c r="J126" s="4"/>
      <c r="K126" s="4"/>
      <c r="L126" s="103"/>
      <c r="M126" s="108"/>
      <c r="N126" s="9"/>
    </row>
    <row r="127" spans="1:14" ht="13.95" customHeight="1">
      <c r="A127" s="1"/>
      <c r="B127" s="1"/>
      <c r="C127" s="33"/>
      <c r="D127" s="1"/>
      <c r="E127" s="3"/>
      <c r="F127" s="4"/>
      <c r="G127" s="5"/>
      <c r="I127" s="3"/>
      <c r="J127" s="3"/>
      <c r="K127" s="3"/>
      <c r="L127" s="103"/>
      <c r="M127" s="108"/>
      <c r="N127" s="9"/>
    </row>
    <row r="128" spans="1:14" ht="13.95" customHeight="1">
      <c r="A128" s="1"/>
      <c r="B128" s="1" t="s">
        <v>92</v>
      </c>
      <c r="C128" s="32" t="s">
        <v>3</v>
      </c>
      <c r="D128" s="1"/>
      <c r="E128" s="3"/>
      <c r="F128" s="4"/>
      <c r="G128" s="5"/>
      <c r="I128" s="3"/>
      <c r="J128" s="3"/>
      <c r="K128" s="3"/>
      <c r="L128" s="103"/>
      <c r="M128" s="108"/>
      <c r="N128" s="9"/>
    </row>
    <row r="129" spans="1:14" ht="13.95" customHeight="1">
      <c r="A129" s="1"/>
      <c r="B129" s="1"/>
      <c r="C129" s="33"/>
      <c r="D129" s="1"/>
      <c r="E129" s="3"/>
      <c r="F129" s="4"/>
      <c r="G129" s="5"/>
      <c r="I129" s="3"/>
      <c r="J129" s="3"/>
      <c r="K129" s="3"/>
      <c r="L129" s="103"/>
      <c r="M129" s="108"/>
      <c r="N129" s="9"/>
    </row>
    <row r="130" spans="1:14" ht="13.95" customHeight="1">
      <c r="A130" s="1">
        <f>A126+1</f>
        <v>23</v>
      </c>
      <c r="B130" s="1"/>
      <c r="C130" s="33" t="s">
        <v>73</v>
      </c>
      <c r="D130" s="1" t="s">
        <v>60</v>
      </c>
      <c r="E130" s="3">
        <f>SUM(I130:N130)</f>
        <v>0</v>
      </c>
      <c r="F130" s="13">
        <v>345</v>
      </c>
      <c r="G130" s="5">
        <f t="shared" ref="G130" si="30">+E130*F130</f>
        <v>0</v>
      </c>
      <c r="I130" s="3"/>
      <c r="J130" s="3"/>
      <c r="K130" s="3"/>
      <c r="L130" s="103"/>
      <c r="M130" s="108"/>
      <c r="N130" s="9"/>
    </row>
    <row r="131" spans="1:14" ht="13.95" customHeight="1">
      <c r="A131" s="1"/>
      <c r="B131" s="1"/>
      <c r="C131" s="33"/>
      <c r="D131" s="1"/>
      <c r="E131" s="3"/>
      <c r="F131" s="4"/>
      <c r="G131" s="5"/>
      <c r="I131" s="3"/>
      <c r="J131" s="3"/>
      <c r="K131" s="3"/>
      <c r="L131" s="103"/>
      <c r="M131" s="108"/>
      <c r="N131" s="9"/>
    </row>
    <row r="132" spans="1:14" ht="13.95" customHeight="1">
      <c r="A132" s="1"/>
      <c r="B132" s="36" t="s">
        <v>93</v>
      </c>
      <c r="C132" s="34" t="s">
        <v>4</v>
      </c>
      <c r="D132" s="1"/>
      <c r="E132" s="3"/>
      <c r="F132" s="4"/>
      <c r="G132" s="5"/>
      <c r="I132" s="3"/>
      <c r="J132" s="3"/>
      <c r="K132" s="3"/>
      <c r="L132" s="103"/>
      <c r="M132" s="108"/>
      <c r="N132" s="9"/>
    </row>
    <row r="133" spans="1:14" ht="13.95" customHeight="1">
      <c r="A133" s="1"/>
      <c r="C133" s="33"/>
      <c r="D133" s="1"/>
      <c r="E133" s="3"/>
      <c r="F133" s="4"/>
      <c r="G133" s="5"/>
      <c r="I133" s="3"/>
      <c r="J133" s="3"/>
      <c r="K133" s="3"/>
      <c r="L133" s="103"/>
      <c r="M133" s="108"/>
      <c r="N133" s="9"/>
    </row>
    <row r="134" spans="1:14" ht="13.95" customHeight="1">
      <c r="A134" s="1"/>
      <c r="B134" s="20" t="s">
        <v>94</v>
      </c>
      <c r="C134" s="32" t="s">
        <v>5</v>
      </c>
      <c r="D134" s="1"/>
      <c r="E134" s="3"/>
      <c r="F134" s="4"/>
      <c r="G134" s="5"/>
      <c r="I134" s="3"/>
      <c r="J134" s="3"/>
      <c r="K134" s="3"/>
      <c r="L134" s="103"/>
      <c r="M134" s="108"/>
      <c r="N134" s="9"/>
    </row>
    <row r="135" spans="1:14" ht="13.95" customHeight="1">
      <c r="A135" s="1"/>
      <c r="C135" s="33"/>
      <c r="D135" s="1"/>
      <c r="E135" s="3"/>
      <c r="F135" s="4"/>
      <c r="G135" s="5"/>
      <c r="I135" s="3"/>
      <c r="J135" s="3"/>
      <c r="K135" s="3"/>
      <c r="L135" s="103"/>
      <c r="M135" s="108"/>
      <c r="N135" s="9"/>
    </row>
    <row r="136" spans="1:14" ht="13.95" customHeight="1">
      <c r="A136" s="1"/>
      <c r="C136" s="33" t="s">
        <v>74</v>
      </c>
      <c r="D136" s="1"/>
      <c r="E136" s="3"/>
      <c r="F136" s="4"/>
      <c r="G136" s="5"/>
      <c r="I136" s="3"/>
      <c r="J136" s="3"/>
      <c r="K136" s="3"/>
      <c r="L136" s="103"/>
      <c r="M136" s="108"/>
      <c r="N136" s="9"/>
    </row>
    <row r="137" spans="1:14" ht="13.95" customHeight="1">
      <c r="A137" s="1"/>
      <c r="C137" s="33"/>
      <c r="D137" s="1"/>
      <c r="E137" s="3"/>
      <c r="F137" s="4"/>
      <c r="G137" s="5"/>
      <c r="I137" s="3"/>
      <c r="J137" s="3"/>
      <c r="K137" s="3"/>
      <c r="L137" s="103"/>
      <c r="M137" s="108"/>
      <c r="N137" s="9"/>
    </row>
    <row r="138" spans="1:14" ht="13.95" customHeight="1">
      <c r="A138" s="1">
        <f>A130+1</f>
        <v>24</v>
      </c>
      <c r="C138" s="33" t="s">
        <v>24</v>
      </c>
      <c r="D138" s="1" t="s">
        <v>60</v>
      </c>
      <c r="E138" s="3">
        <f>SUM(I138:N138)</f>
        <v>30.2</v>
      </c>
      <c r="F138" s="3">
        <v>175</v>
      </c>
      <c r="G138" s="5">
        <f t="shared" ref="G138" si="31">+E138*F138</f>
        <v>5285</v>
      </c>
      <c r="I138" s="3">
        <v>30.2</v>
      </c>
      <c r="J138" s="3"/>
      <c r="K138" s="3"/>
      <c r="L138" s="103"/>
      <c r="M138" s="108"/>
      <c r="N138" s="9"/>
    </row>
    <row r="139" spans="1:14" ht="13.95" customHeight="1">
      <c r="A139" s="1"/>
      <c r="C139" s="33"/>
      <c r="D139" s="1"/>
      <c r="E139" s="3"/>
      <c r="F139" s="3"/>
      <c r="G139" s="5"/>
      <c r="I139" s="3"/>
      <c r="J139" s="3"/>
      <c r="K139" s="3"/>
      <c r="L139" s="103"/>
      <c r="M139" s="108"/>
      <c r="N139" s="9"/>
    </row>
    <row r="140" spans="1:14" ht="13.95" customHeight="1">
      <c r="A140" s="1"/>
      <c r="C140" s="33"/>
      <c r="D140" s="1"/>
      <c r="E140" s="3"/>
      <c r="F140" s="3"/>
      <c r="G140" s="5"/>
      <c r="I140" s="3"/>
      <c r="J140" s="3"/>
      <c r="K140" s="3"/>
      <c r="L140" s="103"/>
      <c r="M140" s="108"/>
      <c r="N140" s="9"/>
    </row>
    <row r="141" spans="1:14" ht="13.95" customHeight="1">
      <c r="A141" s="1"/>
      <c r="C141" s="33"/>
      <c r="D141" s="1"/>
      <c r="E141" s="3"/>
      <c r="F141" s="3"/>
      <c r="G141" s="5"/>
      <c r="I141" s="3"/>
      <c r="J141" s="3"/>
      <c r="K141" s="3"/>
      <c r="L141" s="103"/>
      <c r="M141" s="108"/>
      <c r="N141" s="9"/>
    </row>
    <row r="142" spans="1:14" ht="13.95" customHeight="1">
      <c r="A142" s="1"/>
      <c r="C142" s="33"/>
      <c r="D142" s="1"/>
      <c r="E142" s="3"/>
      <c r="F142" s="3"/>
      <c r="G142" s="5"/>
      <c r="I142" s="3"/>
      <c r="J142" s="3"/>
      <c r="K142" s="3"/>
      <c r="L142" s="103"/>
      <c r="M142" s="108"/>
      <c r="N142" s="9"/>
    </row>
    <row r="143" spans="1:14" ht="13.95" customHeight="1">
      <c r="A143" s="1"/>
      <c r="C143" s="33"/>
      <c r="D143" s="1"/>
      <c r="E143" s="3"/>
      <c r="F143" s="3"/>
      <c r="G143" s="5"/>
      <c r="I143" s="3"/>
      <c r="J143" s="3"/>
      <c r="K143" s="3"/>
      <c r="L143" s="103"/>
      <c r="M143" s="108"/>
      <c r="N143" s="9"/>
    </row>
    <row r="144" spans="1:14" ht="13.95" customHeight="1">
      <c r="A144" s="1"/>
      <c r="C144" s="33"/>
      <c r="D144" s="1"/>
      <c r="E144" s="3"/>
      <c r="F144" s="3"/>
      <c r="G144" s="5"/>
      <c r="I144" s="3"/>
      <c r="J144" s="3"/>
      <c r="K144" s="3"/>
      <c r="L144" s="103"/>
      <c r="M144" s="108"/>
      <c r="N144" s="9"/>
    </row>
    <row r="145" spans="1:14" ht="13.95" customHeight="1">
      <c r="A145" s="1"/>
      <c r="B145" s="1"/>
      <c r="C145" s="33"/>
      <c r="D145" s="1"/>
      <c r="E145" s="3"/>
      <c r="F145" s="4"/>
      <c r="G145" s="5"/>
      <c r="I145" s="3"/>
      <c r="J145" s="3"/>
      <c r="K145" s="3"/>
      <c r="L145" s="103"/>
      <c r="M145" s="108"/>
      <c r="N145" s="9"/>
    </row>
    <row r="146" spans="1:14" ht="13.95" customHeight="1">
      <c r="A146" s="1"/>
      <c r="B146" s="1"/>
      <c r="C146" s="33"/>
      <c r="D146" s="1"/>
      <c r="E146" s="3"/>
      <c r="F146" s="4"/>
      <c r="G146" s="5"/>
      <c r="I146" s="3"/>
      <c r="J146" s="3"/>
      <c r="K146" s="3"/>
      <c r="L146" s="103"/>
      <c r="M146" s="108"/>
      <c r="N146" s="9"/>
    </row>
    <row r="147" spans="1:14" ht="13.95" customHeight="1">
      <c r="A147" s="1"/>
      <c r="B147" s="1"/>
      <c r="C147" s="33"/>
      <c r="D147" s="1"/>
      <c r="E147" s="3"/>
      <c r="F147" s="4"/>
      <c r="G147" s="5"/>
      <c r="I147" s="3"/>
      <c r="J147" s="3"/>
      <c r="K147" s="3"/>
      <c r="L147" s="103"/>
      <c r="M147" s="108"/>
      <c r="N147" s="9"/>
    </row>
    <row r="148" spans="1:14" ht="20.100000000000001" customHeight="1">
      <c r="A148" s="149" t="s">
        <v>66</v>
      </c>
      <c r="B148" s="150"/>
      <c r="C148" s="150"/>
      <c r="D148" s="150"/>
      <c r="E148" s="150"/>
      <c r="F148" s="151"/>
      <c r="G148" s="116">
        <f>SUM(G100:G147)</f>
        <v>71260</v>
      </c>
      <c r="I148" s="9"/>
      <c r="J148" s="9"/>
      <c r="K148" s="9"/>
      <c r="L148" s="103"/>
      <c r="M148" s="108"/>
      <c r="N148" s="9"/>
    </row>
    <row r="149" spans="1:14" ht="13.95" customHeight="1">
      <c r="A149" s="39"/>
      <c r="B149" s="39"/>
      <c r="C149" s="39"/>
      <c r="D149" s="39"/>
      <c r="E149" s="39"/>
      <c r="F149" s="39"/>
      <c r="G149" s="113"/>
      <c r="I149" s="9"/>
      <c r="J149" s="9"/>
      <c r="K149" s="9"/>
      <c r="L149" s="103"/>
      <c r="M149" s="108"/>
      <c r="N149" s="9"/>
    </row>
    <row r="150" spans="1:14" ht="13.95" customHeight="1">
      <c r="A150" s="39"/>
      <c r="B150" s="39"/>
      <c r="C150" s="39"/>
      <c r="D150" s="39"/>
      <c r="E150" s="39"/>
      <c r="F150" s="39"/>
      <c r="G150" s="113"/>
      <c r="I150" s="9"/>
      <c r="J150" s="9"/>
      <c r="K150" s="9"/>
      <c r="L150" s="103"/>
      <c r="M150" s="108"/>
      <c r="N150" s="9"/>
    </row>
    <row r="151" spans="1:14" ht="22.2" customHeight="1">
      <c r="A151" s="44" t="s">
        <v>8</v>
      </c>
      <c r="B151" s="48" t="s">
        <v>9</v>
      </c>
      <c r="C151" s="44" t="s">
        <v>10</v>
      </c>
      <c r="D151" s="48" t="s">
        <v>11</v>
      </c>
      <c r="E151" s="48" t="s">
        <v>59</v>
      </c>
      <c r="F151" s="49" t="s">
        <v>12</v>
      </c>
      <c r="G151" s="111" t="s">
        <v>13</v>
      </c>
      <c r="I151" s="9"/>
      <c r="J151" s="9"/>
      <c r="K151" s="9"/>
      <c r="L151" s="103"/>
      <c r="M151" s="108"/>
      <c r="N151" s="9"/>
    </row>
    <row r="152" spans="1:14" ht="20.100000000000001" customHeight="1">
      <c r="A152" s="149" t="s">
        <v>67</v>
      </c>
      <c r="B152" s="150"/>
      <c r="C152" s="150"/>
      <c r="D152" s="150"/>
      <c r="E152" s="150"/>
      <c r="F152" s="151"/>
      <c r="G152" s="116">
        <f>+G148</f>
        <v>71260</v>
      </c>
      <c r="I152" s="9"/>
      <c r="J152" s="9"/>
      <c r="K152" s="9"/>
      <c r="L152" s="103"/>
      <c r="M152" s="108"/>
      <c r="N152" s="9"/>
    </row>
    <row r="153" spans="1:14" ht="13.95" customHeight="1">
      <c r="A153" s="1"/>
      <c r="B153" s="1"/>
      <c r="C153" s="33"/>
      <c r="D153" s="1"/>
      <c r="E153" s="3"/>
      <c r="F153" s="4"/>
      <c r="G153" s="5"/>
      <c r="I153" s="3"/>
      <c r="J153" s="3"/>
      <c r="K153" s="3"/>
      <c r="L153" s="103"/>
      <c r="M153" s="108"/>
      <c r="N153" s="9"/>
    </row>
    <row r="154" spans="1:14" ht="13.95" customHeight="1">
      <c r="A154" s="1"/>
      <c r="B154" s="1"/>
      <c r="C154" s="32" t="s">
        <v>158</v>
      </c>
      <c r="D154" s="1"/>
      <c r="E154" s="3"/>
      <c r="F154" s="4"/>
      <c r="G154" s="5"/>
      <c r="I154" s="3"/>
      <c r="J154" s="3"/>
      <c r="K154" s="3"/>
      <c r="L154" s="103"/>
      <c r="M154" s="108"/>
      <c r="N154" s="9"/>
    </row>
    <row r="155" spans="1:14" ht="13.95" customHeight="1">
      <c r="A155" s="1"/>
      <c r="B155" s="1"/>
      <c r="C155" s="33"/>
      <c r="D155" s="1"/>
      <c r="E155" s="3"/>
      <c r="F155" s="4"/>
      <c r="G155" s="5"/>
      <c r="I155" s="3"/>
      <c r="J155" s="3"/>
      <c r="K155" s="3"/>
      <c r="L155" s="103"/>
      <c r="M155" s="108"/>
      <c r="N155" s="9"/>
    </row>
    <row r="156" spans="1:14" ht="13.95" customHeight="1">
      <c r="A156" s="1">
        <f>A138+1</f>
        <v>25</v>
      </c>
      <c r="B156" s="1"/>
      <c r="C156" s="33" t="s">
        <v>202</v>
      </c>
      <c r="D156" s="1" t="s">
        <v>51</v>
      </c>
      <c r="E156" s="3">
        <f>SUM(I156:N156)</f>
        <v>3</v>
      </c>
      <c r="F156" s="3">
        <v>3550</v>
      </c>
      <c r="G156" s="5">
        <f t="shared" ref="G156" si="32">+E156*F156</f>
        <v>10650</v>
      </c>
      <c r="I156" s="3">
        <v>3</v>
      </c>
      <c r="J156" s="3"/>
      <c r="K156" s="3"/>
      <c r="L156" s="103"/>
      <c r="M156" s="108"/>
      <c r="N156" s="9"/>
    </row>
    <row r="157" spans="1:14" ht="13.95" customHeight="1">
      <c r="A157" s="1"/>
      <c r="B157" s="1"/>
      <c r="C157" s="33"/>
      <c r="D157" s="1"/>
      <c r="E157" s="3"/>
      <c r="F157" s="3"/>
      <c r="G157" s="5"/>
      <c r="I157" s="3"/>
      <c r="J157" s="3"/>
      <c r="K157" s="3"/>
      <c r="L157" s="103"/>
      <c r="M157" s="108"/>
      <c r="N157" s="9"/>
    </row>
    <row r="158" spans="1:14" ht="13.95" customHeight="1">
      <c r="A158" s="1">
        <f>A156+1</f>
        <v>26</v>
      </c>
      <c r="B158" s="1"/>
      <c r="C158" s="33" t="s">
        <v>28</v>
      </c>
      <c r="D158" s="1" t="s">
        <v>51</v>
      </c>
      <c r="E158" s="3">
        <f>SUM(I158:N158)</f>
        <v>9</v>
      </c>
      <c r="F158" s="3">
        <v>3200</v>
      </c>
      <c r="G158" s="5">
        <f t="shared" ref="G158" si="33">+E158*F158</f>
        <v>28800</v>
      </c>
      <c r="I158" s="3">
        <v>9</v>
      </c>
      <c r="J158" s="3"/>
      <c r="K158" s="3"/>
      <c r="L158" s="103"/>
      <c r="M158" s="108"/>
      <c r="N158" s="9"/>
    </row>
    <row r="159" spans="1:14" ht="13.95" customHeight="1">
      <c r="A159" s="1"/>
      <c r="B159" s="1"/>
      <c r="C159" s="33"/>
      <c r="D159" s="1"/>
      <c r="E159" s="3"/>
      <c r="F159" s="3"/>
      <c r="G159" s="5"/>
      <c r="I159" s="3"/>
      <c r="J159" s="3"/>
      <c r="K159" s="3"/>
      <c r="L159" s="103"/>
      <c r="M159" s="108"/>
      <c r="N159" s="9"/>
    </row>
    <row r="160" spans="1:14" ht="13.95" customHeight="1">
      <c r="A160" s="1">
        <v>25</v>
      </c>
      <c r="B160" s="1"/>
      <c r="C160" s="33" t="s">
        <v>62</v>
      </c>
      <c r="D160" s="1" t="s">
        <v>51</v>
      </c>
      <c r="E160" s="3">
        <f>SUM(I160:N160)</f>
        <v>0</v>
      </c>
      <c r="F160" s="3">
        <v>3350</v>
      </c>
      <c r="G160" s="5">
        <f t="shared" ref="G160" si="34">+E160*F160</f>
        <v>0</v>
      </c>
      <c r="I160" s="3"/>
      <c r="J160" s="3"/>
      <c r="K160" s="3"/>
      <c r="L160" s="103"/>
      <c r="M160" s="108"/>
      <c r="N160" s="9"/>
    </row>
    <row r="161" spans="1:14" ht="13.95" customHeight="1">
      <c r="A161" s="1"/>
      <c r="B161" s="1"/>
      <c r="C161" s="33"/>
      <c r="D161" s="1"/>
      <c r="E161" s="3"/>
      <c r="F161" s="3"/>
      <c r="G161" s="5"/>
      <c r="I161" s="3"/>
      <c r="J161" s="3"/>
      <c r="K161" s="3"/>
      <c r="L161" s="103"/>
      <c r="M161" s="108"/>
      <c r="N161" s="9"/>
    </row>
    <row r="162" spans="1:14" ht="13.95" customHeight="1">
      <c r="A162" s="1">
        <v>26</v>
      </c>
      <c r="B162" s="1"/>
      <c r="C162" s="33" t="s">
        <v>27</v>
      </c>
      <c r="D162" s="1" t="s">
        <v>51</v>
      </c>
      <c r="E162" s="3">
        <f>SUM(I162:N162)</f>
        <v>0</v>
      </c>
      <c r="F162" s="3">
        <v>3200</v>
      </c>
      <c r="G162" s="5">
        <f t="shared" ref="G162" si="35">+E162*F162</f>
        <v>0</v>
      </c>
      <c r="I162" s="3"/>
      <c r="J162" s="3"/>
      <c r="K162" s="3"/>
      <c r="L162" s="103"/>
      <c r="M162" s="108"/>
      <c r="N162" s="9"/>
    </row>
    <row r="163" spans="1:14" ht="13.95" customHeight="1">
      <c r="A163" s="1"/>
      <c r="B163" s="1"/>
      <c r="C163" s="33"/>
      <c r="D163" s="1"/>
      <c r="E163" s="3"/>
      <c r="F163" s="3"/>
      <c r="G163" s="5"/>
      <c r="I163" s="3"/>
      <c r="J163" s="3"/>
      <c r="K163" s="3"/>
      <c r="L163" s="103"/>
      <c r="M163" s="108"/>
      <c r="N163" s="9"/>
    </row>
    <row r="164" spans="1:14" ht="13.95" customHeight="1">
      <c r="A164" s="1">
        <f>A162+1</f>
        <v>27</v>
      </c>
      <c r="B164" s="1"/>
      <c r="C164" s="33" t="s">
        <v>250</v>
      </c>
      <c r="D164" s="1" t="s">
        <v>51</v>
      </c>
      <c r="E164" s="3">
        <f>SUM(I164:N164)</f>
        <v>0</v>
      </c>
      <c r="F164" s="3">
        <v>3650</v>
      </c>
      <c r="G164" s="5">
        <f t="shared" ref="G164" si="36">+E164*F164</f>
        <v>0</v>
      </c>
      <c r="I164" s="3"/>
      <c r="J164" s="3"/>
      <c r="K164" s="3"/>
      <c r="L164" s="103"/>
      <c r="M164" s="108"/>
      <c r="N164" s="9"/>
    </row>
    <row r="165" spans="1:14" ht="13.95" customHeight="1">
      <c r="A165" s="1"/>
      <c r="B165" s="1"/>
      <c r="C165" s="33"/>
      <c r="D165" s="1"/>
      <c r="E165" s="3"/>
      <c r="F165" s="4"/>
      <c r="G165" s="5"/>
      <c r="I165" s="3"/>
      <c r="J165" s="3"/>
      <c r="K165" s="3"/>
      <c r="L165" s="103"/>
      <c r="M165" s="108"/>
      <c r="N165" s="9"/>
    </row>
    <row r="166" spans="1:14" ht="13.95" customHeight="1">
      <c r="A166" s="1"/>
      <c r="B166" s="1" t="s">
        <v>96</v>
      </c>
      <c r="C166" s="32" t="s">
        <v>159</v>
      </c>
      <c r="D166" s="1"/>
      <c r="E166" s="3"/>
      <c r="F166" s="4"/>
      <c r="G166" s="5"/>
      <c r="I166" s="9"/>
      <c r="J166" s="9"/>
      <c r="K166" s="9"/>
      <c r="L166" s="103"/>
      <c r="M166" s="108"/>
      <c r="N166" s="9"/>
    </row>
    <row r="167" spans="1:14" ht="13.95" customHeight="1">
      <c r="A167" s="1"/>
      <c r="B167" s="1"/>
      <c r="C167" s="33"/>
      <c r="D167" s="1"/>
      <c r="E167" s="3"/>
      <c r="F167" s="4"/>
      <c r="G167" s="5"/>
      <c r="I167" s="9"/>
      <c r="J167" s="9"/>
      <c r="K167" s="9"/>
      <c r="L167" s="103"/>
      <c r="M167" s="108"/>
      <c r="N167" s="9"/>
    </row>
    <row r="168" spans="1:14" ht="13.95" customHeight="1">
      <c r="A168" s="1"/>
      <c r="B168" s="1"/>
      <c r="C168" s="33" t="s">
        <v>160</v>
      </c>
      <c r="D168" s="1"/>
      <c r="E168" s="3"/>
      <c r="F168" s="4"/>
      <c r="G168" s="5"/>
      <c r="I168" s="9"/>
      <c r="J168" s="9"/>
      <c r="K168" s="9"/>
      <c r="L168" s="103"/>
      <c r="M168" s="108"/>
      <c r="N168" s="9"/>
    </row>
    <row r="169" spans="1:14" ht="13.95" customHeight="1">
      <c r="A169" s="1"/>
      <c r="B169" s="1"/>
      <c r="C169" s="33"/>
      <c r="D169" s="1"/>
      <c r="E169" s="3"/>
      <c r="F169" s="4"/>
      <c r="G169" s="5"/>
      <c r="I169" s="9"/>
      <c r="J169" s="9"/>
      <c r="K169" s="9"/>
      <c r="L169" s="103"/>
      <c r="M169" s="108"/>
      <c r="N169" s="9"/>
    </row>
    <row r="170" spans="1:14" ht="13.95" customHeight="1">
      <c r="A170" s="1">
        <f>A164+1</f>
        <v>28</v>
      </c>
      <c r="B170" s="1"/>
      <c r="C170" s="33" t="s">
        <v>28</v>
      </c>
      <c r="D170" s="1" t="s">
        <v>60</v>
      </c>
      <c r="E170" s="3">
        <f>SUM(I170:N170)</f>
        <v>18</v>
      </c>
      <c r="F170" s="3">
        <v>46</v>
      </c>
      <c r="G170" s="5">
        <f t="shared" ref="G170" si="37">+E170*F170</f>
        <v>828</v>
      </c>
      <c r="I170" s="3">
        <v>18</v>
      </c>
      <c r="J170" s="3"/>
      <c r="K170" s="3"/>
      <c r="L170" s="103"/>
      <c r="M170" s="108"/>
      <c r="N170" s="9"/>
    </row>
    <row r="171" spans="1:14" ht="13.95" customHeight="1">
      <c r="A171" s="1"/>
      <c r="B171" s="1"/>
      <c r="C171" s="33"/>
      <c r="D171" s="1"/>
      <c r="E171" s="3"/>
      <c r="F171" s="3"/>
      <c r="G171" s="5"/>
      <c r="I171" s="3"/>
      <c r="J171" s="3"/>
      <c r="K171" s="3"/>
      <c r="L171" s="103"/>
      <c r="M171" s="108"/>
      <c r="N171" s="9"/>
    </row>
    <row r="172" spans="1:14" ht="13.95" customHeight="1">
      <c r="A172" s="1"/>
      <c r="B172" s="1"/>
      <c r="C172" s="33" t="s">
        <v>196</v>
      </c>
      <c r="D172" s="1"/>
      <c r="E172" s="3"/>
      <c r="F172" s="3"/>
      <c r="G172" s="5"/>
      <c r="I172" s="3"/>
      <c r="J172" s="3"/>
      <c r="K172" s="3"/>
      <c r="L172" s="103"/>
      <c r="M172" s="108"/>
      <c r="N172" s="9"/>
    </row>
    <row r="173" spans="1:14" ht="13.95" customHeight="1">
      <c r="A173" s="1"/>
      <c r="B173" s="1"/>
      <c r="C173" s="33"/>
      <c r="D173" s="1"/>
      <c r="E173" s="3"/>
      <c r="F173" s="3"/>
      <c r="G173" s="5"/>
      <c r="I173" s="3"/>
      <c r="J173" s="3"/>
      <c r="K173" s="3"/>
      <c r="L173" s="103"/>
      <c r="M173" s="108"/>
      <c r="N173" s="9"/>
    </row>
    <row r="174" spans="1:14" ht="13.95" customHeight="1">
      <c r="A174" s="1">
        <f>A170+1</f>
        <v>29</v>
      </c>
      <c r="B174" s="1"/>
      <c r="C174" s="33" t="s">
        <v>29</v>
      </c>
      <c r="D174" s="1" t="s">
        <v>60</v>
      </c>
      <c r="E174" s="3">
        <f>SUM(I174:N174)</f>
        <v>0</v>
      </c>
      <c r="F174" s="3">
        <v>75</v>
      </c>
      <c r="G174" s="5">
        <f t="shared" ref="G174" si="38">+E174*F174</f>
        <v>0</v>
      </c>
      <c r="I174" s="3"/>
      <c r="J174" s="3"/>
      <c r="K174" s="3"/>
      <c r="L174" s="103"/>
      <c r="M174" s="108"/>
      <c r="N174" s="9"/>
    </row>
    <row r="175" spans="1:14" ht="13.95" customHeight="1">
      <c r="A175" s="1"/>
      <c r="B175" s="1"/>
      <c r="C175" s="33"/>
      <c r="D175" s="1"/>
      <c r="E175" s="3"/>
      <c r="F175" s="4"/>
      <c r="G175" s="5"/>
      <c r="I175" s="3"/>
      <c r="J175" s="3"/>
      <c r="K175" s="3"/>
      <c r="L175" s="103"/>
      <c r="M175" s="108"/>
      <c r="N175" s="9"/>
    </row>
    <row r="176" spans="1:14" ht="13.95" customHeight="1">
      <c r="A176" s="1"/>
      <c r="B176" s="1" t="s">
        <v>97</v>
      </c>
      <c r="C176" s="34" t="s">
        <v>20</v>
      </c>
      <c r="D176" s="1"/>
      <c r="E176" s="3"/>
      <c r="F176" s="4"/>
      <c r="G176" s="5"/>
      <c r="I176" s="3"/>
      <c r="J176" s="3"/>
      <c r="K176" s="3"/>
      <c r="L176" s="103"/>
      <c r="M176" s="108"/>
      <c r="N176" s="9"/>
    </row>
    <row r="177" spans="1:14" ht="13.95" customHeight="1">
      <c r="A177" s="1"/>
      <c r="B177" s="1"/>
      <c r="C177" s="34"/>
      <c r="D177" s="1"/>
      <c r="E177" s="3"/>
      <c r="F177" s="4"/>
      <c r="G177" s="5"/>
      <c r="I177" s="3"/>
      <c r="J177" s="3"/>
      <c r="K177" s="3"/>
      <c r="L177" s="103"/>
      <c r="M177" s="108"/>
      <c r="N177" s="9"/>
    </row>
    <row r="178" spans="1:14" ht="13.95" customHeight="1">
      <c r="A178" s="1"/>
      <c r="B178" s="1"/>
      <c r="C178" s="32" t="s">
        <v>213</v>
      </c>
      <c r="D178" s="1"/>
      <c r="E178" s="3"/>
      <c r="F178" s="4"/>
      <c r="G178" s="5"/>
      <c r="I178" s="3"/>
      <c r="J178" s="3"/>
      <c r="K178" s="3"/>
      <c r="L178" s="103"/>
      <c r="M178" s="108"/>
      <c r="N178" s="9"/>
    </row>
    <row r="179" spans="1:14" ht="13.95" customHeight="1">
      <c r="A179" s="1"/>
      <c r="B179" s="1"/>
      <c r="C179" s="34"/>
      <c r="D179" s="1"/>
      <c r="E179" s="3"/>
      <c r="F179" s="4"/>
      <c r="G179" s="5"/>
      <c r="I179" s="3"/>
      <c r="J179" s="3"/>
      <c r="K179" s="3"/>
      <c r="L179" s="103"/>
      <c r="M179" s="108"/>
      <c r="N179" s="9"/>
    </row>
    <row r="180" spans="1:14" ht="27" customHeight="1">
      <c r="A180" s="1">
        <f>A174+1</f>
        <v>30</v>
      </c>
      <c r="B180" s="1"/>
      <c r="C180" s="33" t="s">
        <v>237</v>
      </c>
      <c r="D180" s="1" t="s">
        <v>1</v>
      </c>
      <c r="E180" s="3">
        <f>SUM(I180:N180)</f>
        <v>0</v>
      </c>
      <c r="F180" s="3">
        <v>375</v>
      </c>
      <c r="G180" s="5">
        <f t="shared" ref="G180" si="39">+E180*F180</f>
        <v>0</v>
      </c>
      <c r="I180" s="3"/>
      <c r="J180" s="3"/>
      <c r="K180" s="3"/>
      <c r="L180" s="103"/>
      <c r="M180" s="108"/>
      <c r="N180" s="9"/>
    </row>
    <row r="181" spans="1:14" ht="13.95" customHeight="1">
      <c r="A181" s="1"/>
      <c r="B181" s="1"/>
      <c r="C181" s="33"/>
      <c r="D181" s="1"/>
      <c r="E181" s="3"/>
      <c r="F181" s="3"/>
      <c r="G181" s="5"/>
      <c r="I181" s="3"/>
      <c r="J181" s="3"/>
      <c r="K181" s="3"/>
      <c r="L181" s="103"/>
      <c r="M181" s="108"/>
      <c r="N181" s="9"/>
    </row>
    <row r="182" spans="1:14" ht="24.6" customHeight="1">
      <c r="A182" s="1">
        <f>A180+1</f>
        <v>31</v>
      </c>
      <c r="B182" s="1"/>
      <c r="C182" s="33" t="s">
        <v>285</v>
      </c>
      <c r="D182" s="1" t="s">
        <v>1</v>
      </c>
      <c r="E182" s="3">
        <f>SUM(I182:N182)</f>
        <v>0</v>
      </c>
      <c r="F182" s="3">
        <v>355</v>
      </c>
      <c r="G182" s="5">
        <f t="shared" ref="G182" si="40">+E182*F182</f>
        <v>0</v>
      </c>
      <c r="I182" s="3"/>
      <c r="J182" s="3"/>
      <c r="K182" s="3"/>
      <c r="L182" s="104"/>
      <c r="M182" s="108"/>
      <c r="N182" s="9"/>
    </row>
    <row r="183" spans="1:14" ht="13.95" customHeight="1">
      <c r="A183" s="1"/>
      <c r="B183" s="1"/>
      <c r="C183" s="33"/>
      <c r="D183" s="1"/>
      <c r="E183" s="3"/>
      <c r="F183" s="3"/>
      <c r="G183" s="5"/>
      <c r="I183" s="3"/>
      <c r="J183" s="3"/>
      <c r="K183" s="3"/>
      <c r="L183" s="103"/>
      <c r="M183" s="108"/>
      <c r="N183" s="9"/>
    </row>
    <row r="184" spans="1:14" ht="23.4" customHeight="1">
      <c r="A184" s="1">
        <f>A182+1</f>
        <v>32</v>
      </c>
      <c r="B184" s="1"/>
      <c r="C184" s="33" t="s">
        <v>243</v>
      </c>
      <c r="D184" s="1" t="s">
        <v>1</v>
      </c>
      <c r="E184" s="3">
        <f>SUM(I184:N184)</f>
        <v>24</v>
      </c>
      <c r="F184" s="3">
        <v>195</v>
      </c>
      <c r="G184" s="5">
        <f t="shared" ref="G184" si="41">+E184*F184</f>
        <v>4680</v>
      </c>
      <c r="I184" s="3">
        <v>24</v>
      </c>
      <c r="J184" s="3"/>
      <c r="K184" s="3"/>
      <c r="L184" s="103"/>
      <c r="M184" s="108"/>
      <c r="N184" s="9"/>
    </row>
    <row r="185" spans="1:14" ht="13.95" customHeight="1">
      <c r="A185" s="1"/>
      <c r="B185" s="1"/>
      <c r="C185" s="33"/>
      <c r="D185" s="1"/>
      <c r="E185" s="3"/>
      <c r="F185" s="3"/>
      <c r="G185" s="5"/>
      <c r="I185" s="3"/>
      <c r="J185" s="3"/>
      <c r="K185" s="3"/>
      <c r="L185" s="103"/>
      <c r="M185" s="108"/>
      <c r="N185" s="9"/>
    </row>
    <row r="186" spans="1:14" ht="13.95" customHeight="1">
      <c r="A186" s="1"/>
      <c r="B186" s="1"/>
      <c r="C186" s="33" t="s">
        <v>239</v>
      </c>
      <c r="D186" s="1" t="s">
        <v>1</v>
      </c>
      <c r="E186" s="3">
        <f>SUM(I186:N186)</f>
        <v>0</v>
      </c>
      <c r="F186" s="3">
        <v>155</v>
      </c>
      <c r="G186" s="5">
        <f t="shared" ref="G186" si="42">+E186*F186</f>
        <v>0</v>
      </c>
      <c r="I186" s="3"/>
      <c r="J186" s="3"/>
      <c r="K186" s="3"/>
      <c r="L186" s="103"/>
      <c r="M186" s="108"/>
      <c r="N186" s="9"/>
    </row>
    <row r="187" spans="1:14" ht="13.95" customHeight="1">
      <c r="A187" s="1"/>
      <c r="B187" s="1"/>
      <c r="C187" s="33"/>
      <c r="D187" s="1"/>
      <c r="E187" s="3"/>
      <c r="F187" s="4"/>
      <c r="G187" s="5"/>
      <c r="I187" s="3"/>
      <c r="J187" s="3"/>
      <c r="K187" s="3"/>
      <c r="L187" s="103"/>
      <c r="M187" s="108"/>
      <c r="N187" s="9"/>
    </row>
    <row r="188" spans="1:14" ht="13.95" customHeight="1">
      <c r="A188" s="1"/>
      <c r="B188" s="1"/>
      <c r="C188" s="32" t="s">
        <v>198</v>
      </c>
      <c r="D188" s="1"/>
      <c r="E188" s="3"/>
      <c r="F188" s="4"/>
      <c r="G188" s="5"/>
      <c r="I188" s="3"/>
      <c r="J188" s="3"/>
      <c r="K188" s="3"/>
      <c r="L188" s="103"/>
      <c r="M188" s="108"/>
      <c r="N188" s="9"/>
    </row>
    <row r="189" spans="1:14" ht="13.95" customHeight="1">
      <c r="A189" s="1"/>
      <c r="B189" s="1"/>
      <c r="C189" s="33"/>
      <c r="D189" s="1"/>
      <c r="E189" s="3"/>
      <c r="F189" s="4"/>
      <c r="G189" s="5"/>
      <c r="I189" s="3"/>
      <c r="J189" s="3"/>
      <c r="K189" s="3"/>
      <c r="L189" s="103"/>
      <c r="M189" s="108"/>
      <c r="N189" s="9"/>
    </row>
    <row r="190" spans="1:14" ht="13.95" customHeight="1">
      <c r="A190" s="1">
        <f>A184+1</f>
        <v>33</v>
      </c>
      <c r="B190" s="1"/>
      <c r="C190" s="33" t="s">
        <v>199</v>
      </c>
      <c r="D190" s="1" t="s">
        <v>1</v>
      </c>
      <c r="E190" s="3">
        <f>SUM(I190:N190)</f>
        <v>0</v>
      </c>
      <c r="F190" s="3">
        <f>F180</f>
        <v>375</v>
      </c>
      <c r="G190" s="5">
        <f t="shared" ref="G190" si="43">+E190*F190</f>
        <v>0</v>
      </c>
      <c r="I190" s="3"/>
      <c r="J190" s="3"/>
      <c r="K190" s="3"/>
      <c r="L190" s="103"/>
      <c r="M190" s="108"/>
      <c r="N190" s="9"/>
    </row>
    <row r="191" spans="1:14" ht="13.95" customHeight="1">
      <c r="A191" s="1"/>
      <c r="B191" s="1"/>
      <c r="C191" s="33"/>
      <c r="D191" s="1"/>
      <c r="E191" s="3"/>
      <c r="F191" s="3"/>
      <c r="G191" s="5"/>
      <c r="I191" s="3"/>
      <c r="J191" s="3"/>
      <c r="K191" s="3"/>
      <c r="L191" s="103"/>
      <c r="M191" s="108"/>
      <c r="N191" s="9"/>
    </row>
    <row r="192" spans="1:14" ht="13.95" customHeight="1">
      <c r="A192" s="1">
        <f>A190+1</f>
        <v>34</v>
      </c>
      <c r="B192" s="1"/>
      <c r="C192" s="33" t="s">
        <v>200</v>
      </c>
      <c r="D192" s="1" t="s">
        <v>1</v>
      </c>
      <c r="E192" s="3">
        <f>SUM(I192:N192)</f>
        <v>0</v>
      </c>
      <c r="F192" s="3">
        <v>395</v>
      </c>
      <c r="G192" s="5">
        <f t="shared" ref="G192" si="44">+E192*F192</f>
        <v>0</v>
      </c>
      <c r="I192" s="3"/>
      <c r="J192" s="3"/>
      <c r="K192" s="3"/>
      <c r="L192" s="103"/>
      <c r="M192" s="108"/>
      <c r="N192" s="9"/>
    </row>
    <row r="193" spans="1:14" ht="13.95" customHeight="1">
      <c r="A193" s="1"/>
      <c r="B193" s="1"/>
      <c r="C193" s="33"/>
      <c r="D193" s="1"/>
      <c r="E193" s="3"/>
      <c r="F193" s="3"/>
      <c r="G193" s="5"/>
      <c r="I193" s="3"/>
      <c r="J193" s="3"/>
      <c r="K193" s="3"/>
      <c r="L193" s="103"/>
      <c r="M193" s="108"/>
      <c r="N193" s="9"/>
    </row>
    <row r="194" spans="1:14" ht="13.95" customHeight="1">
      <c r="A194" s="1">
        <f>A192+1</f>
        <v>35</v>
      </c>
      <c r="B194" s="1"/>
      <c r="C194" s="33" t="s">
        <v>214</v>
      </c>
      <c r="D194" s="1" t="s">
        <v>1</v>
      </c>
      <c r="E194" s="3">
        <f>SUM(I194:N194)</f>
        <v>0</v>
      </c>
      <c r="F194" s="3">
        <v>395</v>
      </c>
      <c r="G194" s="5">
        <f t="shared" ref="G194" si="45">+E194*F194</f>
        <v>0</v>
      </c>
      <c r="I194" s="3"/>
      <c r="J194" s="3"/>
      <c r="K194" s="3"/>
      <c r="L194" s="103"/>
      <c r="M194" s="108"/>
      <c r="N194" s="9"/>
    </row>
    <row r="195" spans="1:14" ht="13.95" customHeight="1">
      <c r="A195" s="1"/>
      <c r="B195" s="1"/>
      <c r="C195" s="33"/>
      <c r="D195" s="1"/>
      <c r="E195" s="3"/>
      <c r="F195" s="3"/>
      <c r="G195" s="5"/>
      <c r="I195" s="3"/>
      <c r="J195" s="3"/>
      <c r="K195" s="3"/>
      <c r="L195" s="103"/>
      <c r="M195" s="108"/>
      <c r="N195" s="9"/>
    </row>
    <row r="196" spans="1:14" ht="13.95" customHeight="1">
      <c r="A196" s="1"/>
      <c r="B196" s="1"/>
      <c r="C196" s="33"/>
      <c r="D196" s="1"/>
      <c r="E196" s="3"/>
      <c r="F196" s="4"/>
      <c r="G196" s="5"/>
      <c r="I196" s="3"/>
      <c r="J196" s="3"/>
      <c r="K196" s="3"/>
      <c r="L196" s="103"/>
      <c r="M196" s="108"/>
      <c r="N196" s="9"/>
    </row>
    <row r="197" spans="1:14" ht="13.95" customHeight="1">
      <c r="A197" s="1"/>
      <c r="B197" s="1"/>
      <c r="C197" s="33"/>
      <c r="D197" s="1"/>
      <c r="E197" s="3"/>
      <c r="F197" s="4"/>
      <c r="G197" s="5"/>
      <c r="I197" s="3"/>
      <c r="J197" s="3"/>
      <c r="K197" s="3"/>
      <c r="L197" s="103"/>
      <c r="M197" s="108"/>
      <c r="N197" s="9"/>
    </row>
    <row r="198" spans="1:14" ht="20.100000000000001" customHeight="1">
      <c r="A198" s="149" t="s">
        <v>66</v>
      </c>
      <c r="B198" s="150"/>
      <c r="C198" s="150"/>
      <c r="D198" s="150"/>
      <c r="E198" s="150"/>
      <c r="F198" s="151"/>
      <c r="G198" s="116">
        <f>SUM(G152:G197)</f>
        <v>116218</v>
      </c>
      <c r="I198" s="9"/>
      <c r="J198" s="9"/>
      <c r="K198" s="9"/>
      <c r="L198" s="103"/>
      <c r="M198" s="108"/>
      <c r="N198" s="9"/>
    </row>
    <row r="199" spans="1:14" ht="13.95" customHeight="1">
      <c r="A199" s="39"/>
      <c r="B199" s="39"/>
      <c r="C199" s="39"/>
      <c r="D199" s="39"/>
      <c r="E199" s="39"/>
      <c r="F199" s="39"/>
      <c r="G199" s="113"/>
      <c r="I199" s="9"/>
      <c r="J199" s="9"/>
      <c r="K199" s="9"/>
      <c r="L199" s="103"/>
      <c r="M199" s="108"/>
      <c r="N199" s="9"/>
    </row>
    <row r="200" spans="1:14" ht="13.95" customHeight="1">
      <c r="A200" s="39"/>
      <c r="B200" s="39"/>
      <c r="C200" s="39"/>
      <c r="D200" s="39"/>
      <c r="E200" s="39"/>
      <c r="F200" s="39"/>
      <c r="G200" s="113"/>
      <c r="I200" s="9"/>
      <c r="J200" s="9"/>
      <c r="K200" s="9"/>
      <c r="L200" s="103"/>
      <c r="M200" s="108"/>
      <c r="N200" s="9"/>
    </row>
    <row r="201" spans="1:14" ht="22.2" customHeight="1">
      <c r="A201" s="44" t="s">
        <v>8</v>
      </c>
      <c r="B201" s="48" t="s">
        <v>9</v>
      </c>
      <c r="C201" s="44" t="s">
        <v>10</v>
      </c>
      <c r="D201" s="48" t="s">
        <v>11</v>
      </c>
      <c r="E201" s="48" t="s">
        <v>59</v>
      </c>
      <c r="F201" s="49" t="s">
        <v>12</v>
      </c>
      <c r="G201" s="111" t="s">
        <v>13</v>
      </c>
      <c r="I201" s="9"/>
      <c r="J201" s="9"/>
      <c r="K201" s="9"/>
      <c r="L201" s="103"/>
      <c r="M201" s="108"/>
      <c r="N201" s="9"/>
    </row>
    <row r="202" spans="1:14" ht="20.100000000000001" customHeight="1">
      <c r="A202" s="149" t="s">
        <v>67</v>
      </c>
      <c r="B202" s="150"/>
      <c r="C202" s="150"/>
      <c r="D202" s="150"/>
      <c r="E202" s="150"/>
      <c r="F202" s="151"/>
      <c r="G202" s="116">
        <f>+G198</f>
        <v>116218</v>
      </c>
      <c r="I202" s="9"/>
      <c r="J202" s="9"/>
      <c r="K202" s="9"/>
      <c r="L202" s="103"/>
      <c r="M202" s="108"/>
      <c r="N202" s="9"/>
    </row>
    <row r="203" spans="1:14" ht="13.95" customHeight="1">
      <c r="A203" s="1"/>
      <c r="B203" s="1"/>
      <c r="C203" s="33"/>
      <c r="D203" s="1"/>
      <c r="E203" s="3"/>
      <c r="F203" s="4"/>
      <c r="G203" s="5"/>
      <c r="I203" s="3"/>
      <c r="J203" s="3"/>
      <c r="K203" s="3"/>
      <c r="L203" s="103"/>
      <c r="M203" s="108"/>
      <c r="N203" s="9"/>
    </row>
    <row r="204" spans="1:14" ht="13.95" customHeight="1">
      <c r="A204" s="9"/>
      <c r="B204" s="1" t="s">
        <v>98</v>
      </c>
      <c r="C204" s="34" t="s">
        <v>30</v>
      </c>
      <c r="D204" s="1"/>
      <c r="E204" s="3"/>
      <c r="F204" s="4"/>
      <c r="G204" s="5"/>
      <c r="I204" s="3"/>
      <c r="J204" s="3"/>
      <c r="K204" s="3"/>
      <c r="L204" s="103"/>
      <c r="M204" s="108"/>
      <c r="N204" s="9"/>
    </row>
    <row r="205" spans="1:14" ht="13.95" customHeight="1">
      <c r="A205" s="9"/>
      <c r="B205" s="1"/>
      <c r="C205" s="33"/>
      <c r="D205" s="1"/>
      <c r="E205" s="3"/>
      <c r="F205" s="4"/>
      <c r="G205" s="5"/>
      <c r="I205" s="3"/>
      <c r="J205" s="3"/>
      <c r="K205" s="3"/>
      <c r="L205" s="103"/>
      <c r="M205" s="108"/>
      <c r="N205" s="9"/>
    </row>
    <row r="206" spans="1:14" ht="13.95" customHeight="1">
      <c r="A206" s="9"/>
      <c r="B206" s="1"/>
      <c r="C206" s="33" t="s">
        <v>31</v>
      </c>
      <c r="D206" s="1"/>
      <c r="E206" s="3"/>
      <c r="F206" s="4"/>
      <c r="G206" s="5"/>
      <c r="I206" s="3"/>
      <c r="J206" s="3"/>
      <c r="K206" s="3"/>
      <c r="L206" s="103"/>
      <c r="M206" s="108"/>
      <c r="N206" s="9"/>
    </row>
    <row r="207" spans="1:14" ht="13.95" customHeight="1">
      <c r="A207" s="9"/>
      <c r="B207" s="1"/>
      <c r="C207" s="33"/>
      <c r="D207" s="1"/>
      <c r="E207" s="3"/>
      <c r="F207" s="4"/>
      <c r="G207" s="5"/>
      <c r="I207" s="3"/>
      <c r="J207" s="3"/>
      <c r="K207" s="3"/>
      <c r="L207" s="103"/>
      <c r="M207" s="108"/>
      <c r="N207" s="9"/>
    </row>
    <row r="208" spans="1:14" ht="13.95" customHeight="1">
      <c r="A208" s="9">
        <f>A194+1</f>
        <v>36</v>
      </c>
      <c r="B208" s="1"/>
      <c r="C208" s="33" t="s">
        <v>32</v>
      </c>
      <c r="D208" s="1" t="s">
        <v>51</v>
      </c>
      <c r="E208" s="3">
        <f>SUM(I208:N208)</f>
        <v>0.38</v>
      </c>
      <c r="F208" s="3">
        <v>35000</v>
      </c>
      <c r="G208" s="5">
        <f t="shared" ref="G208" si="46">+E208*F208</f>
        <v>13300</v>
      </c>
      <c r="I208" s="4">
        <v>0.38</v>
      </c>
      <c r="J208" s="4"/>
      <c r="K208" s="4"/>
      <c r="L208" s="103"/>
      <c r="M208" s="108"/>
      <c r="N208" s="9"/>
    </row>
    <row r="209" spans="1:14" ht="13.95" customHeight="1">
      <c r="A209" s="9"/>
      <c r="B209" s="1"/>
      <c r="C209" s="33"/>
      <c r="D209" s="1"/>
      <c r="E209" s="4"/>
      <c r="F209" s="3"/>
      <c r="G209" s="5"/>
      <c r="I209" s="4"/>
      <c r="J209" s="4"/>
      <c r="K209" s="4"/>
      <c r="L209" s="103"/>
      <c r="M209" s="108"/>
      <c r="N209" s="9"/>
    </row>
    <row r="210" spans="1:14" ht="13.95" customHeight="1">
      <c r="A210" s="9"/>
      <c r="B210" s="1"/>
      <c r="C210" s="37" t="s">
        <v>40</v>
      </c>
      <c r="D210" s="1"/>
      <c r="E210" s="4"/>
      <c r="F210" s="3"/>
      <c r="G210" s="5"/>
      <c r="I210" s="4"/>
      <c r="J210" s="4"/>
      <c r="K210" s="4"/>
      <c r="L210" s="103"/>
      <c r="M210" s="108"/>
      <c r="N210" s="9"/>
    </row>
    <row r="211" spans="1:14" ht="13.95" customHeight="1">
      <c r="A211" s="9"/>
      <c r="B211" s="1"/>
      <c r="C211" s="33"/>
      <c r="D211" s="1"/>
      <c r="E211" s="4"/>
      <c r="F211" s="3"/>
      <c r="G211" s="5"/>
      <c r="I211" s="4"/>
      <c r="J211" s="4"/>
      <c r="K211" s="4"/>
      <c r="L211" s="103"/>
      <c r="M211" s="108"/>
      <c r="N211" s="9"/>
    </row>
    <row r="212" spans="1:14" ht="13.95" customHeight="1">
      <c r="A212" s="9">
        <f>A208+1</f>
        <v>37</v>
      </c>
      <c r="B212" s="1"/>
      <c r="C212" s="33" t="s">
        <v>32</v>
      </c>
      <c r="D212" s="1" t="s">
        <v>51</v>
      </c>
      <c r="E212" s="3">
        <f>SUM(I212:N212)</f>
        <v>0</v>
      </c>
      <c r="F212" s="3">
        <f>F208</f>
        <v>35000</v>
      </c>
      <c r="G212" s="5">
        <f t="shared" ref="G212" si="47">+E212*F212</f>
        <v>0</v>
      </c>
      <c r="I212" s="4">
        <v>0</v>
      </c>
      <c r="J212" s="4"/>
      <c r="K212" s="4"/>
      <c r="L212" s="103"/>
      <c r="M212" s="108"/>
      <c r="N212" s="9"/>
    </row>
    <row r="213" spans="1:14" ht="13.95" customHeight="1">
      <c r="A213" s="1"/>
      <c r="B213" s="1"/>
      <c r="C213" s="33"/>
      <c r="D213" s="1"/>
      <c r="E213" s="3"/>
      <c r="F213" s="4"/>
      <c r="G213" s="5"/>
      <c r="I213" s="3"/>
      <c r="J213" s="3"/>
      <c r="K213" s="3"/>
      <c r="L213" s="103"/>
      <c r="M213" s="108"/>
      <c r="N213" s="9"/>
    </row>
    <row r="214" spans="1:14" ht="24.6" customHeight="1">
      <c r="A214" s="9"/>
      <c r="B214" s="1" t="s">
        <v>99</v>
      </c>
      <c r="C214" s="34" t="s">
        <v>63</v>
      </c>
      <c r="D214" s="1"/>
      <c r="E214" s="3"/>
      <c r="F214" s="4"/>
      <c r="G214" s="5"/>
      <c r="I214" s="9"/>
      <c r="J214" s="9"/>
      <c r="K214" s="9"/>
      <c r="L214" s="103"/>
      <c r="M214" s="108"/>
      <c r="N214" s="9"/>
    </row>
    <row r="215" spans="1:14" ht="13.95" customHeight="1">
      <c r="A215" s="9"/>
      <c r="B215" s="1"/>
      <c r="C215" s="34"/>
      <c r="D215" s="1"/>
      <c r="E215" s="3"/>
      <c r="F215" s="4"/>
      <c r="G215" s="5"/>
      <c r="I215" s="9"/>
      <c r="J215" s="9"/>
      <c r="K215" s="9"/>
      <c r="L215" s="103"/>
      <c r="M215" s="108"/>
      <c r="N215" s="9"/>
    </row>
    <row r="216" spans="1:14" ht="22.95" customHeight="1">
      <c r="A216" s="9"/>
      <c r="B216" s="1"/>
      <c r="C216" s="34" t="s">
        <v>58</v>
      </c>
      <c r="D216" s="1"/>
      <c r="E216" s="3"/>
      <c r="F216" s="4"/>
      <c r="G216" s="5"/>
      <c r="I216" s="9"/>
      <c r="J216" s="9"/>
      <c r="K216" s="9"/>
      <c r="L216" s="103"/>
      <c r="M216" s="108"/>
      <c r="N216" s="9"/>
    </row>
    <row r="217" spans="1:14" ht="13.95" customHeight="1">
      <c r="A217" s="9"/>
      <c r="B217" s="1"/>
      <c r="C217" s="33"/>
      <c r="D217" s="1"/>
      <c r="E217" s="3"/>
      <c r="F217" s="4"/>
      <c r="G217" s="5"/>
      <c r="I217" s="9"/>
      <c r="J217" s="9"/>
      <c r="K217" s="9"/>
      <c r="L217" s="103"/>
      <c r="M217" s="108"/>
      <c r="N217" s="9"/>
    </row>
    <row r="218" spans="1:14" ht="46.2" customHeight="1">
      <c r="A218" s="9">
        <f>A212+1</f>
        <v>38</v>
      </c>
      <c r="B218" s="1"/>
      <c r="C218" s="33" t="s">
        <v>240</v>
      </c>
      <c r="D218" s="1" t="s">
        <v>6</v>
      </c>
      <c r="E218" s="3">
        <f>SUM(I218:N218)</f>
        <v>0</v>
      </c>
      <c r="F218" s="3">
        <v>275</v>
      </c>
      <c r="G218" s="5">
        <f t="shared" ref="G218" si="48">+E218*F218</f>
        <v>0</v>
      </c>
      <c r="I218" s="9"/>
      <c r="J218" s="9"/>
      <c r="K218" s="9"/>
      <c r="L218" s="103"/>
      <c r="M218" s="108"/>
      <c r="N218" s="9"/>
    </row>
    <row r="219" spans="1:14" ht="13.95" customHeight="1">
      <c r="A219" s="9"/>
      <c r="B219" s="1"/>
      <c r="C219" s="33"/>
      <c r="D219" s="1"/>
      <c r="E219" s="3"/>
      <c r="F219" s="3"/>
      <c r="G219" s="5"/>
      <c r="I219" s="9"/>
      <c r="J219" s="9"/>
      <c r="K219" s="9"/>
      <c r="L219" s="103"/>
      <c r="M219" s="108"/>
      <c r="N219" s="9"/>
    </row>
    <row r="220" spans="1:14" ht="48" customHeight="1">
      <c r="A220" s="9">
        <f>A218+1</f>
        <v>39</v>
      </c>
      <c r="B220" s="1"/>
      <c r="C220" s="33" t="s">
        <v>227</v>
      </c>
      <c r="D220" s="1" t="s">
        <v>6</v>
      </c>
      <c r="E220" s="3">
        <f>SUM(I220:N220)</f>
        <v>0</v>
      </c>
      <c r="F220" s="3">
        <v>975</v>
      </c>
      <c r="G220" s="5">
        <f t="shared" ref="G220" si="49">+E220*F220</f>
        <v>0</v>
      </c>
      <c r="I220" s="45"/>
      <c r="J220" s="45"/>
      <c r="K220" s="45"/>
      <c r="L220" s="103"/>
      <c r="M220" s="108"/>
      <c r="N220" s="9"/>
    </row>
    <row r="221" spans="1:14" ht="12.6" customHeight="1">
      <c r="A221" s="9"/>
      <c r="B221" s="1"/>
      <c r="C221" s="33"/>
      <c r="D221" s="1"/>
      <c r="E221" s="3"/>
      <c r="F221" s="4"/>
      <c r="G221" s="5"/>
      <c r="I221" s="9"/>
      <c r="J221" s="9"/>
      <c r="K221" s="9"/>
      <c r="L221" s="103"/>
      <c r="M221" s="108"/>
      <c r="N221" s="9"/>
    </row>
    <row r="222" spans="1:14" ht="13.95" customHeight="1">
      <c r="A222" s="1"/>
      <c r="B222" s="1" t="s">
        <v>103</v>
      </c>
      <c r="C222" s="34" t="s">
        <v>7</v>
      </c>
      <c r="D222" s="1"/>
      <c r="E222" s="3"/>
      <c r="F222" s="4"/>
      <c r="G222" s="5"/>
      <c r="I222" s="9"/>
      <c r="J222" s="9"/>
      <c r="K222" s="9"/>
      <c r="L222" s="103"/>
      <c r="M222" s="108"/>
      <c r="N222" s="9"/>
    </row>
    <row r="223" spans="1:14" ht="13.95" customHeight="1">
      <c r="A223" s="1"/>
      <c r="B223" s="1"/>
      <c r="C223" s="33"/>
      <c r="D223" s="1"/>
      <c r="E223" s="3"/>
      <c r="F223" s="4"/>
      <c r="G223" s="5"/>
      <c r="I223" s="9"/>
      <c r="J223" s="9"/>
      <c r="K223" s="9"/>
      <c r="L223" s="103"/>
      <c r="M223" s="108"/>
      <c r="N223" s="9"/>
    </row>
    <row r="224" spans="1:14" ht="13.95" customHeight="1">
      <c r="A224" s="1"/>
      <c r="B224" s="1"/>
      <c r="C224" s="33" t="s">
        <v>68</v>
      </c>
      <c r="D224" s="1"/>
      <c r="E224" s="3"/>
      <c r="F224" s="4"/>
      <c r="G224" s="5"/>
      <c r="I224" s="9"/>
      <c r="J224" s="9"/>
      <c r="K224" s="9"/>
      <c r="L224" s="103"/>
      <c r="M224" s="108"/>
      <c r="N224" s="9"/>
    </row>
    <row r="225" spans="1:14" ht="13.95" customHeight="1">
      <c r="A225" s="1"/>
      <c r="B225" s="1"/>
      <c r="C225" s="33"/>
      <c r="D225" s="1"/>
      <c r="E225" s="3"/>
      <c r="F225" s="4"/>
      <c r="G225" s="5"/>
      <c r="I225" s="9"/>
      <c r="J225" s="9"/>
      <c r="K225" s="9"/>
      <c r="L225" s="103"/>
      <c r="M225" s="108"/>
      <c r="N225" s="9"/>
    </row>
    <row r="226" spans="1:14" ht="22.95" customHeight="1">
      <c r="A226" s="1">
        <f>A220+1</f>
        <v>40</v>
      </c>
      <c r="B226" s="1"/>
      <c r="C226" s="33" t="s">
        <v>197</v>
      </c>
      <c r="D226" s="1" t="s">
        <v>60</v>
      </c>
      <c r="E226" s="3">
        <f>SUM(I226:N226)</f>
        <v>0</v>
      </c>
      <c r="F226" s="13">
        <v>165</v>
      </c>
      <c r="G226" s="5">
        <f t="shared" ref="G226" si="50">+E226*F226</f>
        <v>0</v>
      </c>
      <c r="I226" s="9"/>
      <c r="J226" s="9"/>
      <c r="K226" s="9"/>
      <c r="L226" s="103"/>
      <c r="M226" s="108"/>
      <c r="N226" s="9"/>
    </row>
    <row r="227" spans="1:14" ht="13.95" customHeight="1">
      <c r="A227" s="1"/>
      <c r="B227" s="1"/>
      <c r="C227" s="33"/>
      <c r="D227" s="35"/>
      <c r="E227" s="3"/>
      <c r="F227" s="4"/>
      <c r="G227" s="5"/>
      <c r="I227" s="9"/>
      <c r="J227" s="9"/>
      <c r="K227" s="9"/>
      <c r="L227" s="103"/>
      <c r="M227" s="108"/>
      <c r="N227" s="9"/>
    </row>
    <row r="228" spans="1:14" ht="13.95" customHeight="1">
      <c r="A228" s="1"/>
      <c r="B228" s="1"/>
      <c r="C228" s="46" t="s">
        <v>231</v>
      </c>
      <c r="D228" s="1"/>
      <c r="E228" s="3"/>
      <c r="F228" s="4"/>
      <c r="G228" s="5"/>
      <c r="I228" s="9"/>
      <c r="J228" s="9"/>
      <c r="K228" s="9"/>
      <c r="L228" s="103"/>
      <c r="M228" s="108"/>
      <c r="N228" s="9"/>
    </row>
    <row r="229" spans="1:14" ht="13.95" customHeight="1">
      <c r="A229" s="1"/>
      <c r="B229" s="1"/>
      <c r="C229" s="47"/>
      <c r="D229" s="35"/>
      <c r="E229" s="3"/>
      <c r="F229" s="4"/>
      <c r="G229" s="5"/>
      <c r="I229" s="9"/>
      <c r="J229" s="9"/>
      <c r="K229" s="9"/>
      <c r="L229" s="103"/>
      <c r="M229" s="108"/>
      <c r="N229" s="9"/>
    </row>
    <row r="230" spans="1:14" ht="48.6" customHeight="1">
      <c r="A230" s="1">
        <f>A226+1</f>
        <v>41</v>
      </c>
      <c r="B230" s="1"/>
      <c r="C230" s="55" t="s">
        <v>75</v>
      </c>
      <c r="D230" s="1" t="s">
        <v>51</v>
      </c>
      <c r="E230" s="3">
        <f>SUM(I230:N230)</f>
        <v>0</v>
      </c>
      <c r="F230" s="3">
        <v>1185</v>
      </c>
      <c r="G230" s="5">
        <f t="shared" ref="G230" si="51">+E230*F230</f>
        <v>0</v>
      </c>
      <c r="I230" s="9"/>
      <c r="J230" s="9"/>
      <c r="K230" s="9"/>
      <c r="L230" s="103"/>
      <c r="M230" s="108"/>
      <c r="N230" s="9"/>
    </row>
    <row r="231" spans="1:14">
      <c r="A231" s="1"/>
      <c r="B231" s="1"/>
      <c r="C231" s="55"/>
      <c r="D231" s="35"/>
      <c r="E231" s="3"/>
      <c r="F231" s="3"/>
      <c r="G231" s="5"/>
      <c r="I231" s="9"/>
      <c r="J231" s="9"/>
      <c r="K231" s="9"/>
      <c r="L231" s="103"/>
      <c r="M231" s="108"/>
      <c r="N231" s="9"/>
    </row>
    <row r="232" spans="1:14">
      <c r="A232" s="1"/>
      <c r="B232" s="1"/>
      <c r="C232" s="55"/>
      <c r="D232" s="35"/>
      <c r="E232" s="3"/>
      <c r="F232" s="3"/>
      <c r="G232" s="5"/>
      <c r="I232" s="9"/>
      <c r="J232" s="9"/>
      <c r="K232" s="9"/>
      <c r="L232" s="103"/>
      <c r="M232" s="108"/>
      <c r="N232" s="9"/>
    </row>
    <row r="233" spans="1:14">
      <c r="A233" s="1"/>
      <c r="B233" s="1"/>
      <c r="C233" s="55"/>
      <c r="D233" s="35"/>
      <c r="E233" s="3"/>
      <c r="F233" s="3"/>
      <c r="G233" s="5"/>
      <c r="I233" s="9"/>
      <c r="J233" s="9"/>
      <c r="K233" s="9"/>
      <c r="L233" s="103"/>
      <c r="M233" s="108"/>
      <c r="N233" s="9"/>
    </row>
    <row r="234" spans="1:14">
      <c r="A234" s="1"/>
      <c r="B234" s="1"/>
      <c r="C234" s="55"/>
      <c r="D234" s="35"/>
      <c r="E234" s="3"/>
      <c r="F234" s="3"/>
      <c r="G234" s="5"/>
      <c r="I234" s="9"/>
      <c r="J234" s="9"/>
      <c r="K234" s="9"/>
      <c r="L234" s="103"/>
      <c r="M234" s="108"/>
      <c r="N234" s="9"/>
    </row>
    <row r="235" spans="1:14">
      <c r="A235" s="1"/>
      <c r="B235" s="1"/>
      <c r="C235" s="55"/>
      <c r="D235" s="35"/>
      <c r="E235" s="3"/>
      <c r="F235" s="3"/>
      <c r="G235" s="5"/>
      <c r="I235" s="9"/>
      <c r="J235" s="9"/>
      <c r="K235" s="9"/>
      <c r="L235" s="103"/>
      <c r="M235" s="108"/>
      <c r="N235" s="9"/>
    </row>
    <row r="236" spans="1:14">
      <c r="A236" s="1"/>
      <c r="B236" s="1"/>
      <c r="C236" s="55"/>
      <c r="D236" s="35"/>
      <c r="E236" s="3"/>
      <c r="F236" s="3"/>
      <c r="G236" s="5"/>
      <c r="I236" s="9"/>
      <c r="J236" s="9"/>
      <c r="K236" s="9"/>
      <c r="L236" s="103"/>
      <c r="M236" s="108"/>
      <c r="N236" s="9"/>
    </row>
    <row r="237" spans="1:14" ht="13.95" customHeight="1">
      <c r="A237" s="1"/>
      <c r="B237" s="1"/>
      <c r="C237" s="55"/>
      <c r="D237" s="35"/>
      <c r="E237" s="3"/>
      <c r="F237" s="4"/>
      <c r="G237" s="5"/>
      <c r="I237" s="9"/>
      <c r="J237" s="9"/>
      <c r="K237" s="9"/>
      <c r="L237" s="103"/>
      <c r="M237" s="108"/>
      <c r="N237" s="9"/>
    </row>
    <row r="238" spans="1:14" ht="13.95" customHeight="1">
      <c r="A238" s="1"/>
      <c r="B238" s="1"/>
      <c r="C238" s="55"/>
      <c r="D238" s="35"/>
      <c r="E238" s="3"/>
      <c r="F238" s="4"/>
      <c r="G238" s="5"/>
      <c r="I238" s="9"/>
      <c r="J238" s="9"/>
      <c r="K238" s="9"/>
      <c r="L238" s="103"/>
      <c r="M238" s="108"/>
      <c r="N238" s="9"/>
    </row>
    <row r="239" spans="1:14" ht="13.95" customHeight="1">
      <c r="A239" s="1"/>
      <c r="B239" s="1"/>
      <c r="C239" s="55"/>
      <c r="D239" s="35"/>
      <c r="E239" s="3"/>
      <c r="F239" s="4"/>
      <c r="G239" s="5"/>
      <c r="I239" s="9"/>
      <c r="J239" s="9"/>
      <c r="K239" s="9"/>
      <c r="L239" s="103"/>
      <c r="M239" s="108"/>
      <c r="N239" s="9"/>
    </row>
    <row r="240" spans="1:14" ht="13.95" customHeight="1">
      <c r="A240" s="1"/>
      <c r="B240" s="1"/>
      <c r="C240" s="55"/>
      <c r="D240" s="35"/>
      <c r="E240" s="3"/>
      <c r="F240" s="4"/>
      <c r="G240" s="5"/>
      <c r="I240" s="9"/>
      <c r="J240" s="9"/>
      <c r="K240" s="9"/>
      <c r="L240" s="103"/>
      <c r="M240" s="108"/>
      <c r="N240" s="9"/>
    </row>
    <row r="241" spans="1:14" ht="13.95" customHeight="1">
      <c r="A241" s="1"/>
      <c r="B241" s="1"/>
      <c r="C241" s="55"/>
      <c r="D241" s="35"/>
      <c r="E241" s="3"/>
      <c r="F241" s="4"/>
      <c r="G241" s="5"/>
      <c r="I241" s="9"/>
      <c r="J241" s="9"/>
      <c r="K241" s="9"/>
      <c r="L241" s="103"/>
      <c r="M241" s="108"/>
      <c r="N241" s="9"/>
    </row>
    <row r="242" spans="1:14" ht="20.100000000000001" customHeight="1">
      <c r="A242" s="149" t="s">
        <v>66</v>
      </c>
      <c r="B242" s="150"/>
      <c r="C242" s="150"/>
      <c r="D242" s="150"/>
      <c r="E242" s="150"/>
      <c r="F242" s="151"/>
      <c r="G242" s="116">
        <f>SUM(G202:G241)</f>
        <v>129518</v>
      </c>
      <c r="I242" s="9"/>
      <c r="J242" s="9"/>
      <c r="K242" s="9"/>
      <c r="L242" s="103"/>
      <c r="M242" s="108"/>
      <c r="N242" s="9"/>
    </row>
    <row r="243" spans="1:14" ht="13.95" customHeight="1">
      <c r="A243" s="39"/>
      <c r="B243" s="39"/>
      <c r="C243" s="39"/>
      <c r="D243" s="39"/>
      <c r="E243" s="39"/>
      <c r="F243" s="39"/>
      <c r="G243" s="113"/>
      <c r="I243" s="9"/>
      <c r="J243" s="9"/>
      <c r="K243" s="9"/>
      <c r="L243" s="103"/>
      <c r="M243" s="108"/>
      <c r="N243" s="9"/>
    </row>
    <row r="244" spans="1:14" ht="13.95" customHeight="1">
      <c r="A244" s="39"/>
      <c r="B244" s="39"/>
      <c r="C244" s="39"/>
      <c r="D244" s="39"/>
      <c r="E244" s="39"/>
      <c r="F244" s="39"/>
      <c r="G244" s="113"/>
      <c r="I244" s="9"/>
      <c r="J244" s="9"/>
      <c r="K244" s="9"/>
      <c r="L244" s="103"/>
      <c r="M244" s="108"/>
      <c r="N244" s="9"/>
    </row>
    <row r="245" spans="1:14" ht="22.2" customHeight="1">
      <c r="A245" s="44" t="s">
        <v>8</v>
      </c>
      <c r="B245" s="48" t="s">
        <v>9</v>
      </c>
      <c r="C245" s="44" t="s">
        <v>10</v>
      </c>
      <c r="D245" s="48" t="s">
        <v>11</v>
      </c>
      <c r="E245" s="48" t="s">
        <v>59</v>
      </c>
      <c r="F245" s="49" t="s">
        <v>12</v>
      </c>
      <c r="G245" s="111" t="s">
        <v>13</v>
      </c>
      <c r="I245" s="9"/>
      <c r="J245" s="9"/>
      <c r="K245" s="9"/>
      <c r="L245" s="103"/>
      <c r="M245" s="108"/>
      <c r="N245" s="9"/>
    </row>
    <row r="246" spans="1:14" ht="20.100000000000001" customHeight="1">
      <c r="A246" s="149" t="s">
        <v>67</v>
      </c>
      <c r="B246" s="150"/>
      <c r="C246" s="150"/>
      <c r="D246" s="150"/>
      <c r="E246" s="150"/>
      <c r="F246" s="151"/>
      <c r="G246" s="116">
        <f>+G242</f>
        <v>129518</v>
      </c>
      <c r="I246" s="9"/>
      <c r="J246" s="9"/>
      <c r="K246" s="9"/>
      <c r="L246" s="103"/>
      <c r="M246" s="108"/>
      <c r="N246" s="9"/>
    </row>
    <row r="247" spans="1:14" ht="13.95" customHeight="1">
      <c r="A247" s="1"/>
      <c r="B247" s="1"/>
      <c r="C247" s="55"/>
      <c r="D247" s="35"/>
      <c r="E247" s="3"/>
      <c r="F247" s="4"/>
      <c r="G247" s="5"/>
      <c r="I247" s="9"/>
      <c r="J247" s="9"/>
      <c r="K247" s="9"/>
      <c r="L247" s="103"/>
      <c r="M247" s="108"/>
      <c r="N247" s="9"/>
    </row>
    <row r="248" spans="1:14" ht="13.95" customHeight="1">
      <c r="A248" s="1"/>
      <c r="B248" s="1"/>
      <c r="C248" s="56" t="s">
        <v>230</v>
      </c>
      <c r="D248" s="9"/>
      <c r="E248" s="9"/>
      <c r="F248" s="122"/>
      <c r="G248" s="5"/>
      <c r="I248" s="9"/>
      <c r="J248" s="9"/>
      <c r="K248" s="9"/>
      <c r="L248" s="103"/>
      <c r="M248" s="108"/>
      <c r="N248" s="9"/>
    </row>
    <row r="249" spans="1:14" ht="13.95" customHeight="1">
      <c r="A249" s="1"/>
      <c r="B249" s="1"/>
      <c r="C249" s="57"/>
      <c r="D249" s="9"/>
      <c r="E249" s="9"/>
      <c r="F249" s="122"/>
      <c r="G249" s="5"/>
      <c r="I249" s="9"/>
      <c r="J249" s="9"/>
      <c r="K249" s="9"/>
      <c r="L249" s="103"/>
      <c r="M249" s="108"/>
      <c r="N249" s="9"/>
    </row>
    <row r="250" spans="1:14" ht="48" customHeight="1">
      <c r="A250" s="1"/>
      <c r="B250" s="1"/>
      <c r="C250" s="33" t="s">
        <v>242</v>
      </c>
      <c r="D250" s="57"/>
      <c r="E250" s="57"/>
      <c r="F250" s="57"/>
      <c r="G250" s="5"/>
      <c r="I250" s="9"/>
      <c r="J250" s="9"/>
      <c r="K250" s="9"/>
      <c r="L250" s="103"/>
      <c r="M250" s="108"/>
      <c r="N250" s="9"/>
    </row>
    <row r="251" spans="1:14" ht="13.95" customHeight="1">
      <c r="A251" s="1"/>
      <c r="B251" s="1"/>
      <c r="C251" s="33"/>
      <c r="D251" s="9"/>
      <c r="E251" s="9"/>
      <c r="F251" s="122"/>
      <c r="G251" s="5"/>
      <c r="I251" s="9"/>
      <c r="J251" s="9"/>
      <c r="K251" s="9"/>
      <c r="L251" s="103"/>
      <c r="M251" s="108"/>
      <c r="N251" s="9"/>
    </row>
    <row r="252" spans="1:14" ht="25.95" customHeight="1">
      <c r="A252" s="1"/>
      <c r="B252" s="1"/>
      <c r="C252" s="33" t="s">
        <v>232</v>
      </c>
      <c r="D252" s="9"/>
      <c r="E252" s="9"/>
      <c r="F252" s="122"/>
      <c r="G252" s="5"/>
      <c r="I252" s="9"/>
      <c r="J252" s="9"/>
      <c r="K252" s="9"/>
      <c r="L252" s="103"/>
      <c r="M252" s="108"/>
      <c r="N252" s="9"/>
    </row>
    <row r="253" spans="1:14" ht="13.95" customHeight="1">
      <c r="A253" s="1"/>
      <c r="B253" s="1"/>
      <c r="C253" s="33"/>
      <c r="D253" s="9"/>
      <c r="E253" s="9"/>
      <c r="F253" s="122"/>
      <c r="G253" s="5"/>
      <c r="I253" s="9"/>
      <c r="J253" s="9"/>
      <c r="K253" s="9"/>
      <c r="L253" s="103"/>
      <c r="M253" s="108"/>
      <c r="N253" s="9"/>
    </row>
    <row r="254" spans="1:14" ht="38.4" customHeight="1">
      <c r="A254" s="1">
        <f>A230+1</f>
        <v>42</v>
      </c>
      <c r="B254" s="1"/>
      <c r="C254" s="33" t="s">
        <v>233</v>
      </c>
      <c r="D254" s="9" t="s">
        <v>1</v>
      </c>
      <c r="E254" s="3">
        <f>SUM(I254:N254)</f>
        <v>0</v>
      </c>
      <c r="F254" s="144">
        <v>775</v>
      </c>
      <c r="G254" s="5">
        <f t="shared" ref="G254" si="52">+E254*F254</f>
        <v>0</v>
      </c>
      <c r="I254" s="9"/>
      <c r="J254" s="9"/>
      <c r="K254" s="9"/>
      <c r="L254" s="103"/>
      <c r="M254" s="108"/>
      <c r="N254" s="9"/>
    </row>
    <row r="255" spans="1:14" ht="13.95" customHeight="1">
      <c r="A255" s="1"/>
      <c r="B255" s="1"/>
      <c r="C255" s="33"/>
      <c r="D255" s="9"/>
      <c r="E255" s="9"/>
      <c r="F255" s="144"/>
      <c r="G255" s="5"/>
      <c r="I255" s="9"/>
      <c r="J255" s="9"/>
      <c r="K255" s="9"/>
      <c r="L255" s="103"/>
      <c r="M255" s="108"/>
      <c r="N255" s="9"/>
    </row>
    <row r="256" spans="1:14" ht="25.95" customHeight="1">
      <c r="A256" s="1">
        <f>A254+1</f>
        <v>43</v>
      </c>
      <c r="B256" s="1"/>
      <c r="C256" s="33" t="s">
        <v>228</v>
      </c>
      <c r="D256" s="9" t="s">
        <v>6</v>
      </c>
      <c r="E256" s="3">
        <f>SUM(I256:N256)</f>
        <v>0</v>
      </c>
      <c r="F256" s="144">
        <v>275</v>
      </c>
      <c r="G256" s="5">
        <f t="shared" ref="G256" si="53">+E256*F256</f>
        <v>0</v>
      </c>
      <c r="I256" s="9"/>
      <c r="J256" s="9"/>
      <c r="K256" s="9"/>
      <c r="L256" s="103"/>
      <c r="M256" s="108"/>
      <c r="N256" s="9"/>
    </row>
    <row r="257" spans="1:14" ht="13.95" customHeight="1">
      <c r="A257" s="1"/>
      <c r="B257" s="1"/>
      <c r="C257" s="33"/>
      <c r="D257" s="9"/>
      <c r="E257" s="9"/>
      <c r="F257" s="144"/>
      <c r="G257" s="5"/>
      <c r="I257" s="9"/>
      <c r="J257" s="9"/>
      <c r="K257" s="9"/>
      <c r="L257" s="103"/>
      <c r="M257" s="108"/>
      <c r="N257" s="9"/>
    </row>
    <row r="258" spans="1:14" ht="13.95" customHeight="1">
      <c r="A258" s="1">
        <f>A256+1</f>
        <v>44</v>
      </c>
      <c r="B258" s="1"/>
      <c r="C258" s="33" t="s">
        <v>229</v>
      </c>
      <c r="D258" s="9" t="s">
        <v>6</v>
      </c>
      <c r="E258" s="3">
        <f>SUM(I258:N258)</f>
        <v>0</v>
      </c>
      <c r="F258" s="144">
        <v>650</v>
      </c>
      <c r="G258" s="5">
        <f t="shared" ref="G258" si="54">+E258*F258</f>
        <v>0</v>
      </c>
      <c r="I258" s="9"/>
      <c r="J258" s="9"/>
      <c r="K258" s="9"/>
      <c r="L258" s="103"/>
      <c r="M258" s="108"/>
      <c r="N258" s="9"/>
    </row>
    <row r="259" spans="1:14" ht="13.95" customHeight="1">
      <c r="A259" s="1"/>
      <c r="B259" s="1"/>
      <c r="C259" s="17"/>
      <c r="D259" s="35"/>
      <c r="E259" s="3"/>
      <c r="F259" s="14"/>
      <c r="G259" s="5"/>
      <c r="I259" s="9"/>
      <c r="J259" s="9"/>
      <c r="K259" s="9"/>
      <c r="L259" s="103"/>
      <c r="M259" s="108"/>
      <c r="N259" s="9"/>
    </row>
    <row r="260" spans="1:14">
      <c r="A260" s="16">
        <f>+A258+1</f>
        <v>45</v>
      </c>
      <c r="B260" s="16"/>
      <c r="C260" s="47" t="s">
        <v>241</v>
      </c>
      <c r="D260" s="58" t="s">
        <v>1</v>
      </c>
      <c r="E260" s="3">
        <f>SUM(I260:N260)</f>
        <v>0</v>
      </c>
      <c r="F260" s="13">
        <v>425</v>
      </c>
      <c r="G260" s="15">
        <f t="shared" ref="G260" si="55">+E260*F260</f>
        <v>0</v>
      </c>
      <c r="I260" s="9"/>
      <c r="J260" s="9"/>
      <c r="K260" s="9"/>
      <c r="L260" s="103"/>
      <c r="M260" s="108"/>
      <c r="N260" s="9"/>
    </row>
    <row r="261" spans="1:14" ht="13.95" customHeight="1">
      <c r="A261" s="1"/>
      <c r="B261" s="1"/>
      <c r="C261" s="17"/>
      <c r="D261" s="35"/>
      <c r="E261" s="3"/>
      <c r="F261" s="4"/>
      <c r="G261" s="5"/>
      <c r="I261" s="9"/>
      <c r="J261" s="9"/>
      <c r="K261" s="9"/>
      <c r="L261" s="103"/>
      <c r="M261" s="108"/>
      <c r="N261" s="9"/>
    </row>
    <row r="262" spans="1:14" ht="22.2" customHeight="1">
      <c r="A262" s="1"/>
      <c r="B262" s="51" t="s">
        <v>105</v>
      </c>
      <c r="C262" s="11" t="s">
        <v>204</v>
      </c>
      <c r="D262" s="40"/>
      <c r="E262" s="3"/>
      <c r="F262" s="4"/>
      <c r="G262" s="5"/>
      <c r="I262" s="9"/>
      <c r="J262" s="9"/>
      <c r="K262" s="9"/>
      <c r="L262" s="103"/>
      <c r="M262" s="108"/>
      <c r="N262" s="9"/>
    </row>
    <row r="263" spans="1:14" ht="13.95" customHeight="1">
      <c r="A263" s="1"/>
      <c r="B263" s="51"/>
      <c r="C263" s="6"/>
      <c r="D263" s="9"/>
      <c r="E263" s="3"/>
      <c r="F263" s="4"/>
      <c r="G263" s="5"/>
      <c r="I263" s="9"/>
      <c r="J263" s="9"/>
      <c r="K263" s="9"/>
      <c r="L263" s="103"/>
      <c r="M263" s="108"/>
      <c r="N263" s="9"/>
    </row>
    <row r="264" spans="1:14" ht="13.95" customHeight="1">
      <c r="A264" s="1"/>
      <c r="B264" s="51" t="s">
        <v>92</v>
      </c>
      <c r="C264" s="52" t="s">
        <v>205</v>
      </c>
      <c r="D264" s="9"/>
      <c r="E264" s="3"/>
      <c r="F264" s="4"/>
      <c r="G264" s="5"/>
      <c r="I264" s="9"/>
      <c r="J264" s="9"/>
      <c r="K264" s="9"/>
      <c r="L264" s="103"/>
      <c r="M264" s="108"/>
      <c r="N264" s="9"/>
    </row>
    <row r="265" spans="1:14" ht="13.95" customHeight="1">
      <c r="A265" s="1"/>
      <c r="B265" s="51"/>
      <c r="C265" s="6"/>
      <c r="D265" s="9"/>
      <c r="E265" s="3"/>
      <c r="F265" s="4"/>
      <c r="G265" s="5"/>
      <c r="I265" s="9"/>
      <c r="J265" s="9"/>
      <c r="K265" s="9"/>
      <c r="L265" s="103"/>
      <c r="M265" s="108"/>
      <c r="N265" s="9"/>
    </row>
    <row r="266" spans="1:14" ht="24" customHeight="1">
      <c r="A266" s="1"/>
      <c r="B266" s="51" t="s">
        <v>206</v>
      </c>
      <c r="C266" s="21" t="s">
        <v>207</v>
      </c>
      <c r="D266" s="9"/>
      <c r="E266" s="3"/>
      <c r="F266" s="4"/>
      <c r="G266" s="5"/>
      <c r="I266" s="9"/>
      <c r="J266" s="9"/>
      <c r="K266" s="9"/>
      <c r="L266" s="103"/>
      <c r="M266" s="108"/>
      <c r="N266" s="9"/>
    </row>
    <row r="267" spans="1:14" ht="13.95" customHeight="1">
      <c r="A267" s="1"/>
      <c r="B267" s="51"/>
      <c r="C267" s="6"/>
      <c r="D267" s="9"/>
      <c r="E267" s="3"/>
      <c r="F267" s="4"/>
      <c r="G267" s="5"/>
      <c r="I267" s="9"/>
      <c r="J267" s="9"/>
      <c r="K267" s="9"/>
      <c r="L267" s="103"/>
      <c r="M267" s="108"/>
      <c r="N267" s="9"/>
    </row>
    <row r="268" spans="1:14" ht="13.95" customHeight="1">
      <c r="A268" s="1">
        <f>A260+1</f>
        <v>46</v>
      </c>
      <c r="B268" s="51" t="s">
        <v>208</v>
      </c>
      <c r="C268" s="6" t="s">
        <v>21</v>
      </c>
      <c r="D268" s="9" t="s">
        <v>1</v>
      </c>
      <c r="E268" s="3">
        <f>SUM(I268:N268)</f>
        <v>0</v>
      </c>
      <c r="F268" s="13">
        <v>1950</v>
      </c>
      <c r="G268" s="5">
        <f t="shared" ref="G268" si="56">+E268*F268</f>
        <v>0</v>
      </c>
      <c r="I268" s="9"/>
      <c r="J268" s="9"/>
      <c r="K268" s="9"/>
      <c r="L268" s="103"/>
      <c r="M268" s="108"/>
      <c r="N268" s="9"/>
    </row>
    <row r="269" spans="1:14" ht="13.95" customHeight="1">
      <c r="A269" s="1"/>
      <c r="B269" s="51"/>
      <c r="C269" s="6"/>
      <c r="D269" s="9"/>
      <c r="E269" s="3"/>
      <c r="F269" s="13"/>
      <c r="G269" s="5"/>
      <c r="I269" s="9"/>
      <c r="J269" s="9"/>
      <c r="K269" s="9"/>
      <c r="L269" s="103"/>
      <c r="M269" s="108"/>
      <c r="N269" s="9"/>
    </row>
    <row r="270" spans="1:14" ht="12.6" customHeight="1">
      <c r="A270" s="1">
        <f>A268+1</f>
        <v>47</v>
      </c>
      <c r="B270" s="51" t="s">
        <v>209</v>
      </c>
      <c r="C270" s="18" t="s">
        <v>210</v>
      </c>
      <c r="D270" s="9" t="s">
        <v>6</v>
      </c>
      <c r="E270" s="3">
        <f>SUM(I270:N270)</f>
        <v>0</v>
      </c>
      <c r="F270" s="13">
        <v>350</v>
      </c>
      <c r="G270" s="5">
        <f t="shared" ref="G270" si="57">+E270*F270</f>
        <v>0</v>
      </c>
      <c r="I270" s="9"/>
      <c r="J270" s="9"/>
      <c r="K270" s="9"/>
      <c r="L270" s="103"/>
      <c r="M270" s="108"/>
      <c r="N270" s="9"/>
    </row>
    <row r="271" spans="1:14" ht="12.6" customHeight="1">
      <c r="A271" s="1"/>
      <c r="B271" s="1"/>
      <c r="C271" s="33"/>
      <c r="D271" s="35"/>
      <c r="E271" s="3"/>
      <c r="F271" s="13"/>
      <c r="G271" s="5"/>
      <c r="I271" s="9"/>
      <c r="J271" s="9"/>
      <c r="K271" s="9"/>
      <c r="L271" s="103"/>
      <c r="M271" s="108"/>
      <c r="N271" s="9"/>
    </row>
    <row r="272" spans="1:14" ht="12.6" customHeight="1">
      <c r="A272" s="1"/>
      <c r="B272" s="1"/>
      <c r="C272" s="123" t="s">
        <v>236</v>
      </c>
      <c r="D272" s="35"/>
      <c r="E272" s="3"/>
      <c r="F272" s="13"/>
      <c r="G272" s="5"/>
      <c r="I272" s="9"/>
      <c r="J272" s="9"/>
      <c r="K272" s="9"/>
      <c r="L272" s="103"/>
      <c r="M272" s="108"/>
      <c r="N272" s="9"/>
    </row>
    <row r="273" spans="1:14" ht="12.6" customHeight="1">
      <c r="A273" s="1"/>
      <c r="B273" s="1"/>
      <c r="C273" s="6"/>
      <c r="D273" s="35"/>
      <c r="E273" s="3"/>
      <c r="F273" s="13"/>
      <c r="G273" s="5"/>
      <c r="I273" s="9"/>
      <c r="J273" s="9"/>
      <c r="K273" s="9"/>
      <c r="L273" s="103"/>
      <c r="M273" s="108"/>
      <c r="N273" s="9"/>
    </row>
    <row r="274" spans="1:14" ht="12.6" customHeight="1">
      <c r="A274" s="1"/>
      <c r="B274" s="1"/>
      <c r="C274" s="124" t="s">
        <v>234</v>
      </c>
      <c r="D274" s="35"/>
      <c r="E274" s="3"/>
      <c r="F274" s="13"/>
      <c r="G274" s="5"/>
      <c r="I274" s="9"/>
      <c r="J274" s="9"/>
      <c r="K274" s="9"/>
      <c r="L274" s="103"/>
      <c r="M274" s="108"/>
      <c r="N274" s="9"/>
    </row>
    <row r="275" spans="1:14" ht="12.6" customHeight="1">
      <c r="A275" s="1"/>
      <c r="B275" s="1"/>
      <c r="C275" s="33"/>
      <c r="D275" s="35"/>
      <c r="E275" s="3"/>
      <c r="F275" s="13"/>
      <c r="G275" s="5"/>
      <c r="I275" s="9"/>
      <c r="J275" s="9"/>
      <c r="K275" s="9"/>
      <c r="L275" s="103"/>
      <c r="M275" s="108"/>
      <c r="N275" s="9"/>
    </row>
    <row r="276" spans="1:14" ht="38.4" customHeight="1">
      <c r="A276" s="1">
        <f>A270+1</f>
        <v>48</v>
      </c>
      <c r="B276" s="1"/>
      <c r="C276" s="125" t="s">
        <v>235</v>
      </c>
      <c r="D276" s="1" t="s">
        <v>60</v>
      </c>
      <c r="E276" s="3">
        <f>SUM(I276:N276)</f>
        <v>0</v>
      </c>
      <c r="F276" s="13">
        <v>3750</v>
      </c>
      <c r="G276" s="5">
        <f t="shared" ref="G276" si="58">+E276*F276</f>
        <v>0</v>
      </c>
      <c r="I276" s="9"/>
      <c r="J276" s="9"/>
      <c r="K276" s="9"/>
      <c r="L276" s="103"/>
      <c r="M276" s="108"/>
      <c r="N276" s="9"/>
    </row>
    <row r="277" spans="1:14" ht="12.6" customHeight="1">
      <c r="A277" s="1"/>
      <c r="B277" s="1"/>
      <c r="C277" s="33"/>
      <c r="D277" s="35"/>
      <c r="E277" s="3"/>
      <c r="F277" s="13"/>
      <c r="G277" s="5"/>
      <c r="I277" s="9"/>
      <c r="J277" s="9"/>
      <c r="K277" s="9"/>
      <c r="L277" s="103"/>
      <c r="M277" s="108"/>
      <c r="N277" s="9"/>
    </row>
    <row r="278" spans="1:14" ht="13.95" customHeight="1">
      <c r="A278" s="1"/>
      <c r="B278" s="1"/>
      <c r="C278" s="34" t="s">
        <v>212</v>
      </c>
      <c r="D278" s="1" t="s">
        <v>64</v>
      </c>
      <c r="E278" s="3"/>
      <c r="F278" s="14"/>
      <c r="G278" s="5"/>
      <c r="I278" s="9"/>
      <c r="J278" s="9"/>
      <c r="K278" s="9"/>
      <c r="L278" s="103"/>
      <c r="M278" s="108"/>
      <c r="N278" s="9"/>
    </row>
    <row r="279" spans="1:14" ht="13.95" customHeight="1">
      <c r="A279" s="1"/>
      <c r="B279" s="1"/>
      <c r="C279" s="33" t="s">
        <v>64</v>
      </c>
      <c r="D279" s="1" t="s">
        <v>64</v>
      </c>
      <c r="E279" s="3"/>
      <c r="F279" s="4"/>
      <c r="G279" s="5"/>
      <c r="I279" s="9"/>
      <c r="J279" s="9"/>
      <c r="K279" s="9"/>
      <c r="L279" s="103"/>
      <c r="M279" s="108"/>
      <c r="N279" s="9"/>
    </row>
    <row r="280" spans="1:14" ht="22.2" customHeight="1">
      <c r="A280" s="1">
        <f>A276+1</f>
        <v>49</v>
      </c>
      <c r="B280" s="1"/>
      <c r="C280" s="33" t="s">
        <v>217</v>
      </c>
      <c r="D280" s="1" t="s">
        <v>60</v>
      </c>
      <c r="E280" s="3">
        <f>SUM(I280:N280)</f>
        <v>0</v>
      </c>
      <c r="F280" s="3">
        <v>885</v>
      </c>
      <c r="G280" s="5">
        <f t="shared" ref="G280" si="59">+E280*F280</f>
        <v>0</v>
      </c>
      <c r="I280" s="9"/>
      <c r="J280" s="9"/>
      <c r="K280" s="9"/>
      <c r="L280" s="103"/>
      <c r="M280" s="108"/>
      <c r="N280" s="9"/>
    </row>
    <row r="281" spans="1:14">
      <c r="A281" s="1"/>
      <c r="B281" s="1"/>
      <c r="C281" s="33"/>
      <c r="D281" s="35"/>
      <c r="E281" s="3"/>
      <c r="F281" s="3"/>
      <c r="G281" s="5"/>
      <c r="I281" s="9"/>
      <c r="J281" s="9"/>
      <c r="K281" s="9"/>
      <c r="L281" s="103"/>
      <c r="M281" s="108"/>
      <c r="N281" s="9"/>
    </row>
    <row r="282" spans="1:14" ht="13.95" customHeight="1">
      <c r="A282" s="1"/>
      <c r="B282" s="1"/>
      <c r="C282" s="33"/>
      <c r="D282" s="35"/>
      <c r="E282" s="3"/>
      <c r="F282" s="4"/>
      <c r="G282" s="5"/>
      <c r="I282" s="9"/>
      <c r="J282" s="9"/>
      <c r="K282" s="9"/>
      <c r="L282" s="103"/>
      <c r="M282" s="108"/>
      <c r="N282" s="9"/>
    </row>
    <row r="283" spans="1:14" ht="13.95" customHeight="1">
      <c r="A283" s="1"/>
      <c r="B283" s="1"/>
      <c r="C283" s="33"/>
      <c r="D283" s="35"/>
      <c r="E283" s="3"/>
      <c r="F283" s="4"/>
      <c r="G283" s="5"/>
      <c r="I283" s="9"/>
      <c r="J283" s="9"/>
      <c r="K283" s="9"/>
      <c r="L283" s="103"/>
      <c r="M283" s="108"/>
      <c r="N283" s="9"/>
    </row>
    <row r="284" spans="1:14" ht="13.95" customHeight="1">
      <c r="A284" s="1"/>
      <c r="B284" s="1"/>
      <c r="C284" s="33"/>
      <c r="D284" s="35"/>
      <c r="E284" s="3"/>
      <c r="F284" s="4"/>
      <c r="G284" s="5"/>
      <c r="I284" s="9"/>
      <c r="J284" s="9"/>
      <c r="K284" s="9"/>
      <c r="L284" s="103"/>
      <c r="M284" s="108"/>
      <c r="N284" s="9"/>
    </row>
    <row r="285" spans="1:14" ht="20.100000000000001" customHeight="1">
      <c r="A285" s="149" t="s">
        <v>66</v>
      </c>
      <c r="B285" s="150"/>
      <c r="C285" s="150"/>
      <c r="D285" s="150"/>
      <c r="E285" s="150"/>
      <c r="F285" s="151"/>
      <c r="G285" s="116">
        <f>SUM(G246:G284)</f>
        <v>129518</v>
      </c>
      <c r="I285" s="9"/>
      <c r="J285" s="9"/>
      <c r="K285" s="9"/>
      <c r="L285" s="103"/>
      <c r="M285" s="108"/>
      <c r="N285" s="9"/>
    </row>
    <row r="286" spans="1:14" ht="13.95" customHeight="1">
      <c r="A286" s="39"/>
      <c r="B286" s="39"/>
      <c r="C286" s="39"/>
      <c r="D286" s="39"/>
      <c r="E286" s="39"/>
      <c r="F286" s="39"/>
      <c r="G286" s="113"/>
      <c r="I286" s="9"/>
      <c r="J286" s="9"/>
      <c r="K286" s="9"/>
      <c r="L286" s="103"/>
      <c r="M286" s="108"/>
      <c r="N286" s="9"/>
    </row>
    <row r="287" spans="1:14" ht="13.95" customHeight="1">
      <c r="A287" s="39"/>
      <c r="B287" s="39"/>
      <c r="C287" s="39"/>
      <c r="D287" s="39"/>
      <c r="E287" s="39"/>
      <c r="F287" s="39"/>
      <c r="G287" s="113"/>
      <c r="I287" s="9"/>
      <c r="J287" s="9"/>
      <c r="K287" s="9"/>
      <c r="L287" s="103"/>
      <c r="M287" s="108"/>
      <c r="N287" s="9"/>
    </row>
    <row r="288" spans="1:14" ht="22.2" customHeight="1">
      <c r="A288" s="44" t="s">
        <v>8</v>
      </c>
      <c r="B288" s="48" t="s">
        <v>9</v>
      </c>
      <c r="C288" s="44" t="s">
        <v>10</v>
      </c>
      <c r="D288" s="48" t="s">
        <v>11</v>
      </c>
      <c r="E288" s="48" t="s">
        <v>59</v>
      </c>
      <c r="F288" s="49" t="s">
        <v>12</v>
      </c>
      <c r="G288" s="111" t="s">
        <v>13</v>
      </c>
      <c r="I288" s="9"/>
      <c r="J288" s="9"/>
      <c r="K288" s="9"/>
      <c r="L288" s="103"/>
      <c r="M288" s="108"/>
      <c r="N288" s="9"/>
    </row>
    <row r="289" spans="1:14" ht="20.100000000000001" customHeight="1">
      <c r="A289" s="149" t="s">
        <v>67</v>
      </c>
      <c r="B289" s="150"/>
      <c r="C289" s="150"/>
      <c r="D289" s="150"/>
      <c r="E289" s="150"/>
      <c r="F289" s="151"/>
      <c r="G289" s="116">
        <f>+G285</f>
        <v>129518</v>
      </c>
      <c r="I289" s="9"/>
      <c r="J289" s="9"/>
      <c r="K289" s="9"/>
      <c r="L289" s="103"/>
      <c r="M289" s="108"/>
      <c r="N289" s="9"/>
    </row>
    <row r="290" spans="1:14" ht="13.95" customHeight="1">
      <c r="A290" s="1"/>
      <c r="B290" s="1"/>
      <c r="C290" s="33"/>
      <c r="D290" s="35"/>
      <c r="E290" s="3"/>
      <c r="F290" s="4"/>
      <c r="G290" s="5"/>
      <c r="I290" s="9"/>
      <c r="J290" s="9"/>
      <c r="K290" s="9"/>
      <c r="L290" s="103"/>
      <c r="M290" s="108"/>
      <c r="N290" s="9"/>
    </row>
    <row r="291" spans="1:14" ht="13.95" customHeight="1">
      <c r="A291" s="16"/>
      <c r="B291" s="76" t="s">
        <v>167</v>
      </c>
      <c r="C291" s="74" t="s">
        <v>168</v>
      </c>
      <c r="D291" s="93"/>
      <c r="E291" s="94"/>
      <c r="F291" s="14"/>
      <c r="G291" s="15"/>
      <c r="I291" s="9"/>
      <c r="J291" s="9"/>
      <c r="K291" s="9"/>
      <c r="L291" s="103"/>
      <c r="M291" s="108"/>
      <c r="N291" s="9"/>
    </row>
    <row r="292" spans="1:14" ht="13.95" customHeight="1">
      <c r="A292" s="16"/>
      <c r="B292" s="12"/>
      <c r="C292" s="75"/>
      <c r="D292" s="93"/>
      <c r="E292" s="94"/>
      <c r="F292" s="14"/>
      <c r="G292" s="15"/>
      <c r="I292" s="9"/>
      <c r="J292" s="9"/>
      <c r="K292" s="9"/>
      <c r="L292" s="103"/>
      <c r="M292" s="108"/>
      <c r="N292" s="9"/>
    </row>
    <row r="293" spans="1:14" ht="13.95" customHeight="1">
      <c r="A293" s="16"/>
      <c r="B293" s="12" t="s">
        <v>193</v>
      </c>
      <c r="C293" s="70" t="s">
        <v>164</v>
      </c>
      <c r="D293" s="12"/>
      <c r="E293" s="94"/>
      <c r="F293" s="14"/>
      <c r="G293" s="15"/>
      <c r="I293" s="9"/>
      <c r="J293" s="9"/>
      <c r="K293" s="9"/>
      <c r="L293" s="103"/>
      <c r="M293" s="108"/>
      <c r="N293" s="9"/>
    </row>
    <row r="294" spans="1:14" ht="13.95" customHeight="1">
      <c r="A294" s="16"/>
      <c r="B294" s="73"/>
      <c r="C294" s="62"/>
      <c r="D294" s="12"/>
      <c r="E294" s="94"/>
      <c r="F294" s="14"/>
      <c r="G294" s="15"/>
      <c r="I294" s="9"/>
      <c r="J294" s="9"/>
      <c r="K294" s="9"/>
      <c r="L294" s="103"/>
      <c r="M294" s="108"/>
      <c r="N294" s="9"/>
    </row>
    <row r="295" spans="1:14" ht="13.95" customHeight="1">
      <c r="A295" s="16">
        <v>50</v>
      </c>
      <c r="B295" s="73"/>
      <c r="C295" s="75" t="s">
        <v>112</v>
      </c>
      <c r="D295" s="12" t="s">
        <v>60</v>
      </c>
      <c r="E295" s="3">
        <f>SUM(I295:N295)</f>
        <v>0</v>
      </c>
      <c r="F295" s="13">
        <v>890</v>
      </c>
      <c r="G295" s="15">
        <f>+E295*F295</f>
        <v>0</v>
      </c>
      <c r="I295" s="9"/>
      <c r="J295" s="9"/>
      <c r="K295" s="9"/>
      <c r="L295" s="103"/>
      <c r="M295" s="108"/>
      <c r="N295" s="9"/>
    </row>
    <row r="296" spans="1:14" ht="13.95" customHeight="1">
      <c r="A296" s="16"/>
      <c r="B296" s="73"/>
      <c r="C296" s="62"/>
      <c r="D296" s="12"/>
      <c r="E296" s="94"/>
      <c r="F296" s="14"/>
      <c r="G296" s="15"/>
      <c r="I296" s="9"/>
      <c r="J296" s="9"/>
      <c r="K296" s="9"/>
      <c r="L296" s="103"/>
      <c r="M296" s="108"/>
      <c r="N296" s="9"/>
    </row>
    <row r="297" spans="1:14" ht="13.95" customHeight="1">
      <c r="A297" s="16"/>
      <c r="B297" s="12" t="s">
        <v>195</v>
      </c>
      <c r="C297" s="70" t="s">
        <v>194</v>
      </c>
      <c r="D297" s="12"/>
      <c r="E297" s="94"/>
      <c r="F297" s="14"/>
      <c r="G297" s="15"/>
      <c r="I297" s="9"/>
      <c r="J297" s="9"/>
      <c r="K297" s="9"/>
      <c r="L297" s="103"/>
      <c r="M297" s="108"/>
      <c r="N297" s="9"/>
    </row>
    <row r="298" spans="1:14" ht="13.95" customHeight="1">
      <c r="A298" s="16"/>
      <c r="B298" s="73"/>
      <c r="C298" s="62"/>
      <c r="D298" s="12"/>
      <c r="E298" s="94"/>
      <c r="F298" s="14"/>
      <c r="G298" s="15"/>
      <c r="I298" s="9"/>
      <c r="J298" s="9"/>
      <c r="K298" s="9"/>
      <c r="L298" s="103"/>
      <c r="M298" s="108"/>
      <c r="N298" s="9"/>
    </row>
    <row r="299" spans="1:14" ht="13.95" customHeight="1">
      <c r="A299" s="16">
        <v>51</v>
      </c>
      <c r="B299" s="73"/>
      <c r="C299" s="75" t="s">
        <v>165</v>
      </c>
      <c r="D299" s="12" t="s">
        <v>60</v>
      </c>
      <c r="E299" s="3">
        <f>SUM(I299:N299)</f>
        <v>0</v>
      </c>
      <c r="F299" s="14">
        <v>325</v>
      </c>
      <c r="G299" s="15">
        <f t="shared" ref="G299" si="60">+E299*F299</f>
        <v>0</v>
      </c>
      <c r="I299" s="9"/>
      <c r="J299" s="9"/>
      <c r="K299" s="9"/>
      <c r="L299" s="103"/>
      <c r="M299" s="108"/>
      <c r="N299" s="9"/>
    </row>
    <row r="300" spans="1:14" ht="13.95" customHeight="1">
      <c r="A300" s="16"/>
      <c r="B300" s="12"/>
      <c r="C300" s="75"/>
      <c r="D300" s="93"/>
      <c r="E300" s="94"/>
      <c r="F300" s="14"/>
      <c r="G300" s="15"/>
      <c r="I300" s="9"/>
      <c r="J300" s="9"/>
      <c r="K300" s="9"/>
      <c r="L300" s="103"/>
      <c r="M300" s="108"/>
      <c r="N300" s="9"/>
    </row>
    <row r="301" spans="1:14" ht="24">
      <c r="A301" s="16"/>
      <c r="B301" s="76" t="s">
        <v>169</v>
      </c>
      <c r="C301" s="46" t="s">
        <v>216</v>
      </c>
      <c r="D301" s="12"/>
      <c r="E301" s="12"/>
      <c r="F301" s="145"/>
      <c r="G301" s="15"/>
      <c r="I301" s="9"/>
      <c r="J301" s="9"/>
      <c r="K301" s="9"/>
      <c r="L301" s="103"/>
      <c r="M301" s="108"/>
      <c r="N301" s="9"/>
    </row>
    <row r="302" spans="1:14" ht="13.95" customHeight="1">
      <c r="A302" s="16"/>
      <c r="B302" s="76"/>
      <c r="C302" s="75"/>
      <c r="D302" s="12"/>
      <c r="E302" s="12"/>
      <c r="F302" s="145"/>
      <c r="G302" s="15"/>
      <c r="I302" s="9"/>
      <c r="J302" s="9"/>
      <c r="K302" s="9"/>
      <c r="L302" s="103"/>
      <c r="M302" s="108"/>
      <c r="N302" s="9"/>
    </row>
    <row r="303" spans="1:14" ht="13.95" customHeight="1">
      <c r="A303" s="16"/>
      <c r="B303" s="76" t="s">
        <v>169</v>
      </c>
      <c r="C303" s="75" t="s">
        <v>170</v>
      </c>
      <c r="D303" s="12"/>
      <c r="E303" s="12"/>
      <c r="F303" s="145"/>
      <c r="G303" s="15"/>
      <c r="I303" s="9"/>
      <c r="J303" s="9"/>
      <c r="K303" s="9"/>
      <c r="L303" s="103"/>
      <c r="M303" s="108"/>
      <c r="N303" s="9"/>
    </row>
    <row r="304" spans="1:14" ht="13.95" customHeight="1">
      <c r="A304" s="16"/>
      <c r="B304" s="76"/>
      <c r="C304" s="75"/>
      <c r="D304" s="12"/>
      <c r="E304" s="12"/>
      <c r="F304" s="145"/>
      <c r="G304" s="15"/>
      <c r="I304" s="9"/>
      <c r="J304" s="9"/>
      <c r="K304" s="9"/>
      <c r="L304" s="103"/>
      <c r="M304" s="108"/>
      <c r="N304" s="9"/>
    </row>
    <row r="305" spans="1:15" ht="13.95" customHeight="1">
      <c r="A305" s="16">
        <v>52</v>
      </c>
      <c r="B305" s="76" t="s">
        <v>171</v>
      </c>
      <c r="C305" s="75" t="s">
        <v>172</v>
      </c>
      <c r="D305" s="12" t="s">
        <v>60</v>
      </c>
      <c r="E305" s="3">
        <f>SUM(I305:N305)</f>
        <v>0</v>
      </c>
      <c r="F305" s="94">
        <v>275</v>
      </c>
      <c r="G305" s="15">
        <f t="shared" ref="G305:G313" si="61">+E305*F305</f>
        <v>0</v>
      </c>
      <c r="I305" s="9"/>
      <c r="J305" s="9"/>
      <c r="K305" s="9"/>
      <c r="L305" s="103"/>
      <c r="M305" s="108"/>
      <c r="N305" s="9"/>
    </row>
    <row r="306" spans="1:15" ht="13.95" customHeight="1">
      <c r="A306" s="16"/>
      <c r="B306" s="12"/>
      <c r="C306" s="75"/>
      <c r="D306" s="93"/>
      <c r="E306" s="94"/>
      <c r="F306" s="14"/>
      <c r="G306" s="15"/>
      <c r="I306" s="9"/>
      <c r="J306" s="9"/>
      <c r="K306" s="9"/>
      <c r="L306" s="103"/>
      <c r="M306" s="108"/>
      <c r="N306" s="9"/>
    </row>
    <row r="307" spans="1:15" ht="13.95" customHeight="1">
      <c r="A307" s="16"/>
      <c r="B307" s="12" t="s">
        <v>102</v>
      </c>
      <c r="C307" s="74" t="s">
        <v>166</v>
      </c>
      <c r="D307" s="12"/>
      <c r="E307" s="94"/>
      <c r="F307" s="14"/>
      <c r="G307" s="15"/>
      <c r="I307" s="9"/>
      <c r="J307" s="9"/>
      <c r="K307" s="9"/>
      <c r="L307" s="103"/>
      <c r="M307" s="108"/>
      <c r="N307" s="9"/>
    </row>
    <row r="308" spans="1:15" ht="13.95" customHeight="1">
      <c r="A308" s="16"/>
      <c r="B308" s="12"/>
      <c r="C308" s="95"/>
      <c r="D308" s="12"/>
      <c r="E308" s="94"/>
      <c r="F308" s="14"/>
      <c r="G308" s="15"/>
      <c r="I308" s="9"/>
      <c r="J308" s="9"/>
      <c r="K308" s="103"/>
      <c r="L308" s="103"/>
      <c r="M308" s="108"/>
      <c r="N308" s="9"/>
    </row>
    <row r="309" spans="1:15" ht="13.95" customHeight="1">
      <c r="A309" s="16"/>
      <c r="B309" s="12"/>
      <c r="C309" s="75" t="s">
        <v>78</v>
      </c>
      <c r="D309" s="12"/>
      <c r="E309" s="94"/>
      <c r="F309" s="14"/>
      <c r="G309" s="15"/>
      <c r="I309" s="103"/>
      <c r="J309" s="103"/>
      <c r="K309" s="103"/>
      <c r="L309" s="103"/>
      <c r="M309" s="134"/>
      <c r="N309" s="9"/>
    </row>
    <row r="310" spans="1:15" ht="13.95" customHeight="1">
      <c r="A310" s="16"/>
      <c r="B310" s="12"/>
      <c r="C310" s="75"/>
      <c r="D310" s="12"/>
      <c r="E310" s="94"/>
      <c r="F310" s="14"/>
      <c r="G310" s="15"/>
      <c r="I310" s="103"/>
      <c r="J310" s="103"/>
      <c r="K310" s="103"/>
      <c r="L310" s="103"/>
      <c r="M310" s="134"/>
      <c r="N310" s="9"/>
    </row>
    <row r="311" spans="1:15" ht="36">
      <c r="A311" s="16">
        <v>53</v>
      </c>
      <c r="B311" s="12"/>
      <c r="C311" s="47" t="s">
        <v>203</v>
      </c>
      <c r="D311" s="12" t="s">
        <v>6</v>
      </c>
      <c r="E311" s="3">
        <f>SUM(I311:N311)</f>
        <v>0</v>
      </c>
      <c r="F311" s="13">
        <v>16000</v>
      </c>
      <c r="G311" s="15">
        <f t="shared" si="61"/>
        <v>0</v>
      </c>
      <c r="I311" s="103"/>
      <c r="J311" s="103"/>
      <c r="K311" s="103"/>
      <c r="L311" s="103"/>
      <c r="M311" s="134"/>
      <c r="N311" s="103"/>
      <c r="O311" s="41"/>
    </row>
    <row r="312" spans="1:15" ht="13.95" customHeight="1">
      <c r="A312" s="16"/>
      <c r="B312" s="12"/>
      <c r="C312" s="75"/>
      <c r="D312" s="93"/>
      <c r="E312" s="94"/>
      <c r="F312" s="13"/>
      <c r="G312" s="15"/>
      <c r="I312" s="103"/>
      <c r="J312" s="103"/>
      <c r="K312" s="103"/>
      <c r="L312" s="103"/>
      <c r="M312" s="134"/>
      <c r="N312" s="103"/>
      <c r="O312" s="41"/>
    </row>
    <row r="313" spans="1:15" ht="36">
      <c r="A313" s="16">
        <v>54</v>
      </c>
      <c r="B313" s="12"/>
      <c r="C313" s="47" t="s">
        <v>286</v>
      </c>
      <c r="D313" s="12" t="s">
        <v>6</v>
      </c>
      <c r="E313" s="3">
        <f>SUM(I313:N313)</f>
        <v>0</v>
      </c>
      <c r="F313" s="13">
        <v>65000</v>
      </c>
      <c r="G313" s="15">
        <f t="shared" si="61"/>
        <v>0</v>
      </c>
      <c r="I313" s="103"/>
      <c r="J313" s="103"/>
      <c r="K313" s="103"/>
      <c r="L313" s="103"/>
      <c r="M313" s="134"/>
      <c r="N313" s="103"/>
      <c r="O313" s="41"/>
    </row>
    <row r="314" spans="1:15" ht="13.95" customHeight="1">
      <c r="A314" s="16"/>
      <c r="B314" s="12"/>
      <c r="C314" s="75"/>
      <c r="D314" s="93"/>
      <c r="E314" s="3"/>
      <c r="F314" s="13"/>
      <c r="G314" s="15"/>
      <c r="I314" s="103"/>
      <c r="J314" s="103"/>
      <c r="K314" s="103"/>
      <c r="L314" s="103"/>
      <c r="M314" s="134"/>
      <c r="N314" s="103"/>
      <c r="O314" s="41"/>
    </row>
    <row r="315" spans="1:15" ht="13.95" customHeight="1">
      <c r="A315" s="16"/>
      <c r="B315" s="12"/>
      <c r="C315" s="75"/>
      <c r="D315" s="93"/>
      <c r="E315" s="3"/>
      <c r="F315" s="13"/>
      <c r="G315" s="15"/>
      <c r="I315" s="103"/>
      <c r="J315" s="103"/>
      <c r="K315" s="103"/>
      <c r="L315" s="103"/>
      <c r="M315" s="134"/>
      <c r="N315" s="103"/>
      <c r="O315" s="41"/>
    </row>
    <row r="316" spans="1:15" ht="13.95" customHeight="1">
      <c r="A316" s="16"/>
      <c r="B316" s="12"/>
      <c r="C316" s="75"/>
      <c r="D316" s="93"/>
      <c r="E316" s="3"/>
      <c r="F316" s="13"/>
      <c r="G316" s="15"/>
      <c r="I316" s="103"/>
      <c r="J316" s="103"/>
      <c r="K316" s="103"/>
      <c r="L316" s="103"/>
      <c r="M316" s="134"/>
      <c r="N316" s="103"/>
      <c r="O316" s="41"/>
    </row>
    <row r="317" spans="1:15" ht="13.95" customHeight="1">
      <c r="A317" s="16"/>
      <c r="B317" s="12"/>
      <c r="C317" s="75"/>
      <c r="D317" s="93"/>
      <c r="E317" s="3"/>
      <c r="F317" s="13"/>
      <c r="G317" s="15"/>
      <c r="I317" s="103"/>
      <c r="J317" s="103"/>
      <c r="K317" s="103"/>
      <c r="L317" s="103"/>
      <c r="M317" s="134"/>
      <c r="N317" s="103"/>
      <c r="O317" s="41"/>
    </row>
    <row r="318" spans="1:15" ht="13.95" customHeight="1">
      <c r="A318" s="16"/>
      <c r="B318" s="12"/>
      <c r="C318" s="75"/>
      <c r="D318" s="93"/>
      <c r="E318" s="3"/>
      <c r="F318" s="13"/>
      <c r="G318" s="15"/>
      <c r="I318" s="103"/>
      <c r="J318" s="103"/>
      <c r="K318" s="103"/>
      <c r="L318" s="103"/>
      <c r="M318" s="134"/>
      <c r="N318" s="103"/>
      <c r="O318" s="41"/>
    </row>
    <row r="319" spans="1:15" ht="13.95" customHeight="1">
      <c r="A319" s="16"/>
      <c r="B319" s="12"/>
      <c r="C319" s="75"/>
      <c r="D319" s="93"/>
      <c r="E319" s="3"/>
      <c r="F319" s="13"/>
      <c r="G319" s="15"/>
      <c r="I319" s="103"/>
      <c r="J319" s="103"/>
      <c r="K319" s="103"/>
      <c r="L319" s="103"/>
      <c r="M319" s="134"/>
      <c r="N319" s="103"/>
      <c r="O319" s="41"/>
    </row>
    <row r="320" spans="1:15" ht="13.95" customHeight="1">
      <c r="A320" s="16"/>
      <c r="B320" s="12"/>
      <c r="C320" s="75"/>
      <c r="D320" s="93"/>
      <c r="E320" s="3"/>
      <c r="F320" s="13"/>
      <c r="G320" s="15"/>
      <c r="I320" s="103"/>
      <c r="J320" s="103"/>
      <c r="K320" s="103"/>
      <c r="L320" s="103"/>
      <c r="M320" s="134"/>
      <c r="N320" s="103"/>
      <c r="O320" s="41"/>
    </row>
    <row r="321" spans="1:15" ht="13.95" customHeight="1">
      <c r="A321" s="16"/>
      <c r="B321" s="12"/>
      <c r="C321" s="75"/>
      <c r="D321" s="93"/>
      <c r="E321" s="3"/>
      <c r="F321" s="13"/>
      <c r="G321" s="15"/>
      <c r="I321" s="103"/>
      <c r="J321" s="103"/>
      <c r="K321" s="103"/>
      <c r="L321" s="103"/>
      <c r="M321" s="134"/>
      <c r="N321" s="103"/>
      <c r="O321" s="41"/>
    </row>
    <row r="322" spans="1:15" ht="13.95" customHeight="1">
      <c r="A322" s="16"/>
      <c r="B322" s="12"/>
      <c r="C322" s="75"/>
      <c r="D322" s="93"/>
      <c r="E322" s="3"/>
      <c r="F322" s="13"/>
      <c r="G322" s="15"/>
      <c r="I322" s="103"/>
      <c r="J322" s="103"/>
      <c r="K322" s="103"/>
      <c r="L322" s="103"/>
      <c r="M322" s="134"/>
      <c r="N322" s="103"/>
      <c r="O322" s="41"/>
    </row>
    <row r="323" spans="1:15" ht="13.95" customHeight="1">
      <c r="A323" s="16"/>
      <c r="B323" s="12"/>
      <c r="C323" s="75"/>
      <c r="D323" s="93"/>
      <c r="E323" s="3"/>
      <c r="F323" s="13"/>
      <c r="G323" s="15"/>
      <c r="I323" s="103"/>
      <c r="J323" s="103"/>
      <c r="K323" s="103"/>
      <c r="L323" s="103"/>
      <c r="M323" s="134"/>
      <c r="N323" s="103"/>
      <c r="O323" s="41"/>
    </row>
    <row r="324" spans="1:15" ht="13.95" customHeight="1">
      <c r="A324" s="16"/>
      <c r="B324" s="12"/>
      <c r="C324" s="75"/>
      <c r="D324" s="93"/>
      <c r="E324" s="3"/>
      <c r="F324" s="13"/>
      <c r="G324" s="15"/>
      <c r="I324" s="103"/>
      <c r="J324" s="103"/>
      <c r="K324" s="103"/>
      <c r="L324" s="103"/>
      <c r="M324" s="134"/>
      <c r="N324" s="103"/>
      <c r="O324" s="41"/>
    </row>
    <row r="325" spans="1:15" ht="13.95" customHeight="1">
      <c r="A325" s="16"/>
      <c r="B325" s="12"/>
      <c r="C325" s="75"/>
      <c r="D325" s="93"/>
      <c r="E325" s="3"/>
      <c r="F325" s="13"/>
      <c r="G325" s="15"/>
      <c r="I325" s="103"/>
      <c r="J325" s="103"/>
      <c r="K325" s="103"/>
      <c r="L325" s="103"/>
      <c r="M325" s="134"/>
      <c r="N325" s="103"/>
      <c r="O325" s="41"/>
    </row>
    <row r="326" spans="1:15" ht="13.95" customHeight="1">
      <c r="A326" s="16"/>
      <c r="B326" s="12"/>
      <c r="C326" s="75"/>
      <c r="D326" s="93"/>
      <c r="E326" s="3"/>
      <c r="F326" s="13"/>
      <c r="G326" s="15"/>
      <c r="I326" s="103"/>
      <c r="J326" s="103"/>
      <c r="K326" s="103"/>
      <c r="L326" s="103"/>
      <c r="M326" s="134"/>
      <c r="N326" s="103"/>
      <c r="O326" s="41"/>
    </row>
    <row r="327" spans="1:15" ht="13.95" customHeight="1">
      <c r="A327" s="16"/>
      <c r="B327" s="12"/>
      <c r="C327" s="75"/>
      <c r="D327" s="93"/>
      <c r="E327" s="3"/>
      <c r="F327" s="13"/>
      <c r="G327" s="15"/>
      <c r="I327" s="103"/>
      <c r="J327" s="103"/>
      <c r="K327" s="103"/>
      <c r="L327" s="103"/>
      <c r="M327" s="134"/>
      <c r="N327" s="103"/>
      <c r="O327" s="41"/>
    </row>
    <row r="328" spans="1:15" ht="13.95" customHeight="1">
      <c r="A328" s="16"/>
      <c r="B328" s="12"/>
      <c r="C328" s="75"/>
      <c r="D328" s="93"/>
      <c r="E328" s="3"/>
      <c r="F328" s="13"/>
      <c r="G328" s="15"/>
      <c r="I328" s="103"/>
      <c r="J328" s="103"/>
      <c r="K328" s="103"/>
      <c r="L328" s="103"/>
      <c r="M328" s="134"/>
      <c r="N328" s="103"/>
      <c r="O328" s="41"/>
    </row>
    <row r="329" spans="1:15" ht="13.95" customHeight="1">
      <c r="A329" s="16"/>
      <c r="B329" s="12"/>
      <c r="C329" s="75"/>
      <c r="D329" s="93"/>
      <c r="E329" s="3"/>
      <c r="F329" s="13"/>
      <c r="G329" s="15"/>
      <c r="I329" s="103"/>
      <c r="J329" s="103"/>
      <c r="K329" s="103"/>
      <c r="L329" s="103"/>
      <c r="M329" s="134"/>
      <c r="N329" s="103"/>
      <c r="O329" s="41"/>
    </row>
    <row r="330" spans="1:15" ht="13.95" customHeight="1">
      <c r="A330" s="16"/>
      <c r="B330" s="12"/>
      <c r="C330" s="75"/>
      <c r="D330" s="93"/>
      <c r="E330" s="3"/>
      <c r="F330" s="13"/>
      <c r="G330" s="15"/>
      <c r="I330" s="103"/>
      <c r="J330" s="103"/>
      <c r="K330" s="103"/>
      <c r="L330" s="103"/>
      <c r="M330" s="134"/>
      <c r="N330" s="103"/>
      <c r="O330" s="41"/>
    </row>
    <row r="331" spans="1:15" ht="13.95" customHeight="1">
      <c r="A331" s="16"/>
      <c r="B331" s="16"/>
      <c r="C331" s="47"/>
      <c r="D331" s="58"/>
      <c r="E331" s="13"/>
      <c r="F331" s="14"/>
      <c r="G331" s="15"/>
      <c r="I331" s="105"/>
      <c r="J331" s="105"/>
      <c r="K331" s="105"/>
      <c r="L331" s="105"/>
      <c r="M331" s="135"/>
      <c r="N331" s="53"/>
      <c r="O331" s="41"/>
    </row>
    <row r="332" spans="1:15">
      <c r="A332" s="16"/>
      <c r="B332" s="16"/>
      <c r="C332" s="47"/>
      <c r="D332" s="58"/>
      <c r="E332" s="13"/>
      <c r="F332" s="14"/>
      <c r="G332" s="15"/>
    </row>
    <row r="333" spans="1:15">
      <c r="A333" s="16"/>
      <c r="B333" s="16"/>
      <c r="C333" s="47"/>
      <c r="D333" s="58"/>
      <c r="E333" s="13"/>
      <c r="F333" s="14"/>
      <c r="G333" s="15"/>
    </row>
    <row r="334" spans="1:15">
      <c r="A334" s="16"/>
      <c r="B334" s="16"/>
      <c r="C334" s="47"/>
      <c r="D334" s="58"/>
      <c r="E334" s="13"/>
      <c r="F334" s="14"/>
      <c r="G334" s="15"/>
    </row>
    <row r="335" spans="1:15" ht="20.399999999999999" customHeight="1">
      <c r="A335" s="156" t="s">
        <v>161</v>
      </c>
      <c r="B335" s="157"/>
      <c r="C335" s="157"/>
      <c r="D335" s="157"/>
      <c r="E335" s="157"/>
      <c r="F335" s="158"/>
      <c r="G335" s="78">
        <f>SUM(G289:G334)</f>
        <v>129518</v>
      </c>
    </row>
  </sheetData>
  <mergeCells count="13">
    <mergeCell ref="A152:F152"/>
    <mergeCell ref="A48:F48"/>
    <mergeCell ref="A52:F52"/>
    <mergeCell ref="A96:F96"/>
    <mergeCell ref="A100:F100"/>
    <mergeCell ref="A148:F148"/>
    <mergeCell ref="A335:F335"/>
    <mergeCell ref="A198:F198"/>
    <mergeCell ref="A202:F202"/>
    <mergeCell ref="A242:F242"/>
    <mergeCell ref="A246:F246"/>
    <mergeCell ref="A285:F285"/>
    <mergeCell ref="A289:F289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7F42C-6786-4ACA-A9F0-28BDA7172B0E}">
  <dimension ref="A1:O335"/>
  <sheetViews>
    <sheetView showGridLines="0" view="pageBreakPreview" topLeftCell="A32" zoomScaleNormal="100" zoomScaleSheetLayoutView="100" workbookViewId="0">
      <selection activeCell="I32" sqref="I1:O1048576"/>
    </sheetView>
  </sheetViews>
  <sheetFormatPr defaultColWidth="13.109375" defaultRowHeight="12"/>
  <cols>
    <col min="1" max="1" width="4.88671875" style="22" customWidth="1"/>
    <col min="2" max="2" width="8.33203125" style="20" customWidth="1"/>
    <col min="3" max="3" width="40.6640625" style="21" customWidth="1"/>
    <col min="4" max="4" width="5.109375" style="22" customWidth="1"/>
    <col min="5" max="5" width="7.6640625" style="22" customWidth="1"/>
    <col min="6" max="6" width="8.6640625" style="23" customWidth="1"/>
    <col min="7" max="7" width="11.6640625" style="24" customWidth="1"/>
    <col min="8" max="8" width="4.33203125" style="6" customWidth="1"/>
    <col min="9" max="9" width="11.33203125" style="22" hidden="1" customWidth="1"/>
    <col min="10" max="10" width="11.109375" style="22" hidden="1" customWidth="1"/>
    <col min="11" max="11" width="10.88671875" style="22" hidden="1" customWidth="1"/>
    <col min="12" max="12" width="11.6640625" style="22" hidden="1" customWidth="1"/>
    <col min="13" max="13" width="13.109375" style="106" hidden="1" customWidth="1"/>
    <col min="14" max="14" width="0" style="22" hidden="1" customWidth="1"/>
    <col min="15" max="15" width="0" style="6" hidden="1" customWidth="1"/>
    <col min="16" max="16384" width="13.109375" style="6"/>
  </cols>
  <sheetData>
    <row r="1" spans="1:14" ht="20.399999999999999" hidden="1" customHeight="1">
      <c r="A1" s="19" t="s">
        <v>80</v>
      </c>
    </row>
    <row r="2" spans="1:14" ht="15" customHeight="1">
      <c r="A2" s="142" t="str">
        <f>Summary!A2</f>
        <v>NAFASI WATER - ARNOT WASTE TREATMENT PLANT</v>
      </c>
      <c r="G2" s="25" t="str">
        <f>Summary!C2</f>
        <v>Revision T1</v>
      </c>
    </row>
    <row r="3" spans="1:14" ht="15" customHeight="1">
      <c r="A3" s="19" t="str">
        <f>Summary!A3</f>
        <v>PILING AND CIVIL WORK</v>
      </c>
      <c r="G3" s="26"/>
    </row>
    <row r="4" spans="1:14" ht="15" customHeight="1">
      <c r="A4" s="19" t="s">
        <v>270</v>
      </c>
      <c r="G4" s="143">
        <f>Summary!C4</f>
        <v>45183</v>
      </c>
    </row>
    <row r="5" spans="1:14" ht="15" customHeight="1">
      <c r="A5" s="27"/>
      <c r="B5" s="28"/>
      <c r="C5" s="28"/>
      <c r="E5" s="29"/>
      <c r="G5" s="30"/>
    </row>
    <row r="6" spans="1:14" s="42" customFormat="1" ht="37.200000000000003" customHeight="1">
      <c r="A6" s="44" t="s">
        <v>8</v>
      </c>
      <c r="B6" s="48" t="s">
        <v>9</v>
      </c>
      <c r="C6" s="44" t="s">
        <v>10</v>
      </c>
      <c r="D6" s="48" t="s">
        <v>11</v>
      </c>
      <c r="E6" s="48" t="s">
        <v>59</v>
      </c>
      <c r="F6" s="49" t="s">
        <v>12</v>
      </c>
      <c r="G6" s="49" t="s">
        <v>13</v>
      </c>
      <c r="I6" s="100" t="s">
        <v>265</v>
      </c>
      <c r="J6" s="100" t="s">
        <v>245</v>
      </c>
      <c r="K6" s="100" t="s">
        <v>257</v>
      </c>
      <c r="L6" s="101" t="s">
        <v>272</v>
      </c>
      <c r="M6" s="100"/>
      <c r="N6" s="48"/>
    </row>
    <row r="7" spans="1:14" s="42" customFormat="1" ht="4.95" customHeight="1">
      <c r="A7" s="2"/>
      <c r="B7" s="40"/>
      <c r="C7" s="50"/>
      <c r="D7" s="40"/>
      <c r="E7" s="40"/>
      <c r="F7" s="54"/>
      <c r="G7" s="54"/>
      <c r="I7" s="40"/>
      <c r="J7" s="40"/>
      <c r="K7" s="40"/>
      <c r="L7" s="102"/>
      <c r="M7" s="107"/>
      <c r="N7" s="109"/>
    </row>
    <row r="8" spans="1:14" ht="19.2" customHeight="1">
      <c r="A8" s="1"/>
      <c r="B8" s="2"/>
      <c r="C8" s="11" t="s">
        <v>271</v>
      </c>
      <c r="D8" s="1"/>
      <c r="E8" s="1"/>
      <c r="F8" s="4"/>
      <c r="G8" s="5"/>
      <c r="I8" s="9"/>
      <c r="J8" s="9"/>
      <c r="K8" s="9"/>
      <c r="L8" s="103"/>
      <c r="M8" s="108"/>
      <c r="N8" s="9"/>
    </row>
    <row r="9" spans="1:14" ht="10.95" customHeight="1">
      <c r="A9" s="1"/>
      <c r="B9" s="2"/>
      <c r="C9" s="11"/>
      <c r="D9" s="1"/>
      <c r="E9" s="1"/>
      <c r="F9" s="4"/>
      <c r="G9" s="5"/>
      <c r="I9" s="9"/>
      <c r="J9" s="9"/>
      <c r="K9" s="9"/>
      <c r="L9" s="103"/>
      <c r="M9" s="108"/>
      <c r="N9" s="9"/>
    </row>
    <row r="10" spans="1:14" ht="22.2" customHeight="1">
      <c r="A10" s="1"/>
      <c r="B10" s="1" t="s">
        <v>22</v>
      </c>
      <c r="C10" s="34" t="s">
        <v>69</v>
      </c>
      <c r="D10" s="1"/>
      <c r="E10" s="3" t="str">
        <f>IF(SUM(H10:M10)&gt;0,SUM(H10:M10),"")</f>
        <v/>
      </c>
      <c r="F10" s="4"/>
      <c r="G10" s="5"/>
      <c r="I10" s="9"/>
      <c r="J10" s="9"/>
      <c r="K10" s="9"/>
      <c r="L10" s="103"/>
      <c r="M10" s="108"/>
      <c r="N10" s="9"/>
    </row>
    <row r="11" spans="1:14" ht="13.95" customHeight="1">
      <c r="A11" s="1"/>
      <c r="B11" s="1"/>
      <c r="C11" s="34"/>
      <c r="D11" s="1"/>
      <c r="E11" s="3" t="str">
        <f>IF(SUM(H11:M11)&gt;0,SUM(H11:M11),"")</f>
        <v/>
      </c>
      <c r="F11" s="4"/>
      <c r="G11" s="5"/>
      <c r="I11" s="9"/>
      <c r="J11" s="9"/>
      <c r="K11" s="9"/>
      <c r="L11" s="103"/>
      <c r="M11" s="108"/>
      <c r="N11" s="9"/>
    </row>
    <row r="12" spans="1:14" ht="13.95" customHeight="1">
      <c r="A12" s="1"/>
      <c r="B12" s="1"/>
      <c r="C12" s="32" t="s">
        <v>55</v>
      </c>
      <c r="D12" s="1"/>
      <c r="E12" s="3" t="str">
        <f>IF(SUM(H12:M12)&gt;0,SUM(H12:M12),"")</f>
        <v/>
      </c>
      <c r="F12" s="4"/>
      <c r="G12" s="5"/>
      <c r="I12" s="9"/>
      <c r="J12" s="9"/>
      <c r="K12" s="9"/>
      <c r="L12" s="103"/>
      <c r="M12" s="108"/>
      <c r="N12" s="9"/>
    </row>
    <row r="13" spans="1:14" ht="13.95" customHeight="1">
      <c r="A13" s="1"/>
      <c r="B13" s="1"/>
      <c r="C13" s="32"/>
      <c r="D13" s="1"/>
      <c r="E13" s="3" t="str">
        <f>IF(SUM(H13:M13)&gt;0,SUM(H13:M13),"")</f>
        <v/>
      </c>
      <c r="F13" s="4"/>
      <c r="G13" s="5"/>
      <c r="I13" s="9"/>
      <c r="J13" s="9"/>
      <c r="K13" s="9"/>
      <c r="L13" s="103"/>
      <c r="M13" s="108"/>
      <c r="N13" s="9"/>
    </row>
    <row r="14" spans="1:14" ht="22.2" customHeight="1">
      <c r="A14" s="1">
        <v>1</v>
      </c>
      <c r="B14" s="1"/>
      <c r="C14" s="33" t="s">
        <v>218</v>
      </c>
      <c r="D14" s="1" t="s">
        <v>6</v>
      </c>
      <c r="E14" s="3">
        <f>SUM(I14:N14)</f>
        <v>0</v>
      </c>
      <c r="F14" s="13">
        <v>1150</v>
      </c>
      <c r="G14" s="5">
        <f t="shared" ref="G14" si="0">+E14*F14</f>
        <v>0</v>
      </c>
      <c r="I14" s="137">
        <v>0</v>
      </c>
      <c r="J14" s="137">
        <v>0</v>
      </c>
      <c r="K14" s="137">
        <v>0</v>
      </c>
      <c r="L14" s="137">
        <v>0</v>
      </c>
      <c r="M14" s="137">
        <v>0</v>
      </c>
      <c r="N14" s="137">
        <v>0</v>
      </c>
    </row>
    <row r="15" spans="1:14" ht="13.95" customHeight="1">
      <c r="A15" s="1"/>
      <c r="B15" s="1"/>
      <c r="C15" s="32"/>
      <c r="D15" s="1"/>
      <c r="E15" s="3"/>
      <c r="F15" s="14"/>
      <c r="G15" s="5"/>
      <c r="I15" s="13"/>
      <c r="J15" s="13"/>
      <c r="K15" s="13"/>
      <c r="L15" s="13"/>
      <c r="M15" s="13"/>
      <c r="N15" s="13"/>
    </row>
    <row r="16" spans="1:14" ht="13.95" customHeight="1">
      <c r="A16" s="1"/>
      <c r="B16" s="1"/>
      <c r="C16" s="32" t="s">
        <v>221</v>
      </c>
      <c r="D16" s="1"/>
      <c r="E16" s="3"/>
      <c r="F16" s="14"/>
      <c r="G16" s="5"/>
      <c r="I16" s="13"/>
      <c r="J16" s="13"/>
      <c r="K16" s="13"/>
      <c r="L16" s="13"/>
      <c r="M16" s="13"/>
      <c r="N16" s="13"/>
    </row>
    <row r="17" spans="1:14" ht="34.950000000000003" customHeight="1">
      <c r="A17" s="1"/>
      <c r="B17" s="1"/>
      <c r="C17" s="33" t="s">
        <v>219</v>
      </c>
      <c r="D17" s="1"/>
      <c r="E17" s="3"/>
      <c r="F17" s="14"/>
      <c r="G17" s="5"/>
      <c r="I17" s="13"/>
      <c r="J17" s="13"/>
      <c r="K17" s="13"/>
      <c r="L17" s="13"/>
      <c r="M17" s="13"/>
      <c r="N17" s="13"/>
    </row>
    <row r="18" spans="1:14" ht="10.95" customHeight="1">
      <c r="A18" s="1"/>
      <c r="B18" s="1"/>
      <c r="C18" s="32"/>
      <c r="D18" s="1"/>
      <c r="E18" s="3"/>
      <c r="F18" s="13"/>
      <c r="G18" s="5"/>
      <c r="I18" s="13"/>
      <c r="J18" s="13"/>
      <c r="K18" s="13"/>
      <c r="L18" s="13"/>
      <c r="M18" s="13"/>
      <c r="N18" s="13"/>
    </row>
    <row r="19" spans="1:14" ht="13.2" customHeight="1">
      <c r="A19" s="1">
        <v>2</v>
      </c>
      <c r="B19" s="1"/>
      <c r="C19" s="33" t="s">
        <v>33</v>
      </c>
      <c r="D19" s="1" t="s">
        <v>1</v>
      </c>
      <c r="E19" s="3">
        <f>SUM(I19:N19)</f>
        <v>0</v>
      </c>
      <c r="F19" s="13">
        <v>1850</v>
      </c>
      <c r="G19" s="5">
        <f t="shared" ref="G19" si="1">+E19*F19</f>
        <v>0</v>
      </c>
      <c r="I19" s="138">
        <f t="shared" ref="I19:N19" si="2">I14*10</f>
        <v>0</v>
      </c>
      <c r="J19" s="138">
        <f t="shared" si="2"/>
        <v>0</v>
      </c>
      <c r="K19" s="138">
        <f t="shared" si="2"/>
        <v>0</v>
      </c>
      <c r="L19" s="138">
        <f t="shared" si="2"/>
        <v>0</v>
      </c>
      <c r="M19" s="138">
        <f t="shared" si="2"/>
        <v>0</v>
      </c>
      <c r="N19" s="138">
        <f t="shared" si="2"/>
        <v>0</v>
      </c>
    </row>
    <row r="20" spans="1:14" ht="13.2" customHeight="1">
      <c r="A20" s="1"/>
      <c r="B20" s="1"/>
      <c r="C20" s="32"/>
      <c r="D20" s="1"/>
      <c r="E20" s="3"/>
      <c r="F20" s="13"/>
      <c r="G20" s="5"/>
      <c r="I20" s="138"/>
      <c r="J20" s="138"/>
      <c r="K20" s="138"/>
      <c r="L20" s="138"/>
      <c r="M20" s="138"/>
      <c r="N20" s="138"/>
    </row>
    <row r="21" spans="1:14" ht="13.2" customHeight="1">
      <c r="A21" s="1">
        <v>3</v>
      </c>
      <c r="B21" s="1"/>
      <c r="C21" s="33" t="s">
        <v>34</v>
      </c>
      <c r="D21" s="1" t="s">
        <v>1</v>
      </c>
      <c r="E21" s="3">
        <f>SUM(I21:N21)</f>
        <v>0</v>
      </c>
      <c r="F21" s="13">
        <f>F19</f>
        <v>1850</v>
      </c>
      <c r="G21" s="5">
        <f t="shared" ref="G21" si="3">+E21*F21</f>
        <v>0</v>
      </c>
      <c r="I21" s="138">
        <f t="shared" ref="I21:N21" si="4">I14*5</f>
        <v>0</v>
      </c>
      <c r="J21" s="138">
        <f t="shared" si="4"/>
        <v>0</v>
      </c>
      <c r="K21" s="138">
        <f t="shared" si="4"/>
        <v>0</v>
      </c>
      <c r="L21" s="138">
        <f t="shared" si="4"/>
        <v>0</v>
      </c>
      <c r="M21" s="138">
        <f t="shared" si="4"/>
        <v>0</v>
      </c>
      <c r="N21" s="138">
        <f t="shared" si="4"/>
        <v>0</v>
      </c>
    </row>
    <row r="22" spans="1:14" ht="13.2" customHeight="1">
      <c r="A22" s="1"/>
      <c r="B22" s="1"/>
      <c r="C22" s="32"/>
      <c r="D22" s="1"/>
      <c r="E22" s="3"/>
      <c r="F22" s="13"/>
      <c r="G22" s="5"/>
      <c r="I22" s="138"/>
      <c r="J22" s="138"/>
      <c r="K22" s="138"/>
      <c r="L22" s="138"/>
      <c r="M22" s="138"/>
      <c r="N22" s="138"/>
    </row>
    <row r="23" spans="1:14" ht="13.2" customHeight="1">
      <c r="A23" s="1"/>
      <c r="B23" s="1"/>
      <c r="C23" s="32" t="s">
        <v>76</v>
      </c>
      <c r="D23" s="1"/>
      <c r="E23" s="3"/>
      <c r="F23" s="13"/>
      <c r="G23" s="5"/>
      <c r="I23" s="138"/>
      <c r="J23" s="138"/>
      <c r="K23" s="138"/>
      <c r="L23" s="138"/>
      <c r="M23" s="138"/>
      <c r="N23" s="138"/>
    </row>
    <row r="24" spans="1:14" ht="13.2" customHeight="1">
      <c r="A24" s="1"/>
      <c r="B24" s="1"/>
      <c r="C24" s="32"/>
      <c r="D24" s="1"/>
      <c r="E24" s="3"/>
      <c r="F24" s="13"/>
      <c r="G24" s="5"/>
      <c r="I24" s="138"/>
      <c r="J24" s="138"/>
      <c r="K24" s="138"/>
      <c r="L24" s="138"/>
      <c r="M24" s="138"/>
      <c r="N24" s="138"/>
    </row>
    <row r="25" spans="1:14" ht="13.2" customHeight="1">
      <c r="A25" s="1">
        <v>4</v>
      </c>
      <c r="B25" s="1"/>
      <c r="C25" s="47" t="s">
        <v>77</v>
      </c>
      <c r="D25" s="1" t="s">
        <v>6</v>
      </c>
      <c r="E25" s="3">
        <f>SUM(I25:N25)</f>
        <v>0</v>
      </c>
      <c r="F25" s="13">
        <v>1250</v>
      </c>
      <c r="G25" s="5">
        <f t="shared" ref="G25" si="5">+E25*F25</f>
        <v>0</v>
      </c>
      <c r="I25" s="138">
        <f t="shared" ref="I25:N25" si="6">I14</f>
        <v>0</v>
      </c>
      <c r="J25" s="138">
        <f t="shared" si="6"/>
        <v>0</v>
      </c>
      <c r="K25" s="138">
        <f t="shared" si="6"/>
        <v>0</v>
      </c>
      <c r="L25" s="138">
        <f t="shared" si="6"/>
        <v>0</v>
      </c>
      <c r="M25" s="138">
        <f t="shared" si="6"/>
        <v>0</v>
      </c>
      <c r="N25" s="138">
        <f t="shared" si="6"/>
        <v>0</v>
      </c>
    </row>
    <row r="26" spans="1:14" ht="13.2" customHeight="1">
      <c r="A26" s="1"/>
      <c r="B26" s="1"/>
      <c r="C26" s="32"/>
      <c r="D26" s="1"/>
      <c r="E26" s="3"/>
      <c r="F26" s="13"/>
      <c r="G26" s="5"/>
      <c r="I26" s="138"/>
      <c r="J26" s="138"/>
      <c r="K26" s="138"/>
      <c r="L26" s="138"/>
      <c r="M26" s="138"/>
      <c r="N26" s="138"/>
    </row>
    <row r="27" spans="1:14" ht="12.6" customHeight="1">
      <c r="A27" s="1"/>
      <c r="B27" s="1"/>
      <c r="C27" s="32" t="s">
        <v>71</v>
      </c>
      <c r="D27" s="1"/>
      <c r="E27" s="3"/>
      <c r="F27" s="13"/>
      <c r="G27" s="5"/>
      <c r="I27" s="138"/>
      <c r="J27" s="138"/>
      <c r="K27" s="138"/>
      <c r="L27" s="138"/>
      <c r="M27" s="138"/>
      <c r="N27" s="138"/>
    </row>
    <row r="28" spans="1:14" ht="12.6" customHeight="1">
      <c r="A28" s="1"/>
      <c r="B28" s="1"/>
      <c r="C28" s="33"/>
      <c r="D28" s="1"/>
      <c r="E28" s="3"/>
      <c r="F28" s="13"/>
      <c r="G28" s="5"/>
      <c r="I28" s="138"/>
      <c r="J28" s="138"/>
      <c r="K28" s="138"/>
      <c r="L28" s="138"/>
      <c r="M28" s="138"/>
      <c r="N28" s="138"/>
    </row>
    <row r="29" spans="1:14" ht="12.6" customHeight="1">
      <c r="A29" s="1">
        <v>5</v>
      </c>
      <c r="B29" s="1"/>
      <c r="C29" s="33" t="s">
        <v>223</v>
      </c>
      <c r="D29" s="1" t="s">
        <v>2</v>
      </c>
      <c r="E29" s="3">
        <f>SUM(I29:N29)</f>
        <v>0</v>
      </c>
      <c r="F29" s="13">
        <v>29500</v>
      </c>
      <c r="G29" s="5">
        <f t="shared" ref="G29" si="7">+E29*F29</f>
        <v>0</v>
      </c>
      <c r="I29" s="139">
        <f t="shared" ref="I29:N29" si="8">(I19+I21)*0.00325</f>
        <v>0</v>
      </c>
      <c r="J29" s="139">
        <f t="shared" si="8"/>
        <v>0</v>
      </c>
      <c r="K29" s="139">
        <f t="shared" si="8"/>
        <v>0</v>
      </c>
      <c r="L29" s="139">
        <f t="shared" si="8"/>
        <v>0</v>
      </c>
      <c r="M29" s="139">
        <f t="shared" si="8"/>
        <v>0</v>
      </c>
      <c r="N29" s="139">
        <f t="shared" si="8"/>
        <v>0</v>
      </c>
    </row>
    <row r="30" spans="1:14" ht="12.6" customHeight="1">
      <c r="A30" s="1"/>
      <c r="B30" s="1"/>
      <c r="C30" s="33"/>
      <c r="D30" s="1"/>
      <c r="E30" s="3"/>
      <c r="F30" s="13"/>
      <c r="G30" s="5"/>
      <c r="I30" s="138"/>
      <c r="J30" s="138"/>
      <c r="K30" s="138"/>
      <c r="L30" s="138"/>
      <c r="M30" s="138"/>
      <c r="N30" s="138"/>
    </row>
    <row r="31" spans="1:14" ht="12.6" customHeight="1">
      <c r="A31" s="1">
        <v>6</v>
      </c>
      <c r="B31" s="1"/>
      <c r="C31" s="33" t="s">
        <v>222</v>
      </c>
      <c r="D31" s="1" t="s">
        <v>2</v>
      </c>
      <c r="E31" s="3">
        <f>SUM(I31:AG31)</f>
        <v>0</v>
      </c>
      <c r="F31" s="13">
        <v>28000</v>
      </c>
      <c r="G31" s="5">
        <f t="shared" ref="G31" si="9">+E31*F31</f>
        <v>0</v>
      </c>
      <c r="I31" s="139">
        <f t="shared" ref="I31:N31" si="10">(I19+I21)*0.0215</f>
        <v>0</v>
      </c>
      <c r="J31" s="139">
        <f t="shared" si="10"/>
        <v>0</v>
      </c>
      <c r="K31" s="139">
        <f t="shared" si="10"/>
        <v>0</v>
      </c>
      <c r="L31" s="139">
        <f t="shared" si="10"/>
        <v>0</v>
      </c>
      <c r="M31" s="139">
        <f t="shared" si="10"/>
        <v>0</v>
      </c>
      <c r="N31" s="139">
        <f t="shared" si="10"/>
        <v>0</v>
      </c>
    </row>
    <row r="32" spans="1:14" ht="12.6" customHeight="1">
      <c r="A32" s="1"/>
      <c r="B32" s="1"/>
      <c r="C32" s="33"/>
      <c r="D32" s="1"/>
      <c r="E32" s="3"/>
      <c r="F32" s="13"/>
      <c r="G32" s="5"/>
      <c r="I32" s="138"/>
      <c r="J32" s="138"/>
      <c r="K32" s="138"/>
      <c r="L32" s="138"/>
      <c r="M32" s="138"/>
      <c r="N32" s="138"/>
    </row>
    <row r="33" spans="1:14" ht="12.6" customHeight="1">
      <c r="A33" s="1"/>
      <c r="B33" s="1"/>
      <c r="C33" s="32" t="s">
        <v>56</v>
      </c>
      <c r="D33" s="1"/>
      <c r="E33" s="3"/>
      <c r="F33" s="13"/>
      <c r="G33" s="5"/>
      <c r="I33" s="138"/>
      <c r="J33" s="138"/>
      <c r="K33" s="138"/>
      <c r="L33" s="138"/>
      <c r="M33" s="138"/>
      <c r="N33" s="138"/>
    </row>
    <row r="34" spans="1:14" ht="13.2" customHeight="1">
      <c r="A34" s="1"/>
      <c r="B34" s="1"/>
      <c r="C34" s="33"/>
      <c r="D34" s="1"/>
      <c r="E34" s="3"/>
      <c r="F34" s="13"/>
      <c r="G34" s="5"/>
      <c r="I34" s="138"/>
      <c r="J34" s="138"/>
      <c r="K34" s="138"/>
      <c r="L34" s="138"/>
      <c r="M34" s="138"/>
      <c r="N34" s="138"/>
    </row>
    <row r="35" spans="1:14" ht="13.2" customHeight="1">
      <c r="A35" s="1">
        <v>7</v>
      </c>
      <c r="B35" s="1"/>
      <c r="C35" s="33" t="s">
        <v>220</v>
      </c>
      <c r="D35" s="1"/>
      <c r="E35" s="3"/>
      <c r="F35" s="13"/>
      <c r="G35" s="5"/>
      <c r="I35" s="138"/>
      <c r="J35" s="138"/>
      <c r="K35" s="138"/>
      <c r="L35" s="138"/>
      <c r="M35" s="138"/>
      <c r="N35" s="138"/>
    </row>
    <row r="36" spans="1:14" ht="13.2" customHeight="1">
      <c r="A36" s="1"/>
      <c r="B36" s="1"/>
      <c r="C36" s="1"/>
      <c r="D36" s="1"/>
      <c r="E36" s="3"/>
      <c r="F36" s="13"/>
      <c r="G36" s="5"/>
      <c r="I36" s="138"/>
      <c r="J36" s="138"/>
      <c r="K36" s="138"/>
      <c r="L36" s="138"/>
      <c r="M36" s="138"/>
      <c r="N36" s="138"/>
    </row>
    <row r="37" spans="1:14" ht="13.2" customHeight="1">
      <c r="A37" s="1"/>
      <c r="B37" s="1"/>
      <c r="C37" s="33" t="s">
        <v>38</v>
      </c>
      <c r="D37" s="1" t="s">
        <v>51</v>
      </c>
      <c r="E37" s="3">
        <f>SUM(I37:N37)</f>
        <v>0</v>
      </c>
      <c r="F37" s="13">
        <v>3500</v>
      </c>
      <c r="G37" s="5">
        <f t="shared" ref="G37" si="11">+E37*F37</f>
        <v>0</v>
      </c>
      <c r="I37" s="139">
        <f t="shared" ref="I37:N37" si="12">((I19+I21)*0.292)+(I14*0.75)</f>
        <v>0</v>
      </c>
      <c r="J37" s="139">
        <f t="shared" si="12"/>
        <v>0</v>
      </c>
      <c r="K37" s="139">
        <f t="shared" si="12"/>
        <v>0</v>
      </c>
      <c r="L37" s="139">
        <f t="shared" si="12"/>
        <v>0</v>
      </c>
      <c r="M37" s="139">
        <f t="shared" si="12"/>
        <v>0</v>
      </c>
      <c r="N37" s="139">
        <f t="shared" si="12"/>
        <v>0</v>
      </c>
    </row>
    <row r="38" spans="1:14" ht="13.2" customHeight="1">
      <c r="A38" s="1"/>
      <c r="B38" s="1"/>
      <c r="C38" s="33"/>
      <c r="D38" s="1"/>
      <c r="E38" s="3"/>
      <c r="F38" s="13"/>
      <c r="G38" s="5"/>
      <c r="I38" s="138"/>
      <c r="J38" s="138"/>
      <c r="K38" s="138"/>
      <c r="L38" s="138"/>
      <c r="M38" s="138"/>
      <c r="N38" s="138"/>
    </row>
    <row r="39" spans="1:14" ht="13.2" customHeight="1">
      <c r="A39" s="1"/>
      <c r="B39" s="1" t="s">
        <v>23</v>
      </c>
      <c r="C39" s="32" t="s">
        <v>35</v>
      </c>
      <c r="D39" s="1"/>
      <c r="E39" s="3"/>
      <c r="F39" s="13"/>
      <c r="G39" s="5"/>
      <c r="I39" s="138"/>
      <c r="J39" s="138"/>
      <c r="K39" s="138"/>
      <c r="L39" s="138"/>
      <c r="M39" s="138"/>
      <c r="N39" s="138"/>
    </row>
    <row r="40" spans="1:14" ht="13.2" customHeight="1">
      <c r="A40" s="1"/>
      <c r="B40" s="1"/>
      <c r="C40" s="32"/>
      <c r="D40" s="1"/>
      <c r="E40" s="3"/>
      <c r="F40" s="13"/>
      <c r="G40" s="5"/>
      <c r="I40" s="138"/>
      <c r="J40" s="138"/>
      <c r="K40" s="138"/>
      <c r="L40" s="138"/>
      <c r="M40" s="138"/>
      <c r="N40" s="138"/>
    </row>
    <row r="41" spans="1:14" ht="13.2" customHeight="1">
      <c r="A41" s="1">
        <v>8</v>
      </c>
      <c r="B41" s="1"/>
      <c r="C41" s="33" t="s">
        <v>259</v>
      </c>
      <c r="D41" s="1" t="s">
        <v>6</v>
      </c>
      <c r="E41" s="3">
        <f>SUM(I41:N41)</f>
        <v>0</v>
      </c>
      <c r="F41" s="13">
        <v>875</v>
      </c>
      <c r="G41" s="5">
        <f t="shared" ref="G41" si="13">+E41*F41</f>
        <v>0</v>
      </c>
      <c r="I41" s="138">
        <f t="shared" ref="I41:N41" si="14">I14</f>
        <v>0</v>
      </c>
      <c r="J41" s="138">
        <f t="shared" si="14"/>
        <v>0</v>
      </c>
      <c r="K41" s="138">
        <f t="shared" si="14"/>
        <v>0</v>
      </c>
      <c r="L41" s="138">
        <f t="shared" si="14"/>
        <v>0</v>
      </c>
      <c r="M41" s="138">
        <f t="shared" si="14"/>
        <v>0</v>
      </c>
      <c r="N41" s="138">
        <f t="shared" si="14"/>
        <v>0</v>
      </c>
    </row>
    <row r="42" spans="1:14" ht="13.2" customHeight="1">
      <c r="A42" s="1"/>
      <c r="B42" s="2"/>
      <c r="C42" s="11"/>
      <c r="D42" s="1"/>
      <c r="E42" s="1"/>
      <c r="F42" s="13"/>
      <c r="G42" s="5"/>
      <c r="I42" s="1"/>
      <c r="J42" s="1"/>
      <c r="K42" s="1"/>
      <c r="L42" s="103"/>
      <c r="M42" s="108"/>
      <c r="N42" s="9"/>
    </row>
    <row r="43" spans="1:14" ht="24">
      <c r="A43" s="1"/>
      <c r="B43" s="2" t="s">
        <v>100</v>
      </c>
      <c r="C43" s="31" t="s">
        <v>79</v>
      </c>
      <c r="D43" s="1"/>
      <c r="E43" s="3"/>
      <c r="F43" s="14"/>
      <c r="G43" s="5"/>
      <c r="I43" s="3"/>
      <c r="J43" s="3"/>
      <c r="K43" s="3"/>
      <c r="L43" s="103"/>
      <c r="M43" s="108"/>
      <c r="N43" s="9"/>
    </row>
    <row r="44" spans="1:14" ht="13.95" customHeight="1">
      <c r="A44" s="1"/>
      <c r="B44" s="2"/>
      <c r="C44" s="8" t="s">
        <v>81</v>
      </c>
      <c r="D44" s="1"/>
      <c r="E44" s="3"/>
      <c r="F44" s="14"/>
      <c r="G44" s="5"/>
      <c r="I44" s="3"/>
      <c r="J44" s="3"/>
      <c r="K44" s="3"/>
      <c r="L44" s="103"/>
      <c r="M44" s="108"/>
      <c r="N44" s="9"/>
    </row>
    <row r="45" spans="1:14" ht="50.4" customHeight="1">
      <c r="A45" s="16">
        <v>9</v>
      </c>
      <c r="B45" s="33" t="s">
        <v>162</v>
      </c>
      <c r="C45" s="33" t="s">
        <v>163</v>
      </c>
      <c r="D45" s="9" t="s">
        <v>60</v>
      </c>
      <c r="E45" s="3">
        <f>SUM(I45:N45)</f>
        <v>220</v>
      </c>
      <c r="F45" s="13">
        <v>225</v>
      </c>
      <c r="G45" s="5">
        <f t="shared" ref="G45" si="15">+E45*F45</f>
        <v>49500</v>
      </c>
      <c r="I45" s="9"/>
      <c r="J45" s="9">
        <v>220</v>
      </c>
      <c r="K45" s="9"/>
      <c r="L45" s="103"/>
      <c r="M45" s="108"/>
      <c r="N45" s="9"/>
    </row>
    <row r="46" spans="1:14">
      <c r="A46" s="16"/>
      <c r="B46" s="33"/>
      <c r="D46" s="9"/>
      <c r="E46" s="3"/>
      <c r="F46" s="13"/>
      <c r="G46" s="5"/>
      <c r="I46" s="9"/>
      <c r="J46" s="9"/>
      <c r="K46" s="9"/>
      <c r="L46" s="103"/>
      <c r="M46" s="108"/>
      <c r="N46" s="9"/>
    </row>
    <row r="47" spans="1:14" ht="13.95" customHeight="1">
      <c r="A47" s="1"/>
      <c r="B47" s="2"/>
      <c r="C47" s="8"/>
      <c r="D47" s="9"/>
      <c r="E47" s="3"/>
      <c r="F47" s="4"/>
      <c r="G47" s="5"/>
      <c r="I47" s="9"/>
      <c r="J47" s="9"/>
      <c r="K47" s="9"/>
      <c r="L47" s="103"/>
      <c r="M47" s="108"/>
      <c r="N47" s="9"/>
    </row>
    <row r="48" spans="1:14" ht="20.100000000000001" customHeight="1">
      <c r="A48" s="149" t="s">
        <v>66</v>
      </c>
      <c r="B48" s="150"/>
      <c r="C48" s="150"/>
      <c r="D48" s="150"/>
      <c r="E48" s="150"/>
      <c r="F48" s="151"/>
      <c r="G48" s="116">
        <f>SUM(G8:G47)</f>
        <v>49500</v>
      </c>
      <c r="I48" s="9"/>
      <c r="J48" s="9"/>
      <c r="K48" s="9"/>
      <c r="L48" s="103"/>
      <c r="M48" s="108"/>
      <c r="N48" s="9"/>
    </row>
    <row r="49" spans="1:14">
      <c r="A49" s="39"/>
      <c r="B49" s="39"/>
      <c r="C49" s="39"/>
      <c r="D49" s="39"/>
      <c r="E49" s="39"/>
      <c r="F49" s="39"/>
      <c r="G49" s="113"/>
      <c r="I49" s="9"/>
      <c r="J49" s="9"/>
      <c r="K49" s="9"/>
      <c r="L49" s="103"/>
      <c r="M49" s="108"/>
      <c r="N49" s="9"/>
    </row>
    <row r="50" spans="1:14" ht="13.95" customHeight="1">
      <c r="A50" s="39"/>
      <c r="B50" s="39"/>
      <c r="C50" s="39"/>
      <c r="D50" s="39"/>
      <c r="E50" s="39"/>
      <c r="F50" s="39"/>
      <c r="G50" s="113"/>
      <c r="I50" s="9"/>
      <c r="J50" s="9"/>
      <c r="K50" s="9"/>
      <c r="L50" s="103"/>
      <c r="M50" s="108"/>
      <c r="N50" s="9"/>
    </row>
    <row r="51" spans="1:14" ht="24" customHeight="1">
      <c r="A51" s="44" t="s">
        <v>8</v>
      </c>
      <c r="B51" s="48" t="s">
        <v>9</v>
      </c>
      <c r="C51" s="44" t="s">
        <v>10</v>
      </c>
      <c r="D51" s="48" t="s">
        <v>11</v>
      </c>
      <c r="E51" s="48" t="s">
        <v>59</v>
      </c>
      <c r="F51" s="49" t="s">
        <v>12</v>
      </c>
      <c r="G51" s="111" t="s">
        <v>13</v>
      </c>
      <c r="I51" s="9"/>
      <c r="J51" s="9"/>
      <c r="K51" s="9"/>
      <c r="L51" s="103"/>
      <c r="M51" s="108"/>
      <c r="N51" s="9"/>
    </row>
    <row r="52" spans="1:14" ht="20.100000000000001" customHeight="1">
      <c r="A52" s="149" t="s">
        <v>67</v>
      </c>
      <c r="B52" s="150"/>
      <c r="C52" s="150"/>
      <c r="D52" s="150"/>
      <c r="E52" s="150"/>
      <c r="F52" s="151"/>
      <c r="G52" s="116">
        <f>+G48</f>
        <v>49500</v>
      </c>
      <c r="I52" s="9"/>
      <c r="J52" s="9"/>
      <c r="K52" s="9"/>
      <c r="L52" s="103"/>
      <c r="M52" s="108"/>
      <c r="N52" s="9"/>
    </row>
    <row r="53" spans="1:14" ht="9" customHeight="1">
      <c r="A53" s="1"/>
      <c r="B53" s="2"/>
      <c r="C53" s="8"/>
      <c r="D53" s="9"/>
      <c r="E53" s="3"/>
      <c r="F53" s="4"/>
      <c r="G53" s="5"/>
      <c r="I53" s="3"/>
      <c r="J53" s="3"/>
      <c r="K53" s="3"/>
      <c r="L53" s="103"/>
      <c r="M53" s="108"/>
      <c r="N53" s="9"/>
    </row>
    <row r="54" spans="1:14" ht="13.95" customHeight="1">
      <c r="A54" s="1"/>
      <c r="B54" s="2" t="s">
        <v>173</v>
      </c>
      <c r="C54" s="31" t="s">
        <v>79</v>
      </c>
      <c r="D54" s="1"/>
      <c r="E54" s="3"/>
      <c r="F54" s="4"/>
      <c r="G54" s="5"/>
      <c r="I54" s="3"/>
      <c r="J54" s="3"/>
      <c r="K54" s="3"/>
      <c r="L54" s="103"/>
      <c r="M54" s="108"/>
      <c r="N54" s="9"/>
    </row>
    <row r="55" spans="1:14" ht="13.95" customHeight="1">
      <c r="A55" s="1"/>
      <c r="B55" s="2"/>
      <c r="C55" s="8" t="s">
        <v>81</v>
      </c>
      <c r="D55" s="1"/>
      <c r="E55" s="3"/>
      <c r="F55" s="4"/>
      <c r="G55" s="5"/>
      <c r="I55" s="3"/>
      <c r="J55" s="3"/>
      <c r="K55" s="3"/>
      <c r="L55" s="103"/>
      <c r="M55" s="108"/>
      <c r="N55" s="9"/>
    </row>
    <row r="56" spans="1:14" ht="13.95" customHeight="1">
      <c r="A56" s="1"/>
      <c r="B56" s="1" t="s">
        <v>87</v>
      </c>
      <c r="C56" s="37" t="s">
        <v>0</v>
      </c>
      <c r="D56" s="1"/>
      <c r="E56" s="3"/>
      <c r="F56" s="4"/>
      <c r="G56" s="5"/>
      <c r="I56" s="3"/>
      <c r="J56" s="3"/>
      <c r="K56" s="3"/>
      <c r="L56" s="103"/>
      <c r="M56" s="108"/>
      <c r="N56" s="9"/>
    </row>
    <row r="57" spans="1:14" ht="13.95" customHeight="1">
      <c r="A57" s="1"/>
      <c r="B57" s="1"/>
      <c r="C57" s="33"/>
      <c r="D57" s="1"/>
      <c r="E57" s="3"/>
      <c r="F57" s="4"/>
      <c r="G57" s="5"/>
      <c r="I57" s="3"/>
      <c r="J57" s="3"/>
      <c r="K57" s="3"/>
      <c r="L57" s="103"/>
      <c r="M57" s="108"/>
      <c r="N57" s="9"/>
    </row>
    <row r="58" spans="1:14" ht="22.95" customHeight="1">
      <c r="A58" s="1"/>
      <c r="B58" s="1"/>
      <c r="C58" s="33" t="s">
        <v>61</v>
      </c>
      <c r="D58" s="1"/>
      <c r="E58" s="3"/>
      <c r="F58" s="4"/>
      <c r="G58" s="5"/>
      <c r="I58" s="3"/>
      <c r="J58" s="3"/>
      <c r="K58" s="3"/>
      <c r="L58" s="103"/>
      <c r="M58" s="108"/>
      <c r="N58" s="9"/>
    </row>
    <row r="59" spans="1:14" ht="13.95" customHeight="1">
      <c r="A59" s="1"/>
      <c r="B59" s="1"/>
      <c r="C59" s="6"/>
      <c r="D59" s="1"/>
      <c r="E59" s="3"/>
      <c r="F59" s="4"/>
      <c r="G59" s="5"/>
      <c r="I59" s="3"/>
      <c r="J59" s="3"/>
      <c r="K59" s="3"/>
      <c r="L59" s="103"/>
      <c r="M59" s="108"/>
      <c r="N59" s="9"/>
    </row>
    <row r="60" spans="1:14" ht="13.95" customHeight="1">
      <c r="A60" s="1">
        <v>10</v>
      </c>
      <c r="B60" s="1"/>
      <c r="C60" s="33" t="s">
        <v>14</v>
      </c>
      <c r="D60" s="1" t="s">
        <v>51</v>
      </c>
      <c r="E60" s="3">
        <f>SUM(I60:N60)</f>
        <v>181.3</v>
      </c>
      <c r="F60" s="13">
        <v>175</v>
      </c>
      <c r="G60" s="5">
        <f t="shared" ref="G60" si="16">+E60*F60</f>
        <v>31727.500000000004</v>
      </c>
      <c r="I60" s="3">
        <v>94.9</v>
      </c>
      <c r="J60" s="3"/>
      <c r="K60" s="3"/>
      <c r="L60" s="103">
        <v>86.4</v>
      </c>
      <c r="M60" s="108"/>
      <c r="N60" s="9"/>
    </row>
    <row r="61" spans="1:14" ht="9.75" customHeight="1">
      <c r="A61" s="1"/>
      <c r="B61" s="1"/>
      <c r="C61" s="33"/>
      <c r="D61" s="1"/>
      <c r="E61" s="3"/>
      <c r="F61" s="13"/>
      <c r="G61" s="5"/>
      <c r="I61" s="3"/>
      <c r="J61" s="3"/>
      <c r="K61" s="3"/>
      <c r="L61" s="103"/>
      <c r="M61" s="108"/>
      <c r="N61" s="9"/>
    </row>
    <row r="62" spans="1:14" ht="13.95" customHeight="1">
      <c r="A62" s="1"/>
      <c r="B62" s="1"/>
      <c r="C62" s="37" t="s">
        <v>111</v>
      </c>
      <c r="D62" s="1"/>
      <c r="E62" s="3"/>
      <c r="F62" s="13"/>
      <c r="G62" s="5"/>
      <c r="I62" s="3"/>
      <c r="J62" s="3"/>
      <c r="K62" s="3"/>
      <c r="L62" s="103"/>
      <c r="M62" s="108"/>
      <c r="N62" s="9"/>
    </row>
    <row r="63" spans="1:14" ht="9" customHeight="1">
      <c r="A63" s="1"/>
      <c r="B63" s="1"/>
      <c r="C63" s="33"/>
      <c r="D63" s="1"/>
      <c r="E63" s="3"/>
      <c r="F63" s="13"/>
      <c r="G63" s="5"/>
      <c r="I63" s="3"/>
      <c r="J63" s="3"/>
      <c r="K63" s="3"/>
      <c r="L63" s="103"/>
      <c r="M63" s="108"/>
      <c r="N63" s="9"/>
    </row>
    <row r="64" spans="1:14" ht="28.95" customHeight="1">
      <c r="A64" s="1">
        <v>11</v>
      </c>
      <c r="B64" s="1"/>
      <c r="C64" s="33" t="s">
        <v>54</v>
      </c>
      <c r="D64" s="1" t="s">
        <v>51</v>
      </c>
      <c r="E64" s="3">
        <f>SUM(I64:N64)</f>
        <v>0</v>
      </c>
      <c r="F64" s="13">
        <v>950</v>
      </c>
      <c r="G64" s="5">
        <f t="shared" ref="G64" si="17">+E64*F64</f>
        <v>0</v>
      </c>
      <c r="I64" s="3"/>
      <c r="J64" s="3"/>
      <c r="K64" s="3"/>
      <c r="L64" s="103"/>
      <c r="M64" s="108"/>
      <c r="N64" s="9"/>
    </row>
    <row r="65" spans="1:14" ht="13.95" customHeight="1">
      <c r="A65" s="1"/>
      <c r="B65" s="1"/>
      <c r="C65" s="33"/>
      <c r="D65" s="1"/>
      <c r="E65" s="3"/>
      <c r="F65" s="13"/>
      <c r="G65" s="5"/>
      <c r="I65" s="3"/>
      <c r="J65" s="3"/>
      <c r="K65" s="3"/>
      <c r="L65" s="103"/>
      <c r="M65" s="108"/>
      <c r="N65" s="9"/>
    </row>
    <row r="66" spans="1:14" ht="22.2" customHeight="1">
      <c r="A66" s="1"/>
      <c r="B66" s="1"/>
      <c r="C66" s="33" t="s">
        <v>57</v>
      </c>
      <c r="D66" s="1"/>
      <c r="E66" s="3"/>
      <c r="F66" s="13"/>
      <c r="G66" s="5"/>
      <c r="I66" s="3"/>
      <c r="J66" s="3"/>
      <c r="K66" s="3"/>
      <c r="L66" s="103"/>
      <c r="M66" s="108"/>
      <c r="N66" s="9"/>
    </row>
    <row r="67" spans="1:14" ht="13.95" customHeight="1">
      <c r="A67" s="1"/>
      <c r="B67" s="2"/>
      <c r="C67" s="8"/>
      <c r="D67" s="9"/>
      <c r="E67" s="3"/>
      <c r="F67" s="13"/>
      <c r="G67" s="5"/>
      <c r="I67" s="3"/>
      <c r="J67" s="3"/>
      <c r="K67" s="3"/>
      <c r="L67" s="103"/>
      <c r="M67" s="108"/>
      <c r="N67" s="9"/>
    </row>
    <row r="68" spans="1:14" ht="13.95" customHeight="1">
      <c r="A68" s="1"/>
      <c r="B68" s="1" t="s">
        <v>83</v>
      </c>
      <c r="C68" s="10" t="s">
        <v>25</v>
      </c>
      <c r="D68" s="9"/>
      <c r="E68" s="3"/>
      <c r="F68" s="13"/>
      <c r="G68" s="5"/>
      <c r="I68" s="3"/>
      <c r="J68" s="3"/>
      <c r="K68" s="3"/>
      <c r="L68" s="103"/>
      <c r="M68" s="108"/>
      <c r="N68" s="9"/>
    </row>
    <row r="69" spans="1:14" ht="13.95" customHeight="1">
      <c r="A69" s="1"/>
      <c r="B69" s="2"/>
      <c r="C69" s="8"/>
      <c r="D69" s="9"/>
      <c r="E69" s="3"/>
      <c r="F69" s="13"/>
      <c r="G69" s="5"/>
      <c r="I69" s="3"/>
      <c r="J69" s="3"/>
      <c r="K69" s="3"/>
      <c r="L69" s="103"/>
      <c r="M69" s="108"/>
      <c r="N69" s="9"/>
    </row>
    <row r="70" spans="1:14" ht="23.4" customHeight="1">
      <c r="A70" s="1"/>
      <c r="B70" s="2"/>
      <c r="C70" s="8" t="s">
        <v>109</v>
      </c>
      <c r="D70" s="9"/>
      <c r="E70" s="3"/>
      <c r="F70" s="13"/>
      <c r="G70" s="5"/>
      <c r="I70" s="3"/>
      <c r="J70" s="3"/>
      <c r="K70" s="3"/>
      <c r="L70" s="103"/>
      <c r="M70" s="108"/>
      <c r="N70" s="9"/>
    </row>
    <row r="71" spans="1:14" ht="13.95" customHeight="1">
      <c r="A71" s="1"/>
      <c r="B71" s="2"/>
      <c r="C71" s="8"/>
      <c r="D71" s="9"/>
      <c r="E71" s="3"/>
      <c r="F71" s="13"/>
      <c r="G71" s="5"/>
      <c r="I71" s="3"/>
      <c r="J71" s="3"/>
      <c r="K71" s="3"/>
      <c r="L71" s="103"/>
      <c r="M71" s="108"/>
      <c r="N71" s="9"/>
    </row>
    <row r="72" spans="1:14" ht="33.6" customHeight="1">
      <c r="A72" s="1">
        <v>12</v>
      </c>
      <c r="B72" s="2"/>
      <c r="C72" s="8" t="s">
        <v>108</v>
      </c>
      <c r="D72" s="9" t="s">
        <v>51</v>
      </c>
      <c r="E72" s="3">
        <f>SUM(I72:N72)</f>
        <v>77.680000000000007</v>
      </c>
      <c r="F72" s="13">
        <v>725</v>
      </c>
      <c r="G72" s="5">
        <f t="shared" ref="G72" si="18">+E72*F72</f>
        <v>56318.000000000007</v>
      </c>
      <c r="I72" s="3">
        <v>32.5</v>
      </c>
      <c r="J72" s="3"/>
      <c r="K72" s="3"/>
      <c r="L72" s="103">
        <v>45.18</v>
      </c>
      <c r="M72" s="108"/>
      <c r="N72" s="9"/>
    </row>
    <row r="73" spans="1:14" ht="13.95" customHeight="1">
      <c r="A73" s="1"/>
      <c r="B73" s="2"/>
      <c r="C73" s="8"/>
      <c r="D73" s="9"/>
      <c r="E73" s="3"/>
      <c r="F73" s="13"/>
      <c r="G73" s="5"/>
      <c r="I73" s="3"/>
      <c r="J73" s="3"/>
      <c r="K73" s="3"/>
      <c r="L73" s="103"/>
      <c r="M73" s="108"/>
      <c r="N73" s="9"/>
    </row>
    <row r="74" spans="1:14" ht="21.6" customHeight="1">
      <c r="A74" s="1"/>
      <c r="B74" s="2" t="s">
        <v>101</v>
      </c>
      <c r="C74" s="34" t="s">
        <v>155</v>
      </c>
      <c r="D74" s="1"/>
      <c r="E74" s="3"/>
      <c r="F74" s="13"/>
      <c r="G74" s="5"/>
      <c r="I74" s="3"/>
      <c r="J74" s="3"/>
      <c r="K74" s="3"/>
      <c r="L74" s="103"/>
      <c r="M74" s="108"/>
      <c r="N74" s="9"/>
    </row>
    <row r="75" spans="1:14" ht="13.95" customHeight="1">
      <c r="A75" s="1"/>
      <c r="B75" s="1"/>
      <c r="C75" s="33"/>
      <c r="D75" s="1"/>
      <c r="E75" s="3"/>
      <c r="F75" s="13"/>
      <c r="G75" s="5"/>
      <c r="I75" s="3"/>
      <c r="J75" s="3"/>
      <c r="K75" s="3"/>
      <c r="L75" s="103"/>
      <c r="M75" s="108"/>
      <c r="N75" s="9"/>
    </row>
    <row r="76" spans="1:14" ht="13.95" customHeight="1">
      <c r="A76" s="1"/>
      <c r="B76" s="1" t="s">
        <v>88</v>
      </c>
      <c r="C76" s="32" t="s">
        <v>15</v>
      </c>
      <c r="D76" s="1"/>
      <c r="E76" s="3"/>
      <c r="F76" s="13"/>
      <c r="G76" s="5"/>
      <c r="I76" s="3"/>
      <c r="J76" s="3"/>
      <c r="K76" s="3"/>
      <c r="L76" s="103"/>
      <c r="M76" s="108"/>
      <c r="N76" s="9"/>
    </row>
    <row r="77" spans="1:14" ht="13.95" customHeight="1">
      <c r="A77" s="1"/>
      <c r="B77" s="1"/>
      <c r="C77" s="33"/>
      <c r="D77" s="1"/>
      <c r="E77" s="3"/>
      <c r="F77" s="13"/>
      <c r="G77" s="5"/>
      <c r="I77" s="3"/>
      <c r="J77" s="3"/>
      <c r="K77" s="3"/>
      <c r="L77" s="103"/>
      <c r="M77" s="108"/>
      <c r="N77" s="9"/>
    </row>
    <row r="78" spans="1:14" ht="13.95" customHeight="1">
      <c r="A78" s="1"/>
      <c r="B78" s="1" t="s">
        <v>82</v>
      </c>
      <c r="C78" s="34" t="s">
        <v>16</v>
      </c>
      <c r="D78" s="1"/>
      <c r="E78" s="3"/>
      <c r="F78" s="13"/>
      <c r="G78" s="5"/>
      <c r="I78" s="3"/>
      <c r="J78" s="3"/>
      <c r="K78" s="3"/>
      <c r="L78" s="103"/>
      <c r="M78" s="108"/>
      <c r="N78" s="9"/>
    </row>
    <row r="79" spans="1:14" ht="13.95" customHeight="1">
      <c r="A79" s="1"/>
      <c r="B79" s="1"/>
      <c r="C79" s="33"/>
      <c r="D79" s="1"/>
      <c r="E79" s="3"/>
      <c r="F79" s="13"/>
      <c r="G79" s="5"/>
      <c r="I79" s="3"/>
      <c r="J79" s="3"/>
      <c r="K79" s="3"/>
      <c r="L79" s="103"/>
      <c r="M79" s="108"/>
      <c r="N79" s="9"/>
    </row>
    <row r="80" spans="1:14" ht="13.95" customHeight="1">
      <c r="A80" s="1"/>
      <c r="B80" s="1"/>
      <c r="C80" s="37" t="s">
        <v>17</v>
      </c>
      <c r="D80" s="1"/>
      <c r="E80" s="3"/>
      <c r="F80" s="13"/>
      <c r="G80" s="5"/>
      <c r="I80" s="3"/>
      <c r="J80" s="3"/>
      <c r="K80" s="3"/>
      <c r="L80" s="103"/>
      <c r="M80" s="108"/>
      <c r="N80" s="9"/>
    </row>
    <row r="81" spans="1:14" ht="13.95" customHeight="1">
      <c r="A81" s="1"/>
      <c r="B81" s="1"/>
      <c r="C81" s="37"/>
      <c r="D81" s="1"/>
      <c r="E81" s="3"/>
      <c r="F81" s="13"/>
      <c r="G81" s="5"/>
      <c r="I81" s="3"/>
      <c r="J81" s="3"/>
      <c r="K81" s="3"/>
      <c r="L81" s="103"/>
      <c r="M81" s="108"/>
      <c r="N81" s="9"/>
    </row>
    <row r="82" spans="1:14" ht="13.95" customHeight="1">
      <c r="A82" s="1">
        <v>13</v>
      </c>
      <c r="B82" s="1"/>
      <c r="C82" s="33" t="s">
        <v>28</v>
      </c>
      <c r="D82" s="1" t="s">
        <v>60</v>
      </c>
      <c r="E82" s="3">
        <f>SUM(I82:N82)</f>
        <v>67.88</v>
      </c>
      <c r="F82" s="13">
        <v>475</v>
      </c>
      <c r="G82" s="5">
        <f t="shared" ref="G82" si="19">+E82*F82</f>
        <v>32242.999999999996</v>
      </c>
      <c r="I82" s="3">
        <v>60.2</v>
      </c>
      <c r="J82" s="3"/>
      <c r="K82" s="3"/>
      <c r="L82" s="103">
        <v>7.68</v>
      </c>
      <c r="M82" s="108"/>
      <c r="N82" s="9"/>
    </row>
    <row r="83" spans="1:14" ht="13.95" customHeight="1">
      <c r="A83" s="1"/>
      <c r="B83" s="1"/>
      <c r="C83" s="33"/>
      <c r="D83" s="1"/>
      <c r="E83" s="3"/>
      <c r="F83" s="13"/>
      <c r="G83" s="5"/>
      <c r="I83" s="3"/>
      <c r="J83" s="3"/>
      <c r="K83" s="3"/>
      <c r="L83" s="103"/>
      <c r="M83" s="108"/>
      <c r="N83" s="9"/>
    </row>
    <row r="84" spans="1:14" ht="19.95" customHeight="1">
      <c r="A84" s="1"/>
      <c r="B84" s="1" t="s">
        <v>86</v>
      </c>
      <c r="C84" s="34" t="s">
        <v>26</v>
      </c>
      <c r="D84" s="1"/>
      <c r="E84" s="3"/>
      <c r="F84" s="13"/>
      <c r="G84" s="5"/>
      <c r="I84" s="3"/>
      <c r="J84" s="3"/>
      <c r="K84" s="3"/>
      <c r="L84" s="103"/>
      <c r="M84" s="108"/>
      <c r="N84" s="9"/>
    </row>
    <row r="85" spans="1:14" ht="13.95" customHeight="1">
      <c r="A85" s="1"/>
      <c r="B85" s="1"/>
      <c r="C85" s="33"/>
      <c r="D85" s="1"/>
      <c r="E85" s="3"/>
      <c r="F85" s="13"/>
      <c r="G85" s="5"/>
      <c r="I85" s="3"/>
      <c r="J85" s="3"/>
      <c r="K85" s="3"/>
      <c r="L85" s="103"/>
      <c r="M85" s="108"/>
      <c r="N85" s="9"/>
    </row>
    <row r="86" spans="1:14" ht="13.95" customHeight="1">
      <c r="A86" s="1"/>
      <c r="B86" s="1"/>
      <c r="C86" s="37" t="s">
        <v>17</v>
      </c>
      <c r="D86" s="1"/>
      <c r="E86" s="3"/>
      <c r="F86" s="13"/>
      <c r="G86" s="5"/>
      <c r="I86" s="3"/>
      <c r="J86" s="3"/>
      <c r="K86" s="3"/>
      <c r="L86" s="103"/>
      <c r="M86" s="108"/>
      <c r="N86" s="9"/>
    </row>
    <row r="87" spans="1:14" ht="13.95" customHeight="1">
      <c r="A87" s="1"/>
      <c r="B87" s="1"/>
      <c r="C87" s="33"/>
      <c r="D87" s="1"/>
      <c r="E87" s="3"/>
      <c r="F87" s="13"/>
      <c r="G87" s="5"/>
      <c r="I87" s="3"/>
      <c r="J87" s="3"/>
      <c r="K87" s="3"/>
      <c r="L87" s="103"/>
      <c r="M87" s="108"/>
      <c r="N87" s="9"/>
    </row>
    <row r="88" spans="1:14" ht="13.95" customHeight="1">
      <c r="A88" s="1">
        <v>14</v>
      </c>
      <c r="B88" s="1"/>
      <c r="C88" s="33" t="s">
        <v>201</v>
      </c>
      <c r="D88" s="1" t="s">
        <v>60</v>
      </c>
      <c r="E88" s="3">
        <f>SUM(I88:N88)</f>
        <v>147.9</v>
      </c>
      <c r="F88" s="13">
        <v>750</v>
      </c>
      <c r="G88" s="5">
        <f t="shared" ref="G88" si="20">+E88*F88</f>
        <v>110925</v>
      </c>
      <c r="I88" s="3">
        <v>132.9</v>
      </c>
      <c r="J88" s="3"/>
      <c r="K88" s="3">
        <v>15</v>
      </c>
      <c r="L88" s="103"/>
      <c r="M88" s="108"/>
      <c r="N88" s="9"/>
    </row>
    <row r="89" spans="1:14" ht="13.95" customHeight="1">
      <c r="A89" s="1"/>
      <c r="B89" s="1"/>
      <c r="C89" s="33"/>
      <c r="D89" s="1"/>
      <c r="E89" s="3"/>
      <c r="F89" s="13"/>
      <c r="G89" s="5"/>
      <c r="I89" s="3"/>
      <c r="J89" s="3"/>
      <c r="K89" s="3"/>
      <c r="L89" s="103"/>
      <c r="M89" s="108"/>
      <c r="N89" s="9"/>
    </row>
    <row r="90" spans="1:14" ht="13.95" customHeight="1">
      <c r="A90" s="1">
        <v>15</v>
      </c>
      <c r="B90" s="1"/>
      <c r="C90" s="33" t="s">
        <v>224</v>
      </c>
      <c r="D90" s="1" t="s">
        <v>60</v>
      </c>
      <c r="E90" s="3">
        <f>SUM(I90:N90)</f>
        <v>0</v>
      </c>
      <c r="F90" s="13">
        <v>635</v>
      </c>
      <c r="G90" s="5">
        <f t="shared" ref="G90" si="21">+E90*F90</f>
        <v>0</v>
      </c>
      <c r="I90" s="3"/>
      <c r="J90" s="3"/>
      <c r="K90" s="3"/>
      <c r="L90" s="103"/>
      <c r="M90" s="108"/>
      <c r="N90" s="9"/>
    </row>
    <row r="91" spans="1:14" ht="13.95" customHeight="1">
      <c r="A91" s="1"/>
      <c r="B91" s="1"/>
      <c r="C91" s="33"/>
      <c r="D91" s="1"/>
      <c r="E91" s="3"/>
      <c r="F91" s="13"/>
      <c r="G91" s="5"/>
      <c r="I91" s="3"/>
      <c r="J91" s="3"/>
      <c r="K91" s="3"/>
      <c r="L91" s="103"/>
      <c r="M91" s="108"/>
      <c r="N91" s="9"/>
    </row>
    <row r="92" spans="1:14" ht="13.95" customHeight="1">
      <c r="A92" s="1">
        <v>16</v>
      </c>
      <c r="B92" s="1"/>
      <c r="C92" s="33" t="s">
        <v>39</v>
      </c>
      <c r="D92" s="1" t="s">
        <v>60</v>
      </c>
      <c r="E92" s="3">
        <f>SUM(I92:N92)</f>
        <v>30</v>
      </c>
      <c r="F92" s="13">
        <v>850</v>
      </c>
      <c r="G92" s="5">
        <f t="shared" ref="G92" si="22">+E92*F92</f>
        <v>25500</v>
      </c>
      <c r="I92" s="3"/>
      <c r="J92" s="3"/>
      <c r="K92" s="3"/>
      <c r="L92" s="103">
        <v>30</v>
      </c>
      <c r="M92" s="108"/>
      <c r="N92" s="9"/>
    </row>
    <row r="93" spans="1:14" ht="13.95" customHeight="1">
      <c r="A93" s="1"/>
      <c r="B93" s="1"/>
      <c r="C93" s="33"/>
      <c r="D93" s="1"/>
      <c r="E93" s="3"/>
      <c r="F93" s="13"/>
      <c r="G93" s="5"/>
      <c r="I93" s="3"/>
      <c r="J93" s="3"/>
      <c r="K93" s="3"/>
      <c r="L93" s="103"/>
      <c r="M93" s="108"/>
      <c r="N93" s="9"/>
    </row>
    <row r="94" spans="1:14" ht="13.95" customHeight="1">
      <c r="A94" s="1">
        <v>17</v>
      </c>
      <c r="B94" s="1"/>
      <c r="C94" s="33" t="s">
        <v>247</v>
      </c>
      <c r="D94" s="1" t="s">
        <v>60</v>
      </c>
      <c r="E94" s="3">
        <f>SUM(I94:N94)</f>
        <v>0</v>
      </c>
      <c r="F94" s="13">
        <v>775</v>
      </c>
      <c r="G94" s="5">
        <f t="shared" ref="G94" si="23">+E94*F94</f>
        <v>0</v>
      </c>
      <c r="I94" s="3"/>
      <c r="J94" s="3"/>
      <c r="K94" s="3"/>
      <c r="L94" s="103"/>
      <c r="M94" s="108"/>
      <c r="N94" s="9"/>
    </row>
    <row r="95" spans="1:14" ht="13.95" customHeight="1">
      <c r="A95" s="1"/>
      <c r="B95" s="1"/>
      <c r="C95" s="33"/>
      <c r="D95" s="1"/>
      <c r="E95" s="3"/>
      <c r="F95" s="4"/>
      <c r="G95" s="5"/>
      <c r="I95" s="3"/>
      <c r="J95" s="3"/>
      <c r="K95" s="3"/>
      <c r="L95" s="103"/>
      <c r="M95" s="108"/>
      <c r="N95" s="9"/>
    </row>
    <row r="96" spans="1:14" ht="20.100000000000001" customHeight="1">
      <c r="A96" s="149" t="s">
        <v>66</v>
      </c>
      <c r="B96" s="150"/>
      <c r="C96" s="150"/>
      <c r="D96" s="150"/>
      <c r="E96" s="150"/>
      <c r="F96" s="151"/>
      <c r="G96" s="116">
        <f>SUM(G52:G95)</f>
        <v>306213.5</v>
      </c>
      <c r="I96" s="9"/>
      <c r="J96" s="9"/>
      <c r="K96" s="9"/>
      <c r="L96" s="103"/>
      <c r="M96" s="108"/>
      <c r="N96" s="9"/>
    </row>
    <row r="97" spans="1:14" ht="13.95" customHeight="1">
      <c r="A97" s="39"/>
      <c r="B97" s="39"/>
      <c r="C97" s="39"/>
      <c r="D97" s="39"/>
      <c r="E97" s="39"/>
      <c r="F97" s="39"/>
      <c r="G97" s="113"/>
      <c r="I97" s="9"/>
      <c r="J97" s="9"/>
      <c r="K97" s="9"/>
      <c r="L97" s="103"/>
      <c r="M97" s="108"/>
      <c r="N97" s="9"/>
    </row>
    <row r="98" spans="1:14" ht="13.95" customHeight="1">
      <c r="A98" s="39"/>
      <c r="B98" s="39"/>
      <c r="C98" s="39"/>
      <c r="D98" s="39"/>
      <c r="E98" s="39"/>
      <c r="F98" s="39"/>
      <c r="G98" s="113"/>
      <c r="I98" s="9"/>
      <c r="J98" s="9"/>
      <c r="K98" s="9"/>
      <c r="L98" s="103"/>
      <c r="M98" s="108"/>
      <c r="N98" s="9"/>
    </row>
    <row r="99" spans="1:14" ht="22.2" customHeight="1">
      <c r="A99" s="44" t="s">
        <v>8</v>
      </c>
      <c r="B99" s="48" t="s">
        <v>9</v>
      </c>
      <c r="C99" s="44" t="s">
        <v>10</v>
      </c>
      <c r="D99" s="48" t="s">
        <v>11</v>
      </c>
      <c r="E99" s="48" t="s">
        <v>59</v>
      </c>
      <c r="F99" s="49" t="s">
        <v>12</v>
      </c>
      <c r="G99" s="111" t="s">
        <v>13</v>
      </c>
      <c r="I99" s="9"/>
      <c r="J99" s="9"/>
      <c r="K99" s="9"/>
      <c r="L99" s="103"/>
      <c r="M99" s="108"/>
      <c r="N99" s="9"/>
    </row>
    <row r="100" spans="1:14" ht="20.100000000000001" customHeight="1">
      <c r="A100" s="149" t="s">
        <v>67</v>
      </c>
      <c r="B100" s="150"/>
      <c r="C100" s="150"/>
      <c r="D100" s="150"/>
      <c r="E100" s="150"/>
      <c r="F100" s="151"/>
      <c r="G100" s="116">
        <f>+G96</f>
        <v>306213.5</v>
      </c>
      <c r="I100" s="9"/>
      <c r="J100" s="9"/>
      <c r="K100" s="9"/>
      <c r="L100" s="103"/>
      <c r="M100" s="108"/>
      <c r="N100" s="9"/>
    </row>
    <row r="101" spans="1:14" ht="13.95" customHeight="1">
      <c r="A101" s="1"/>
      <c r="B101" s="1"/>
      <c r="C101" s="33"/>
      <c r="D101" s="1"/>
      <c r="E101" s="3"/>
      <c r="F101" s="13"/>
      <c r="G101" s="5"/>
      <c r="I101" s="9"/>
      <c r="J101" s="9"/>
      <c r="K101" s="9"/>
      <c r="L101" s="103"/>
      <c r="M101" s="108"/>
      <c r="N101" s="9"/>
    </row>
    <row r="102" spans="1:14" ht="13.95" customHeight="1">
      <c r="A102" s="1"/>
      <c r="B102" s="1"/>
      <c r="C102" s="37" t="s">
        <v>248</v>
      </c>
      <c r="D102" s="1"/>
      <c r="E102" s="3"/>
      <c r="F102" s="13"/>
      <c r="G102" s="5"/>
      <c r="I102" s="3"/>
      <c r="J102" s="3"/>
      <c r="K102" s="3"/>
      <c r="L102" s="103"/>
      <c r="M102" s="108"/>
      <c r="N102" s="9"/>
    </row>
    <row r="103" spans="1:14" ht="13.95" customHeight="1">
      <c r="A103" s="1"/>
      <c r="B103" s="1"/>
      <c r="C103" s="33"/>
      <c r="D103" s="1"/>
      <c r="E103" s="3"/>
      <c r="F103" s="13"/>
      <c r="G103" s="5"/>
      <c r="I103" s="3"/>
      <c r="J103" s="3"/>
      <c r="K103" s="3"/>
      <c r="L103" s="103"/>
      <c r="M103" s="108"/>
      <c r="N103" s="9"/>
    </row>
    <row r="104" spans="1:14" ht="13.95" customHeight="1">
      <c r="A104" s="1">
        <v>18</v>
      </c>
      <c r="B104" s="1"/>
      <c r="C104" s="33" t="s">
        <v>249</v>
      </c>
      <c r="D104" s="1" t="s">
        <v>60</v>
      </c>
      <c r="E104" s="3">
        <f>SUM(I104:N104)</f>
        <v>0</v>
      </c>
      <c r="F104" s="13">
        <v>1150</v>
      </c>
      <c r="G104" s="5">
        <f t="shared" ref="G104" si="24">+E104*F104</f>
        <v>0</v>
      </c>
      <c r="I104" s="3"/>
      <c r="J104" s="3"/>
      <c r="K104" s="3"/>
      <c r="L104" s="103"/>
      <c r="M104" s="108"/>
      <c r="N104" s="9"/>
    </row>
    <row r="105" spans="1:14" ht="13.95" customHeight="1">
      <c r="A105" s="1"/>
      <c r="B105" s="1"/>
      <c r="C105" s="33"/>
      <c r="D105" s="1"/>
      <c r="E105" s="3"/>
      <c r="F105" s="13"/>
      <c r="G105" s="5"/>
      <c r="I105" s="9"/>
      <c r="J105" s="9"/>
      <c r="K105" s="9"/>
      <c r="L105" s="103"/>
      <c r="M105" s="108"/>
      <c r="N105" s="9"/>
    </row>
    <row r="106" spans="1:14" ht="13.95" customHeight="1">
      <c r="A106" s="1"/>
      <c r="B106" s="1" t="s">
        <v>89</v>
      </c>
      <c r="C106" s="32" t="s">
        <v>156</v>
      </c>
      <c r="D106" s="1"/>
      <c r="E106" s="3"/>
      <c r="F106" s="4"/>
      <c r="G106" s="5"/>
      <c r="I106" s="9"/>
      <c r="J106" s="9"/>
      <c r="K106" s="9"/>
      <c r="L106" s="103"/>
      <c r="M106" s="108"/>
      <c r="N106" s="9"/>
    </row>
    <row r="107" spans="1:14" ht="13.95" customHeight="1">
      <c r="A107" s="1"/>
      <c r="B107" s="1"/>
      <c r="C107" s="33"/>
      <c r="D107" s="1"/>
      <c r="E107" s="3"/>
      <c r="F107" s="4"/>
      <c r="G107" s="5"/>
      <c r="I107" s="9"/>
      <c r="J107" s="9"/>
      <c r="K107" s="9"/>
      <c r="L107" s="103"/>
      <c r="M107" s="108"/>
      <c r="N107" s="9"/>
    </row>
    <row r="108" spans="1:14" ht="13.95" customHeight="1">
      <c r="A108" s="1">
        <v>19</v>
      </c>
      <c r="B108" s="1"/>
      <c r="C108" s="47" t="s">
        <v>244</v>
      </c>
      <c r="D108" s="1" t="s">
        <v>1</v>
      </c>
      <c r="E108" s="3">
        <f>SUM(I108:N108)</f>
        <v>60</v>
      </c>
      <c r="F108" s="3">
        <v>135</v>
      </c>
      <c r="G108" s="5">
        <f t="shared" ref="G108" si="25">+E108*F108</f>
        <v>8100</v>
      </c>
      <c r="I108" s="3"/>
      <c r="J108" s="3">
        <v>60</v>
      </c>
      <c r="K108" s="3"/>
      <c r="L108" s="103"/>
      <c r="M108" s="108"/>
      <c r="N108" s="9"/>
    </row>
    <row r="109" spans="1:14" ht="13.95" customHeight="1">
      <c r="A109" s="1"/>
      <c r="B109" s="1"/>
      <c r="C109" s="33"/>
      <c r="D109" s="1"/>
      <c r="E109" s="3"/>
      <c r="F109" s="4"/>
      <c r="G109" s="5"/>
      <c r="I109" s="3"/>
      <c r="J109" s="3"/>
      <c r="K109" s="3"/>
      <c r="L109" s="103"/>
      <c r="M109" s="108"/>
      <c r="N109" s="9"/>
    </row>
    <row r="110" spans="1:14" ht="13.95" customHeight="1">
      <c r="A110" s="1"/>
      <c r="B110" s="1" t="s">
        <v>90</v>
      </c>
      <c r="C110" s="32" t="s">
        <v>36</v>
      </c>
      <c r="D110" s="1"/>
      <c r="E110" s="3"/>
      <c r="F110" s="4"/>
      <c r="G110" s="5"/>
      <c r="I110" s="3"/>
      <c r="J110" s="3"/>
      <c r="K110" s="3"/>
      <c r="L110" s="103"/>
      <c r="M110" s="108"/>
      <c r="N110" s="9"/>
    </row>
    <row r="111" spans="1:14" ht="13.95" customHeight="1">
      <c r="A111" s="1"/>
      <c r="B111" s="1"/>
      <c r="C111" s="33"/>
      <c r="D111" s="1"/>
      <c r="E111" s="3"/>
      <c r="F111" s="4"/>
      <c r="G111" s="5"/>
      <c r="I111" s="3"/>
      <c r="J111" s="3"/>
      <c r="K111" s="3"/>
      <c r="L111" s="103"/>
      <c r="M111" s="108"/>
      <c r="N111" s="9"/>
    </row>
    <row r="112" spans="1:14" ht="24" customHeight="1">
      <c r="A112" s="1"/>
      <c r="B112" s="1"/>
      <c r="C112" s="33" t="s">
        <v>225</v>
      </c>
      <c r="D112" s="1"/>
      <c r="E112" s="3"/>
      <c r="F112" s="4"/>
      <c r="G112" s="5"/>
      <c r="I112" s="3"/>
      <c r="J112" s="3"/>
      <c r="K112" s="3"/>
      <c r="L112" s="103"/>
      <c r="M112" s="108"/>
      <c r="N112" s="9"/>
    </row>
    <row r="113" spans="1:14" ht="13.95" customHeight="1">
      <c r="A113" s="1"/>
      <c r="B113" s="1"/>
      <c r="C113" s="33"/>
      <c r="D113" s="1"/>
      <c r="E113" s="3"/>
      <c r="F113" s="4"/>
      <c r="G113" s="5"/>
      <c r="I113" s="3"/>
      <c r="J113" s="3"/>
      <c r="K113" s="3"/>
      <c r="L113" s="103"/>
      <c r="M113" s="108"/>
      <c r="N113" s="9"/>
    </row>
    <row r="114" spans="1:14" ht="13.95" customHeight="1">
      <c r="A114" s="1">
        <v>20</v>
      </c>
      <c r="B114" s="1"/>
      <c r="C114" s="33" t="s">
        <v>37</v>
      </c>
      <c r="D114" s="1" t="s">
        <v>6</v>
      </c>
      <c r="E114" s="3">
        <f>SUM(I114:N114)</f>
        <v>104</v>
      </c>
      <c r="F114" s="3">
        <v>75</v>
      </c>
      <c r="G114" s="5">
        <f t="shared" ref="G114" si="26">+E114*F114</f>
        <v>7800</v>
      </c>
      <c r="I114" s="3">
        <v>40</v>
      </c>
      <c r="J114" s="3"/>
      <c r="K114" s="3">
        <v>64</v>
      </c>
      <c r="L114" s="103"/>
      <c r="M114" s="108"/>
      <c r="N114" s="9"/>
    </row>
    <row r="115" spans="1:14" ht="13.95" customHeight="1">
      <c r="A115" s="1"/>
      <c r="B115" s="1"/>
      <c r="C115" s="33"/>
      <c r="D115" s="1"/>
      <c r="E115" s="3"/>
      <c r="F115" s="3"/>
      <c r="G115" s="5"/>
      <c r="I115" s="3"/>
      <c r="J115" s="3"/>
      <c r="K115" s="3"/>
      <c r="L115" s="103"/>
      <c r="M115" s="108"/>
      <c r="N115" s="9"/>
    </row>
    <row r="116" spans="1:14" ht="13.95" customHeight="1">
      <c r="A116" s="1"/>
      <c r="B116" s="1"/>
      <c r="C116" s="33" t="s">
        <v>226</v>
      </c>
      <c r="D116" s="1" t="s">
        <v>6</v>
      </c>
      <c r="E116" s="3">
        <f>SUM(I116:N116)</f>
        <v>0</v>
      </c>
      <c r="F116" s="3">
        <v>275</v>
      </c>
      <c r="G116" s="5">
        <f t="shared" ref="G116" si="27">+E116*F116</f>
        <v>0</v>
      </c>
      <c r="I116" s="3"/>
      <c r="J116" s="3"/>
      <c r="K116" s="3"/>
      <c r="L116" s="103"/>
      <c r="M116" s="108"/>
      <c r="N116" s="9"/>
    </row>
    <row r="117" spans="1:14" ht="13.95" customHeight="1">
      <c r="A117" s="1"/>
      <c r="B117" s="1"/>
      <c r="D117" s="1"/>
      <c r="E117" s="3"/>
      <c r="F117" s="4"/>
      <c r="G117" s="5"/>
      <c r="I117" s="3"/>
      <c r="J117" s="3"/>
      <c r="K117" s="3"/>
      <c r="L117" s="103"/>
      <c r="M117" s="108"/>
      <c r="N117" s="9"/>
    </row>
    <row r="118" spans="1:14" ht="13.95" customHeight="1">
      <c r="A118" s="1"/>
      <c r="B118" s="1"/>
      <c r="C118" s="42" t="s">
        <v>104</v>
      </c>
      <c r="D118" s="1"/>
      <c r="E118" s="3"/>
      <c r="F118" s="4"/>
      <c r="G118" s="5"/>
      <c r="I118" s="3"/>
      <c r="J118" s="3"/>
      <c r="K118" s="3"/>
      <c r="L118" s="103"/>
      <c r="M118" s="108"/>
      <c r="N118" s="9"/>
    </row>
    <row r="119" spans="1:14" ht="13.95" customHeight="1">
      <c r="A119" s="1"/>
      <c r="B119" s="1"/>
      <c r="C119" s="6"/>
      <c r="D119" s="1"/>
      <c r="E119" s="3"/>
      <c r="F119" s="4"/>
      <c r="G119" s="5"/>
      <c r="I119" s="3"/>
      <c r="J119" s="3"/>
      <c r="K119" s="3"/>
      <c r="L119" s="103"/>
      <c r="M119" s="108"/>
      <c r="N119" s="9"/>
    </row>
    <row r="120" spans="1:14" ht="13.95" customHeight="1">
      <c r="A120" s="1">
        <f>A114+1</f>
        <v>21</v>
      </c>
      <c r="B120" s="1"/>
      <c r="C120" s="6" t="s">
        <v>106</v>
      </c>
      <c r="D120" s="1" t="s">
        <v>1</v>
      </c>
      <c r="E120" s="3">
        <f>SUM(I120:AG120)</f>
        <v>268.5</v>
      </c>
      <c r="F120" s="3">
        <v>36</v>
      </c>
      <c r="G120" s="5">
        <f t="shared" ref="G120" si="28">+E120*F120</f>
        <v>9666</v>
      </c>
      <c r="I120" s="3">
        <v>208.5</v>
      </c>
      <c r="J120" s="3"/>
      <c r="K120" s="3">
        <v>60</v>
      </c>
      <c r="L120" s="103"/>
      <c r="M120" s="108"/>
      <c r="N120" s="9"/>
    </row>
    <row r="121" spans="1:14" ht="13.95" customHeight="1">
      <c r="A121" s="1"/>
      <c r="B121" s="1"/>
      <c r="C121" s="6"/>
      <c r="D121" s="1"/>
      <c r="E121" s="3"/>
      <c r="F121" s="4"/>
      <c r="G121" s="5"/>
      <c r="I121" s="3"/>
      <c r="J121" s="3"/>
      <c r="K121" s="3"/>
      <c r="L121" s="103"/>
      <c r="M121" s="108"/>
      <c r="N121" s="9"/>
    </row>
    <row r="122" spans="1:14" ht="13.95" customHeight="1">
      <c r="A122" s="1"/>
      <c r="B122" s="2" t="s">
        <v>91</v>
      </c>
      <c r="C122" s="34" t="s">
        <v>18</v>
      </c>
      <c r="D122" s="1"/>
      <c r="E122" s="3"/>
      <c r="F122" s="4"/>
      <c r="G122" s="5"/>
      <c r="I122" s="3"/>
      <c r="J122" s="3"/>
      <c r="K122" s="3"/>
      <c r="L122" s="103"/>
      <c r="M122" s="108"/>
      <c r="N122" s="9"/>
    </row>
    <row r="123" spans="1:14" ht="13.95" customHeight="1">
      <c r="A123" s="1"/>
      <c r="B123" s="1"/>
      <c r="C123" s="33"/>
      <c r="D123" s="1"/>
      <c r="E123" s="3"/>
      <c r="F123" s="4"/>
      <c r="G123" s="5"/>
      <c r="I123" s="3"/>
      <c r="J123" s="3"/>
      <c r="K123" s="3"/>
      <c r="L123" s="103"/>
      <c r="M123" s="108"/>
      <c r="N123" s="9"/>
    </row>
    <row r="124" spans="1:14" ht="13.95" customHeight="1">
      <c r="A124" s="1"/>
      <c r="B124" s="1" t="s">
        <v>84</v>
      </c>
      <c r="C124" s="32" t="s">
        <v>19</v>
      </c>
      <c r="D124" s="1"/>
      <c r="E124" s="3"/>
      <c r="F124" s="4"/>
      <c r="G124" s="5"/>
      <c r="I124" s="3"/>
      <c r="J124" s="3"/>
      <c r="K124" s="3"/>
      <c r="L124" s="103"/>
      <c r="M124" s="108"/>
      <c r="N124" s="9"/>
    </row>
    <row r="125" spans="1:14" ht="13.95" customHeight="1">
      <c r="A125" s="1"/>
      <c r="B125" s="1"/>
      <c r="C125" s="33"/>
      <c r="D125" s="1"/>
      <c r="E125" s="3"/>
      <c r="F125" s="4"/>
      <c r="G125" s="5"/>
      <c r="I125" s="3"/>
      <c r="J125" s="3"/>
      <c r="K125" s="3"/>
      <c r="L125" s="103"/>
      <c r="M125" s="108"/>
      <c r="N125" s="9"/>
    </row>
    <row r="126" spans="1:14" ht="13.95" customHeight="1">
      <c r="A126" s="1">
        <f>A120+1</f>
        <v>22</v>
      </c>
      <c r="B126" s="1"/>
      <c r="C126" s="33" t="s">
        <v>72</v>
      </c>
      <c r="D126" s="1" t="s">
        <v>2</v>
      </c>
      <c r="E126" s="3">
        <f>SUM(I126:N126)</f>
        <v>11.77</v>
      </c>
      <c r="F126" s="3">
        <v>25750</v>
      </c>
      <c r="G126" s="5">
        <f t="shared" ref="G126" si="29">+E126*F126</f>
        <v>303077.5</v>
      </c>
      <c r="I126" s="4">
        <v>9</v>
      </c>
      <c r="J126" s="4"/>
      <c r="K126" s="4">
        <v>0.72</v>
      </c>
      <c r="L126" s="103">
        <v>2.0499999999999998</v>
      </c>
      <c r="M126" s="108"/>
      <c r="N126" s="9"/>
    </row>
    <row r="127" spans="1:14" ht="13.95" customHeight="1">
      <c r="A127" s="1"/>
      <c r="B127" s="1"/>
      <c r="C127" s="33"/>
      <c r="D127" s="1"/>
      <c r="E127" s="3"/>
      <c r="F127" s="4"/>
      <c r="G127" s="5"/>
      <c r="I127" s="3"/>
      <c r="J127" s="3"/>
      <c r="K127" s="3"/>
      <c r="L127" s="103"/>
      <c r="M127" s="108"/>
      <c r="N127" s="9"/>
    </row>
    <row r="128" spans="1:14" ht="13.95" customHeight="1">
      <c r="A128" s="1"/>
      <c r="B128" s="1" t="s">
        <v>92</v>
      </c>
      <c r="C128" s="32" t="s">
        <v>3</v>
      </c>
      <c r="D128" s="1"/>
      <c r="E128" s="3"/>
      <c r="F128" s="4"/>
      <c r="G128" s="5"/>
      <c r="I128" s="3"/>
      <c r="J128" s="3"/>
      <c r="K128" s="3"/>
      <c r="L128" s="103"/>
      <c r="M128" s="108"/>
      <c r="N128" s="9"/>
    </row>
    <row r="129" spans="1:14" ht="13.95" customHeight="1">
      <c r="A129" s="1"/>
      <c r="B129" s="1"/>
      <c r="C129" s="33"/>
      <c r="D129" s="1"/>
      <c r="E129" s="3"/>
      <c r="F129" s="4"/>
      <c r="G129" s="5"/>
      <c r="I129" s="3"/>
      <c r="J129" s="3"/>
      <c r="K129" s="3"/>
      <c r="L129" s="103"/>
      <c r="M129" s="108"/>
      <c r="N129" s="9"/>
    </row>
    <row r="130" spans="1:14" ht="13.95" customHeight="1">
      <c r="A130" s="1">
        <f>A126+1</f>
        <v>23</v>
      </c>
      <c r="B130" s="1"/>
      <c r="C130" s="33" t="s">
        <v>73</v>
      </c>
      <c r="D130" s="1" t="s">
        <v>60</v>
      </c>
      <c r="E130" s="3">
        <f>SUM(I130:N130)</f>
        <v>200</v>
      </c>
      <c r="F130" s="13">
        <v>345</v>
      </c>
      <c r="G130" s="5">
        <f t="shared" ref="G130" si="30">+E130*F130</f>
        <v>69000</v>
      </c>
      <c r="I130" s="3"/>
      <c r="J130" s="3">
        <v>200</v>
      </c>
      <c r="K130" s="3"/>
      <c r="L130" s="103"/>
      <c r="M130" s="108"/>
      <c r="N130" s="9"/>
    </row>
    <row r="131" spans="1:14" ht="13.95" customHeight="1">
      <c r="A131" s="1"/>
      <c r="B131" s="1"/>
      <c r="C131" s="33"/>
      <c r="D131" s="1"/>
      <c r="E131" s="3"/>
      <c r="F131" s="4"/>
      <c r="G131" s="5"/>
      <c r="I131" s="3"/>
      <c r="J131" s="3"/>
      <c r="K131" s="3"/>
      <c r="L131" s="103"/>
      <c r="M131" s="108"/>
      <c r="N131" s="9"/>
    </row>
    <row r="132" spans="1:14" ht="13.95" customHeight="1">
      <c r="A132" s="1"/>
      <c r="B132" s="36" t="s">
        <v>93</v>
      </c>
      <c r="C132" s="34" t="s">
        <v>4</v>
      </c>
      <c r="D132" s="1"/>
      <c r="E132" s="3"/>
      <c r="F132" s="4"/>
      <c r="G132" s="5"/>
      <c r="I132" s="3"/>
      <c r="J132" s="3"/>
      <c r="K132" s="3"/>
      <c r="L132" s="103"/>
      <c r="M132" s="108"/>
      <c r="N132" s="9"/>
    </row>
    <row r="133" spans="1:14" ht="13.95" customHeight="1">
      <c r="A133" s="1"/>
      <c r="C133" s="33"/>
      <c r="D133" s="1"/>
      <c r="E133" s="3"/>
      <c r="F133" s="4"/>
      <c r="G133" s="5"/>
      <c r="I133" s="3"/>
      <c r="J133" s="3"/>
      <c r="K133" s="3"/>
      <c r="L133" s="103"/>
      <c r="M133" s="108"/>
      <c r="N133" s="9"/>
    </row>
    <row r="134" spans="1:14" ht="13.95" customHeight="1">
      <c r="A134" s="1"/>
      <c r="B134" s="20" t="s">
        <v>94</v>
      </c>
      <c r="C134" s="32" t="s">
        <v>5</v>
      </c>
      <c r="D134" s="1"/>
      <c r="E134" s="3"/>
      <c r="F134" s="4"/>
      <c r="G134" s="5"/>
      <c r="I134" s="3"/>
      <c r="J134" s="3"/>
      <c r="K134" s="3"/>
      <c r="L134" s="103"/>
      <c r="M134" s="108"/>
      <c r="N134" s="9"/>
    </row>
    <row r="135" spans="1:14" ht="13.95" customHeight="1">
      <c r="A135" s="1"/>
      <c r="C135" s="33"/>
      <c r="D135" s="1"/>
      <c r="E135" s="3"/>
      <c r="F135" s="4"/>
      <c r="G135" s="5"/>
      <c r="I135" s="3"/>
      <c r="J135" s="3"/>
      <c r="K135" s="3"/>
      <c r="L135" s="103"/>
      <c r="M135" s="108"/>
      <c r="N135" s="9"/>
    </row>
    <row r="136" spans="1:14" ht="13.95" customHeight="1">
      <c r="A136" s="1"/>
      <c r="C136" s="33" t="s">
        <v>74</v>
      </c>
      <c r="D136" s="1"/>
      <c r="E136" s="3"/>
      <c r="F136" s="4"/>
      <c r="G136" s="5"/>
      <c r="I136" s="3"/>
      <c r="J136" s="3"/>
      <c r="K136" s="3"/>
      <c r="L136" s="103"/>
      <c r="M136" s="108"/>
      <c r="N136" s="9"/>
    </row>
    <row r="137" spans="1:14" ht="13.95" customHeight="1">
      <c r="A137" s="1"/>
      <c r="C137" s="33"/>
      <c r="D137" s="1"/>
      <c r="E137" s="3"/>
      <c r="F137" s="4"/>
      <c r="G137" s="5"/>
      <c r="I137" s="3"/>
      <c r="J137" s="3"/>
      <c r="K137" s="3"/>
      <c r="L137" s="103"/>
      <c r="M137" s="108"/>
      <c r="N137" s="9"/>
    </row>
    <row r="138" spans="1:14" ht="13.95" customHeight="1">
      <c r="A138" s="1">
        <f>A130+1</f>
        <v>24</v>
      </c>
      <c r="C138" s="33" t="s">
        <v>24</v>
      </c>
      <c r="D138" s="1" t="s">
        <v>60</v>
      </c>
      <c r="E138" s="3">
        <f>SUM(I138:N138)</f>
        <v>269.04000000000002</v>
      </c>
      <c r="F138" s="3">
        <v>175</v>
      </c>
      <c r="G138" s="5">
        <f t="shared" ref="G138" si="31">+E138*F138</f>
        <v>47082</v>
      </c>
      <c r="I138" s="3">
        <v>246</v>
      </c>
      <c r="J138" s="3"/>
      <c r="K138" s="3"/>
      <c r="L138" s="103">
        <v>23.04</v>
      </c>
      <c r="M138" s="108"/>
      <c r="N138" s="9"/>
    </row>
    <row r="139" spans="1:14" ht="13.95" customHeight="1">
      <c r="A139" s="1"/>
      <c r="C139" s="33"/>
      <c r="D139" s="1"/>
      <c r="E139" s="3"/>
      <c r="F139" s="3"/>
      <c r="G139" s="5"/>
      <c r="I139" s="3"/>
      <c r="J139" s="3"/>
      <c r="K139" s="3"/>
      <c r="L139" s="103"/>
      <c r="M139" s="108"/>
      <c r="N139" s="9"/>
    </row>
    <row r="140" spans="1:14" ht="13.95" customHeight="1">
      <c r="A140" s="1"/>
      <c r="C140" s="33"/>
      <c r="D140" s="1"/>
      <c r="E140" s="3"/>
      <c r="F140" s="3"/>
      <c r="G140" s="5"/>
      <c r="I140" s="3"/>
      <c r="J140" s="3"/>
      <c r="K140" s="3"/>
      <c r="L140" s="103"/>
      <c r="M140" s="108"/>
      <c r="N140" s="9"/>
    </row>
    <row r="141" spans="1:14" ht="13.95" customHeight="1">
      <c r="A141" s="1"/>
      <c r="C141" s="33"/>
      <c r="D141" s="1"/>
      <c r="E141" s="3"/>
      <c r="F141" s="3"/>
      <c r="G141" s="5"/>
      <c r="I141" s="3"/>
      <c r="J141" s="3"/>
      <c r="K141" s="3"/>
      <c r="L141" s="103"/>
      <c r="M141" s="108"/>
      <c r="N141" s="9"/>
    </row>
    <row r="142" spans="1:14" ht="13.95" customHeight="1">
      <c r="A142" s="1"/>
      <c r="C142" s="33"/>
      <c r="D142" s="1"/>
      <c r="E142" s="3"/>
      <c r="F142" s="3"/>
      <c r="G142" s="5"/>
      <c r="I142" s="3"/>
      <c r="J142" s="3"/>
      <c r="K142" s="3"/>
      <c r="L142" s="103"/>
      <c r="M142" s="108"/>
      <c r="N142" s="9"/>
    </row>
    <row r="143" spans="1:14" ht="13.95" customHeight="1">
      <c r="A143" s="1"/>
      <c r="C143" s="33"/>
      <c r="D143" s="1"/>
      <c r="E143" s="3"/>
      <c r="F143" s="3"/>
      <c r="G143" s="5"/>
      <c r="I143" s="3"/>
      <c r="J143" s="3"/>
      <c r="K143" s="3"/>
      <c r="L143" s="103"/>
      <c r="M143" s="108"/>
      <c r="N143" s="9"/>
    </row>
    <row r="144" spans="1:14" ht="13.95" customHeight="1">
      <c r="A144" s="1"/>
      <c r="C144" s="33"/>
      <c r="D144" s="1"/>
      <c r="E144" s="3"/>
      <c r="F144" s="3"/>
      <c r="G144" s="5"/>
      <c r="I144" s="3"/>
      <c r="J144" s="3"/>
      <c r="K144" s="3"/>
      <c r="L144" s="103"/>
      <c r="M144" s="108"/>
      <c r="N144" s="9"/>
    </row>
    <row r="145" spans="1:14" ht="13.95" customHeight="1">
      <c r="A145" s="1"/>
      <c r="B145" s="1"/>
      <c r="C145" s="33"/>
      <c r="D145" s="1"/>
      <c r="E145" s="3"/>
      <c r="F145" s="4"/>
      <c r="G145" s="5"/>
      <c r="I145" s="3"/>
      <c r="J145" s="3"/>
      <c r="K145" s="3"/>
      <c r="L145" s="103"/>
      <c r="M145" s="108"/>
      <c r="N145" s="9"/>
    </row>
    <row r="146" spans="1:14" ht="13.95" customHeight="1">
      <c r="A146" s="1"/>
      <c r="B146" s="1"/>
      <c r="C146" s="33"/>
      <c r="D146" s="1"/>
      <c r="E146" s="3"/>
      <c r="F146" s="4"/>
      <c r="G146" s="5"/>
      <c r="I146" s="3"/>
      <c r="J146" s="3"/>
      <c r="K146" s="3"/>
      <c r="L146" s="103"/>
      <c r="M146" s="108"/>
      <c r="N146" s="9"/>
    </row>
    <row r="147" spans="1:14" ht="13.95" customHeight="1">
      <c r="A147" s="1"/>
      <c r="B147" s="1"/>
      <c r="C147" s="33"/>
      <c r="D147" s="1"/>
      <c r="E147" s="3"/>
      <c r="F147" s="4"/>
      <c r="G147" s="5"/>
      <c r="I147" s="3"/>
      <c r="J147" s="3"/>
      <c r="K147" s="3"/>
      <c r="L147" s="103"/>
      <c r="M147" s="108"/>
      <c r="N147" s="9"/>
    </row>
    <row r="148" spans="1:14" ht="20.100000000000001" customHeight="1">
      <c r="A148" s="149" t="s">
        <v>66</v>
      </c>
      <c r="B148" s="150"/>
      <c r="C148" s="150"/>
      <c r="D148" s="150"/>
      <c r="E148" s="150"/>
      <c r="F148" s="151"/>
      <c r="G148" s="116">
        <f>SUM(G100:G147)</f>
        <v>750939</v>
      </c>
      <c r="I148" s="9"/>
      <c r="J148" s="9"/>
      <c r="K148" s="9"/>
      <c r="L148" s="103"/>
      <c r="M148" s="108"/>
      <c r="N148" s="9"/>
    </row>
    <row r="149" spans="1:14" ht="13.95" customHeight="1">
      <c r="A149" s="39"/>
      <c r="B149" s="39"/>
      <c r="C149" s="39"/>
      <c r="D149" s="39"/>
      <c r="E149" s="39"/>
      <c r="F149" s="39"/>
      <c r="G149" s="113"/>
      <c r="I149" s="9"/>
      <c r="J149" s="9"/>
      <c r="K149" s="9"/>
      <c r="L149" s="103"/>
      <c r="M149" s="108"/>
      <c r="N149" s="9"/>
    </row>
    <row r="150" spans="1:14" ht="13.95" customHeight="1">
      <c r="A150" s="39"/>
      <c r="B150" s="39"/>
      <c r="C150" s="39"/>
      <c r="D150" s="39"/>
      <c r="E150" s="39"/>
      <c r="F150" s="39"/>
      <c r="G150" s="113"/>
      <c r="I150" s="9"/>
      <c r="J150" s="9"/>
      <c r="K150" s="9"/>
      <c r="L150" s="103"/>
      <c r="M150" s="108"/>
      <c r="N150" s="9"/>
    </row>
    <row r="151" spans="1:14" ht="22.2" customHeight="1">
      <c r="A151" s="44" t="s">
        <v>8</v>
      </c>
      <c r="B151" s="48" t="s">
        <v>9</v>
      </c>
      <c r="C151" s="44" t="s">
        <v>10</v>
      </c>
      <c r="D151" s="48" t="s">
        <v>11</v>
      </c>
      <c r="E151" s="48" t="s">
        <v>59</v>
      </c>
      <c r="F151" s="49" t="s">
        <v>12</v>
      </c>
      <c r="G151" s="111" t="s">
        <v>13</v>
      </c>
      <c r="I151" s="9"/>
      <c r="J151" s="9"/>
      <c r="K151" s="9"/>
      <c r="L151" s="103"/>
      <c r="M151" s="108"/>
      <c r="N151" s="9"/>
    </row>
    <row r="152" spans="1:14" ht="20.100000000000001" customHeight="1">
      <c r="A152" s="149" t="s">
        <v>67</v>
      </c>
      <c r="B152" s="150"/>
      <c r="C152" s="150"/>
      <c r="D152" s="150"/>
      <c r="E152" s="150"/>
      <c r="F152" s="151"/>
      <c r="G152" s="116">
        <f>+G148</f>
        <v>750939</v>
      </c>
      <c r="I152" s="9"/>
      <c r="J152" s="9"/>
      <c r="K152" s="9"/>
      <c r="L152" s="103"/>
      <c r="M152" s="108"/>
      <c r="N152" s="9"/>
    </row>
    <row r="153" spans="1:14" ht="13.95" customHeight="1">
      <c r="A153" s="1"/>
      <c r="B153" s="1"/>
      <c r="C153" s="33"/>
      <c r="D153" s="1"/>
      <c r="E153" s="3"/>
      <c r="F153" s="4"/>
      <c r="G153" s="5"/>
      <c r="I153" s="3"/>
      <c r="J153" s="3"/>
      <c r="K153" s="3"/>
      <c r="L153" s="103"/>
      <c r="M153" s="108"/>
      <c r="N153" s="9"/>
    </row>
    <row r="154" spans="1:14" ht="13.95" customHeight="1">
      <c r="A154" s="1"/>
      <c r="B154" s="1"/>
      <c r="C154" s="32" t="s">
        <v>158</v>
      </c>
      <c r="D154" s="1"/>
      <c r="E154" s="3"/>
      <c r="F154" s="4"/>
      <c r="G154" s="5"/>
      <c r="I154" s="3"/>
      <c r="J154" s="3"/>
      <c r="K154" s="3"/>
      <c r="L154" s="103"/>
      <c r="M154" s="108"/>
      <c r="N154" s="9"/>
    </row>
    <row r="155" spans="1:14" ht="13.95" customHeight="1">
      <c r="A155" s="1"/>
      <c r="B155" s="1"/>
      <c r="C155" s="33"/>
      <c r="D155" s="1"/>
      <c r="E155" s="3"/>
      <c r="F155" s="4"/>
      <c r="G155" s="5"/>
      <c r="I155" s="3"/>
      <c r="J155" s="3"/>
      <c r="K155" s="3"/>
      <c r="L155" s="103"/>
      <c r="M155" s="108"/>
      <c r="N155" s="9"/>
    </row>
    <row r="156" spans="1:14" ht="13.95" customHeight="1">
      <c r="A156" s="1">
        <f>A138+1</f>
        <v>25</v>
      </c>
      <c r="B156" s="1"/>
      <c r="C156" s="33" t="s">
        <v>202</v>
      </c>
      <c r="D156" s="1" t="s">
        <v>51</v>
      </c>
      <c r="E156" s="3">
        <f>SUM(I156:N156)</f>
        <v>22</v>
      </c>
      <c r="F156" s="3">
        <v>3550</v>
      </c>
      <c r="G156" s="5">
        <f t="shared" ref="G156" si="32">+E156*F156</f>
        <v>78100</v>
      </c>
      <c r="I156" s="3">
        <v>16</v>
      </c>
      <c r="J156" s="3"/>
      <c r="K156" s="3">
        <v>6</v>
      </c>
      <c r="L156" s="103"/>
      <c r="M156" s="108"/>
      <c r="N156" s="9"/>
    </row>
    <row r="157" spans="1:14" ht="13.95" customHeight="1">
      <c r="A157" s="1"/>
      <c r="B157" s="1"/>
      <c r="C157" s="33"/>
      <c r="D157" s="1"/>
      <c r="E157" s="3"/>
      <c r="F157" s="3"/>
      <c r="G157" s="5"/>
      <c r="I157" s="3"/>
      <c r="J157" s="3"/>
      <c r="K157" s="3"/>
      <c r="L157" s="103"/>
      <c r="M157" s="108"/>
      <c r="N157" s="9"/>
    </row>
    <row r="158" spans="1:14" ht="13.95" customHeight="1">
      <c r="A158" s="1">
        <f>A156+1</f>
        <v>26</v>
      </c>
      <c r="B158" s="1"/>
      <c r="C158" s="33" t="s">
        <v>28</v>
      </c>
      <c r="D158" s="1" t="s">
        <v>51</v>
      </c>
      <c r="E158" s="3">
        <f>SUM(I158:N158)</f>
        <v>71.62</v>
      </c>
      <c r="F158" s="3">
        <v>3200</v>
      </c>
      <c r="G158" s="5">
        <f t="shared" ref="G158" si="33">+E158*F158</f>
        <v>229184</v>
      </c>
      <c r="I158" s="3">
        <v>62.4</v>
      </c>
      <c r="J158" s="3"/>
      <c r="K158" s="3"/>
      <c r="L158" s="103">
        <v>9.2200000000000006</v>
      </c>
      <c r="M158" s="108"/>
      <c r="N158" s="9"/>
    </row>
    <row r="159" spans="1:14" ht="13.95" customHeight="1">
      <c r="A159" s="1"/>
      <c r="B159" s="1"/>
      <c r="C159" s="33"/>
      <c r="D159" s="1"/>
      <c r="E159" s="3"/>
      <c r="F159" s="3"/>
      <c r="G159" s="5"/>
      <c r="I159" s="3"/>
      <c r="J159" s="3"/>
      <c r="K159" s="3"/>
      <c r="L159" s="103"/>
      <c r="M159" s="108"/>
      <c r="N159" s="9"/>
    </row>
    <row r="160" spans="1:14" ht="13.95" customHeight="1">
      <c r="A160" s="1">
        <v>25</v>
      </c>
      <c r="B160" s="1"/>
      <c r="C160" s="33" t="s">
        <v>62</v>
      </c>
      <c r="D160" s="1" t="s">
        <v>51</v>
      </c>
      <c r="E160" s="3">
        <f>SUM(I160:N160)</f>
        <v>7.5</v>
      </c>
      <c r="F160" s="3">
        <v>3350</v>
      </c>
      <c r="G160" s="5">
        <f t="shared" ref="G160" si="34">+E160*F160</f>
        <v>25125</v>
      </c>
      <c r="I160" s="3"/>
      <c r="J160" s="3"/>
      <c r="K160" s="3"/>
      <c r="L160" s="103">
        <v>7.5</v>
      </c>
      <c r="M160" s="108"/>
      <c r="N160" s="9"/>
    </row>
    <row r="161" spans="1:14" ht="13.95" customHeight="1">
      <c r="A161" s="1"/>
      <c r="B161" s="1"/>
      <c r="C161" s="33"/>
      <c r="D161" s="1"/>
      <c r="E161" s="3"/>
      <c r="F161" s="3"/>
      <c r="G161" s="5"/>
      <c r="I161" s="3"/>
      <c r="J161" s="3"/>
      <c r="K161" s="3"/>
      <c r="L161" s="103"/>
      <c r="M161" s="108"/>
      <c r="N161" s="9"/>
    </row>
    <row r="162" spans="1:14" ht="13.95" customHeight="1">
      <c r="A162" s="1">
        <v>26</v>
      </c>
      <c r="B162" s="1"/>
      <c r="C162" s="33" t="s">
        <v>27</v>
      </c>
      <c r="D162" s="1" t="s">
        <v>51</v>
      </c>
      <c r="E162" s="3">
        <f>SUM(I162:N162)</f>
        <v>25</v>
      </c>
      <c r="F162" s="3">
        <v>3200</v>
      </c>
      <c r="G162" s="5">
        <f t="shared" ref="G162" si="35">+E162*F162</f>
        <v>80000</v>
      </c>
      <c r="I162" s="3"/>
      <c r="J162" s="3">
        <v>25</v>
      </c>
      <c r="K162" s="3"/>
      <c r="L162" s="103"/>
      <c r="M162" s="108"/>
      <c r="N162" s="9"/>
    </row>
    <row r="163" spans="1:14" ht="13.95" customHeight="1">
      <c r="A163" s="1"/>
      <c r="B163" s="1"/>
      <c r="C163" s="33"/>
      <c r="D163" s="1"/>
      <c r="E163" s="3"/>
      <c r="F163" s="3"/>
      <c r="G163" s="5"/>
      <c r="I163" s="3"/>
      <c r="J163" s="3"/>
      <c r="K163" s="3"/>
      <c r="L163" s="103"/>
      <c r="M163" s="108"/>
      <c r="N163" s="9"/>
    </row>
    <row r="164" spans="1:14" ht="13.95" customHeight="1">
      <c r="A164" s="1">
        <f>A162+1</f>
        <v>27</v>
      </c>
      <c r="B164" s="1"/>
      <c r="C164" s="33" t="s">
        <v>250</v>
      </c>
      <c r="D164" s="1" t="s">
        <v>51</v>
      </c>
      <c r="E164" s="3">
        <f>SUM(I164:N164)</f>
        <v>0</v>
      </c>
      <c r="F164" s="3">
        <v>3650</v>
      </c>
      <c r="G164" s="5">
        <f t="shared" ref="G164" si="36">+E164*F164</f>
        <v>0</v>
      </c>
      <c r="I164" s="3"/>
      <c r="J164" s="3"/>
      <c r="K164" s="3"/>
      <c r="L164" s="103"/>
      <c r="M164" s="108"/>
      <c r="N164" s="9"/>
    </row>
    <row r="165" spans="1:14" ht="13.95" customHeight="1">
      <c r="A165" s="1"/>
      <c r="B165" s="1"/>
      <c r="C165" s="33"/>
      <c r="D165" s="1"/>
      <c r="E165" s="3"/>
      <c r="F165" s="4"/>
      <c r="G165" s="5"/>
      <c r="I165" s="3"/>
      <c r="J165" s="3"/>
      <c r="K165" s="3"/>
      <c r="L165" s="103"/>
      <c r="M165" s="108"/>
      <c r="N165" s="9"/>
    </row>
    <row r="166" spans="1:14" ht="13.95" customHeight="1">
      <c r="A166" s="1"/>
      <c r="B166" s="1" t="s">
        <v>96</v>
      </c>
      <c r="C166" s="32" t="s">
        <v>159</v>
      </c>
      <c r="D166" s="1"/>
      <c r="E166" s="3"/>
      <c r="F166" s="4"/>
      <c r="G166" s="5"/>
      <c r="I166" s="9"/>
      <c r="J166" s="9"/>
      <c r="K166" s="9"/>
      <c r="L166" s="103"/>
      <c r="M166" s="108"/>
      <c r="N166" s="9"/>
    </row>
    <row r="167" spans="1:14" ht="13.95" customHeight="1">
      <c r="A167" s="1"/>
      <c r="B167" s="1"/>
      <c r="C167" s="33"/>
      <c r="D167" s="1"/>
      <c r="E167" s="3"/>
      <c r="F167" s="4"/>
      <c r="G167" s="5"/>
      <c r="I167" s="9"/>
      <c r="J167" s="9"/>
      <c r="K167" s="9"/>
      <c r="L167" s="103"/>
      <c r="M167" s="108"/>
      <c r="N167" s="9"/>
    </row>
    <row r="168" spans="1:14" ht="13.95" customHeight="1">
      <c r="A168" s="1"/>
      <c r="B168" s="1"/>
      <c r="C168" s="33" t="s">
        <v>160</v>
      </c>
      <c r="D168" s="1"/>
      <c r="E168" s="3"/>
      <c r="F168" s="4"/>
      <c r="G168" s="5"/>
      <c r="I168" s="9"/>
      <c r="J168" s="9"/>
      <c r="K168" s="9"/>
      <c r="L168" s="103"/>
      <c r="M168" s="108"/>
      <c r="N168" s="9"/>
    </row>
    <row r="169" spans="1:14" ht="13.95" customHeight="1">
      <c r="A169" s="1"/>
      <c r="B169" s="1"/>
      <c r="C169" s="33"/>
      <c r="D169" s="1"/>
      <c r="E169" s="3"/>
      <c r="F169" s="4"/>
      <c r="G169" s="5"/>
      <c r="I169" s="9"/>
      <c r="J169" s="9"/>
      <c r="K169" s="9"/>
      <c r="L169" s="103"/>
      <c r="M169" s="108"/>
      <c r="N169" s="9"/>
    </row>
    <row r="170" spans="1:14" ht="13.95" customHeight="1">
      <c r="A170" s="1">
        <f>A164+1</f>
        <v>28</v>
      </c>
      <c r="B170" s="1"/>
      <c r="C170" s="33" t="s">
        <v>28</v>
      </c>
      <c r="D170" s="1" t="s">
        <v>60</v>
      </c>
      <c r="E170" s="3">
        <f>SUM(I170:N170)</f>
        <v>216.14</v>
      </c>
      <c r="F170" s="3">
        <v>46</v>
      </c>
      <c r="G170" s="5">
        <f t="shared" ref="G170" si="37">+E170*F170</f>
        <v>9942.4399999999987</v>
      </c>
      <c r="I170" s="3">
        <v>193.1</v>
      </c>
      <c r="J170" s="3"/>
      <c r="K170" s="3"/>
      <c r="L170" s="103">
        <v>23.04</v>
      </c>
      <c r="M170" s="108"/>
      <c r="N170" s="9"/>
    </row>
    <row r="171" spans="1:14" ht="13.95" customHeight="1">
      <c r="A171" s="1"/>
      <c r="B171" s="1"/>
      <c r="C171" s="33"/>
      <c r="D171" s="1"/>
      <c r="E171" s="3"/>
      <c r="F171" s="3"/>
      <c r="G171" s="5"/>
      <c r="I171" s="3"/>
      <c r="J171" s="3"/>
      <c r="K171" s="3"/>
      <c r="L171" s="103"/>
      <c r="M171" s="108"/>
      <c r="N171" s="9"/>
    </row>
    <row r="172" spans="1:14" ht="13.95" customHeight="1">
      <c r="A172" s="1"/>
      <c r="B172" s="1"/>
      <c r="C172" s="33" t="s">
        <v>196</v>
      </c>
      <c r="D172" s="1"/>
      <c r="E172" s="3"/>
      <c r="F172" s="3"/>
      <c r="G172" s="5"/>
      <c r="I172" s="3"/>
      <c r="J172" s="3"/>
      <c r="K172" s="3"/>
      <c r="L172" s="103"/>
      <c r="M172" s="108"/>
      <c r="N172" s="9"/>
    </row>
    <row r="173" spans="1:14" ht="13.95" customHeight="1">
      <c r="A173" s="1"/>
      <c r="B173" s="1"/>
      <c r="C173" s="33"/>
      <c r="D173" s="1"/>
      <c r="E173" s="3"/>
      <c r="F173" s="3"/>
      <c r="G173" s="5"/>
      <c r="I173" s="3"/>
      <c r="J173" s="3"/>
      <c r="K173" s="3"/>
      <c r="L173" s="103"/>
      <c r="M173" s="108"/>
      <c r="N173" s="9"/>
    </row>
    <row r="174" spans="1:14" ht="13.95" customHeight="1">
      <c r="A174" s="1">
        <f>A170+1</f>
        <v>29</v>
      </c>
      <c r="B174" s="1"/>
      <c r="C174" s="33" t="s">
        <v>29</v>
      </c>
      <c r="D174" s="1" t="s">
        <v>60</v>
      </c>
      <c r="E174" s="3">
        <f>SUM(I174:N174)</f>
        <v>200</v>
      </c>
      <c r="F174" s="3">
        <v>75</v>
      </c>
      <c r="G174" s="5">
        <f t="shared" ref="G174" si="38">+E174*F174</f>
        <v>15000</v>
      </c>
      <c r="I174" s="3"/>
      <c r="J174" s="3">
        <v>200</v>
      </c>
      <c r="K174" s="3"/>
      <c r="L174" s="103"/>
      <c r="M174" s="108"/>
      <c r="N174" s="9"/>
    </row>
    <row r="175" spans="1:14" ht="13.95" customHeight="1">
      <c r="A175" s="1"/>
      <c r="B175" s="1"/>
      <c r="C175" s="33"/>
      <c r="D175" s="1"/>
      <c r="E175" s="3"/>
      <c r="F175" s="4"/>
      <c r="G175" s="5"/>
      <c r="I175" s="3"/>
      <c r="J175" s="3"/>
      <c r="K175" s="3"/>
      <c r="L175" s="103"/>
      <c r="M175" s="108"/>
      <c r="N175" s="9"/>
    </row>
    <row r="176" spans="1:14" ht="13.95" customHeight="1">
      <c r="A176" s="1"/>
      <c r="B176" s="1" t="s">
        <v>97</v>
      </c>
      <c r="C176" s="34" t="s">
        <v>20</v>
      </c>
      <c r="D176" s="1"/>
      <c r="E176" s="3"/>
      <c r="F176" s="4"/>
      <c r="G176" s="5"/>
      <c r="I176" s="3"/>
      <c r="J176" s="3"/>
      <c r="K176" s="3"/>
      <c r="L176" s="103"/>
      <c r="M176" s="108"/>
      <c r="N176" s="9"/>
    </row>
    <row r="177" spans="1:14" ht="13.95" customHeight="1">
      <c r="A177" s="1"/>
      <c r="B177" s="1"/>
      <c r="C177" s="34"/>
      <c r="D177" s="1"/>
      <c r="E177" s="3"/>
      <c r="F177" s="4"/>
      <c r="G177" s="5"/>
      <c r="I177" s="3"/>
      <c r="J177" s="3"/>
      <c r="K177" s="3"/>
      <c r="L177" s="103"/>
      <c r="M177" s="108"/>
      <c r="N177" s="9"/>
    </row>
    <row r="178" spans="1:14" ht="13.95" customHeight="1">
      <c r="A178" s="1"/>
      <c r="B178" s="1"/>
      <c r="C178" s="32" t="s">
        <v>213</v>
      </c>
      <c r="D178" s="1"/>
      <c r="E178" s="3"/>
      <c r="F178" s="4"/>
      <c r="G178" s="5"/>
      <c r="I178" s="3"/>
      <c r="J178" s="3"/>
      <c r="K178" s="3"/>
      <c r="L178" s="103"/>
      <c r="M178" s="108"/>
      <c r="N178" s="9"/>
    </row>
    <row r="179" spans="1:14" ht="13.95" customHeight="1">
      <c r="A179" s="1"/>
      <c r="B179" s="1"/>
      <c r="C179" s="34"/>
      <c r="D179" s="1"/>
      <c r="E179" s="3"/>
      <c r="F179" s="4"/>
      <c r="G179" s="5"/>
      <c r="I179" s="3"/>
      <c r="J179" s="3"/>
      <c r="K179" s="3"/>
      <c r="L179" s="103"/>
      <c r="M179" s="108"/>
      <c r="N179" s="9"/>
    </row>
    <row r="180" spans="1:14" ht="27" customHeight="1">
      <c r="A180" s="1">
        <f>A174+1</f>
        <v>30</v>
      </c>
      <c r="B180" s="1"/>
      <c r="C180" s="33" t="s">
        <v>237</v>
      </c>
      <c r="D180" s="1" t="s">
        <v>1</v>
      </c>
      <c r="E180" s="3">
        <f>SUM(I180:N180)</f>
        <v>0</v>
      </c>
      <c r="F180" s="3">
        <v>375</v>
      </c>
      <c r="G180" s="5">
        <f t="shared" ref="G180" si="39">+E180*F180</f>
        <v>0</v>
      </c>
      <c r="I180" s="3"/>
      <c r="J180" s="3"/>
      <c r="K180" s="3"/>
      <c r="L180" s="103"/>
      <c r="M180" s="108"/>
      <c r="N180" s="9"/>
    </row>
    <row r="181" spans="1:14" ht="13.95" customHeight="1">
      <c r="A181" s="1"/>
      <c r="B181" s="1"/>
      <c r="C181" s="33"/>
      <c r="D181" s="1"/>
      <c r="E181" s="3"/>
      <c r="F181" s="3"/>
      <c r="G181" s="5"/>
      <c r="I181" s="3"/>
      <c r="J181" s="3"/>
      <c r="K181" s="3"/>
      <c r="L181" s="103"/>
      <c r="M181" s="108"/>
      <c r="N181" s="9"/>
    </row>
    <row r="182" spans="1:14" ht="24.6" customHeight="1">
      <c r="A182" s="1">
        <f>A180+1</f>
        <v>31</v>
      </c>
      <c r="B182" s="1"/>
      <c r="C182" s="33" t="s">
        <v>285</v>
      </c>
      <c r="D182" s="1" t="s">
        <v>1</v>
      </c>
      <c r="E182" s="3">
        <f>SUM(I182:N182)</f>
        <v>20</v>
      </c>
      <c r="F182" s="3">
        <v>355</v>
      </c>
      <c r="G182" s="5">
        <f t="shared" ref="G182" si="40">+E182*F182</f>
        <v>7100</v>
      </c>
      <c r="I182" s="3"/>
      <c r="J182" s="3">
        <v>20</v>
      </c>
      <c r="K182" s="3"/>
      <c r="L182" s="104"/>
      <c r="M182" s="108"/>
      <c r="N182" s="9"/>
    </row>
    <row r="183" spans="1:14" ht="13.95" customHeight="1">
      <c r="A183" s="1"/>
      <c r="B183" s="1"/>
      <c r="C183" s="33"/>
      <c r="D183" s="1"/>
      <c r="E183" s="3"/>
      <c r="F183" s="3"/>
      <c r="G183" s="5"/>
      <c r="I183" s="3"/>
      <c r="J183" s="3"/>
      <c r="K183" s="3"/>
      <c r="L183" s="103"/>
      <c r="M183" s="108"/>
      <c r="N183" s="9"/>
    </row>
    <row r="184" spans="1:14" ht="23.4" customHeight="1">
      <c r="A184" s="1">
        <f>A182+1</f>
        <v>32</v>
      </c>
      <c r="B184" s="1"/>
      <c r="C184" s="33" t="s">
        <v>243</v>
      </c>
      <c r="D184" s="1" t="s">
        <v>1</v>
      </c>
      <c r="E184" s="3">
        <f>SUM(I184:N184)</f>
        <v>167.7</v>
      </c>
      <c r="F184" s="3">
        <v>195</v>
      </c>
      <c r="G184" s="5">
        <f t="shared" ref="G184" si="41">+E184*F184</f>
        <v>32701.499999999996</v>
      </c>
      <c r="I184" s="3">
        <v>47.7</v>
      </c>
      <c r="J184" s="3">
        <v>60</v>
      </c>
      <c r="K184" s="3">
        <v>60</v>
      </c>
      <c r="L184" s="103"/>
      <c r="M184" s="108"/>
      <c r="N184" s="9"/>
    </row>
    <row r="185" spans="1:14" ht="13.95" customHeight="1">
      <c r="A185" s="1"/>
      <c r="B185" s="1"/>
      <c r="C185" s="33"/>
      <c r="D185" s="1"/>
      <c r="E185" s="3"/>
      <c r="F185" s="3"/>
      <c r="G185" s="5"/>
      <c r="I185" s="3"/>
      <c r="J185" s="3"/>
      <c r="K185" s="3"/>
      <c r="L185" s="103"/>
      <c r="M185" s="108"/>
      <c r="N185" s="9"/>
    </row>
    <row r="186" spans="1:14" ht="13.95" customHeight="1">
      <c r="A186" s="1"/>
      <c r="B186" s="1"/>
      <c r="C186" s="33" t="s">
        <v>239</v>
      </c>
      <c r="D186" s="1" t="s">
        <v>1</v>
      </c>
      <c r="E186" s="3">
        <f>SUM(I186:N186)</f>
        <v>40</v>
      </c>
      <c r="F186" s="3">
        <v>155</v>
      </c>
      <c r="G186" s="5">
        <f t="shared" ref="G186" si="42">+E186*F186</f>
        <v>6200</v>
      </c>
      <c r="I186" s="3"/>
      <c r="J186" s="3">
        <v>40</v>
      </c>
      <c r="K186" s="3"/>
      <c r="L186" s="103"/>
      <c r="M186" s="108"/>
      <c r="N186" s="9"/>
    </row>
    <row r="187" spans="1:14" ht="13.95" customHeight="1">
      <c r="A187" s="1"/>
      <c r="B187" s="1"/>
      <c r="C187" s="33"/>
      <c r="D187" s="1"/>
      <c r="E187" s="3"/>
      <c r="F187" s="4"/>
      <c r="G187" s="5"/>
      <c r="I187" s="3"/>
      <c r="J187" s="3"/>
      <c r="K187" s="3"/>
      <c r="L187" s="103"/>
      <c r="M187" s="108"/>
      <c r="N187" s="9"/>
    </row>
    <row r="188" spans="1:14" ht="13.95" customHeight="1">
      <c r="A188" s="1"/>
      <c r="B188" s="1"/>
      <c r="C188" s="32" t="s">
        <v>198</v>
      </c>
      <c r="D188" s="1"/>
      <c r="E188" s="3"/>
      <c r="F188" s="4"/>
      <c r="G188" s="5"/>
      <c r="I188" s="3"/>
      <c r="J188" s="3"/>
      <c r="K188" s="3"/>
      <c r="L188" s="103"/>
      <c r="M188" s="108"/>
      <c r="N188" s="9"/>
    </row>
    <row r="189" spans="1:14" ht="13.95" customHeight="1">
      <c r="A189" s="1"/>
      <c r="B189" s="1"/>
      <c r="C189" s="33"/>
      <c r="D189" s="1"/>
      <c r="E189" s="3"/>
      <c r="F189" s="4"/>
      <c r="G189" s="5"/>
      <c r="I189" s="3"/>
      <c r="J189" s="3"/>
      <c r="K189" s="3"/>
      <c r="L189" s="103"/>
      <c r="M189" s="108"/>
      <c r="N189" s="9"/>
    </row>
    <row r="190" spans="1:14" ht="13.95" customHeight="1">
      <c r="A190" s="1">
        <f>A184+1</f>
        <v>33</v>
      </c>
      <c r="B190" s="1"/>
      <c r="C190" s="33" t="s">
        <v>199</v>
      </c>
      <c r="D190" s="1" t="s">
        <v>1</v>
      </c>
      <c r="E190" s="3">
        <f>SUM(I190:N190)</f>
        <v>0</v>
      </c>
      <c r="F190" s="3">
        <f>F180</f>
        <v>375</v>
      </c>
      <c r="G190" s="5">
        <f t="shared" ref="G190" si="43">+E190*F190</f>
        <v>0</v>
      </c>
      <c r="I190" s="3"/>
      <c r="J190" s="3"/>
      <c r="K190" s="3"/>
      <c r="L190" s="103"/>
      <c r="M190" s="108"/>
      <c r="N190" s="9"/>
    </row>
    <row r="191" spans="1:14" ht="13.95" customHeight="1">
      <c r="A191" s="1"/>
      <c r="B191" s="1"/>
      <c r="C191" s="33"/>
      <c r="D191" s="1"/>
      <c r="E191" s="3"/>
      <c r="F191" s="3"/>
      <c r="G191" s="5"/>
      <c r="I191" s="3"/>
      <c r="J191" s="3"/>
      <c r="K191" s="3"/>
      <c r="L191" s="103"/>
      <c r="M191" s="108"/>
      <c r="N191" s="9"/>
    </row>
    <row r="192" spans="1:14" ht="13.95" customHeight="1">
      <c r="A192" s="1">
        <f>A190+1</f>
        <v>34</v>
      </c>
      <c r="B192" s="1"/>
      <c r="C192" s="33" t="s">
        <v>200</v>
      </c>
      <c r="D192" s="1" t="s">
        <v>1</v>
      </c>
      <c r="E192" s="3">
        <f>SUM(I192:N192)</f>
        <v>0</v>
      </c>
      <c r="F192" s="3">
        <v>395</v>
      </c>
      <c r="G192" s="5">
        <f t="shared" ref="G192" si="44">+E192*F192</f>
        <v>0</v>
      </c>
      <c r="I192" s="3"/>
      <c r="J192" s="3"/>
      <c r="K192" s="3"/>
      <c r="L192" s="103"/>
      <c r="M192" s="108"/>
      <c r="N192" s="9"/>
    </row>
    <row r="193" spans="1:14" ht="13.95" customHeight="1">
      <c r="A193" s="1"/>
      <c r="B193" s="1"/>
      <c r="C193" s="33"/>
      <c r="D193" s="1"/>
      <c r="E193" s="3"/>
      <c r="F193" s="3"/>
      <c r="G193" s="5"/>
      <c r="I193" s="3"/>
      <c r="J193" s="3"/>
      <c r="K193" s="3"/>
      <c r="L193" s="103"/>
      <c r="M193" s="108"/>
      <c r="N193" s="9"/>
    </row>
    <row r="194" spans="1:14" ht="13.95" customHeight="1">
      <c r="A194" s="1">
        <f>A192+1</f>
        <v>35</v>
      </c>
      <c r="B194" s="1"/>
      <c r="C194" s="33" t="s">
        <v>214</v>
      </c>
      <c r="D194" s="1" t="s">
        <v>1</v>
      </c>
      <c r="E194" s="3">
        <f>SUM(I194:N194)</f>
        <v>0</v>
      </c>
      <c r="F194" s="3">
        <v>395</v>
      </c>
      <c r="G194" s="5">
        <f t="shared" ref="G194" si="45">+E194*F194</f>
        <v>0</v>
      </c>
      <c r="I194" s="3"/>
      <c r="J194" s="3"/>
      <c r="K194" s="3"/>
      <c r="L194" s="103"/>
      <c r="M194" s="108"/>
      <c r="N194" s="9"/>
    </row>
    <row r="195" spans="1:14" ht="13.95" customHeight="1">
      <c r="A195" s="1"/>
      <c r="B195" s="1"/>
      <c r="C195" s="33"/>
      <c r="D195" s="1"/>
      <c r="E195" s="3"/>
      <c r="F195" s="3"/>
      <c r="G195" s="5"/>
      <c r="I195" s="3"/>
      <c r="J195" s="3"/>
      <c r="K195" s="3"/>
      <c r="L195" s="103"/>
      <c r="M195" s="108"/>
      <c r="N195" s="9"/>
    </row>
    <row r="196" spans="1:14" ht="13.95" customHeight="1">
      <c r="A196" s="1"/>
      <c r="B196" s="1"/>
      <c r="C196" s="33"/>
      <c r="D196" s="1"/>
      <c r="E196" s="3"/>
      <c r="F196" s="4"/>
      <c r="G196" s="5"/>
      <c r="I196" s="3"/>
      <c r="J196" s="3"/>
      <c r="K196" s="3"/>
      <c r="L196" s="103"/>
      <c r="M196" s="108"/>
      <c r="N196" s="9"/>
    </row>
    <row r="197" spans="1:14" ht="13.95" customHeight="1">
      <c r="A197" s="1"/>
      <c r="B197" s="1"/>
      <c r="C197" s="33"/>
      <c r="D197" s="1"/>
      <c r="E197" s="3"/>
      <c r="F197" s="4"/>
      <c r="G197" s="5"/>
      <c r="I197" s="3"/>
      <c r="J197" s="3"/>
      <c r="K197" s="3"/>
      <c r="L197" s="103"/>
      <c r="M197" s="108"/>
      <c r="N197" s="9"/>
    </row>
    <row r="198" spans="1:14" ht="20.100000000000001" customHeight="1">
      <c r="A198" s="149" t="s">
        <v>66</v>
      </c>
      <c r="B198" s="150"/>
      <c r="C198" s="150"/>
      <c r="D198" s="150"/>
      <c r="E198" s="150"/>
      <c r="F198" s="151"/>
      <c r="G198" s="116">
        <f>SUM(G152:G197)</f>
        <v>1234291.94</v>
      </c>
      <c r="I198" s="9"/>
      <c r="J198" s="9"/>
      <c r="K198" s="9"/>
      <c r="L198" s="103"/>
      <c r="M198" s="108"/>
      <c r="N198" s="9"/>
    </row>
    <row r="199" spans="1:14" ht="13.95" customHeight="1">
      <c r="A199" s="39"/>
      <c r="B199" s="39"/>
      <c r="C199" s="39"/>
      <c r="D199" s="39"/>
      <c r="E199" s="39"/>
      <c r="F199" s="39"/>
      <c r="G199" s="113"/>
      <c r="I199" s="9"/>
      <c r="J199" s="9"/>
      <c r="K199" s="9"/>
      <c r="L199" s="103"/>
      <c r="M199" s="108"/>
      <c r="N199" s="9"/>
    </row>
    <row r="200" spans="1:14" ht="13.95" customHeight="1">
      <c r="A200" s="39"/>
      <c r="B200" s="39"/>
      <c r="C200" s="39"/>
      <c r="D200" s="39"/>
      <c r="E200" s="39"/>
      <c r="F200" s="39"/>
      <c r="G200" s="113"/>
      <c r="I200" s="9"/>
      <c r="J200" s="9"/>
      <c r="K200" s="9"/>
      <c r="L200" s="103"/>
      <c r="M200" s="108"/>
      <c r="N200" s="9"/>
    </row>
    <row r="201" spans="1:14" ht="22.2" customHeight="1">
      <c r="A201" s="44" t="s">
        <v>8</v>
      </c>
      <c r="B201" s="48" t="s">
        <v>9</v>
      </c>
      <c r="C201" s="44" t="s">
        <v>10</v>
      </c>
      <c r="D201" s="48" t="s">
        <v>11</v>
      </c>
      <c r="E201" s="48" t="s">
        <v>59</v>
      </c>
      <c r="F201" s="49" t="s">
        <v>12</v>
      </c>
      <c r="G201" s="111" t="s">
        <v>13</v>
      </c>
      <c r="I201" s="9"/>
      <c r="J201" s="9"/>
      <c r="K201" s="9"/>
      <c r="L201" s="103"/>
      <c r="M201" s="108"/>
      <c r="N201" s="9"/>
    </row>
    <row r="202" spans="1:14" ht="20.100000000000001" customHeight="1">
      <c r="A202" s="149" t="s">
        <v>67</v>
      </c>
      <c r="B202" s="150"/>
      <c r="C202" s="150"/>
      <c r="D202" s="150"/>
      <c r="E202" s="150"/>
      <c r="F202" s="151"/>
      <c r="G202" s="116">
        <f>+G198</f>
        <v>1234291.94</v>
      </c>
      <c r="I202" s="9"/>
      <c r="J202" s="9"/>
      <c r="K202" s="9"/>
      <c r="L202" s="103"/>
      <c r="M202" s="108"/>
      <c r="N202" s="9"/>
    </row>
    <row r="203" spans="1:14" ht="13.95" customHeight="1">
      <c r="A203" s="1"/>
      <c r="B203" s="1"/>
      <c r="C203" s="33"/>
      <c r="D203" s="1"/>
      <c r="E203" s="3"/>
      <c r="F203" s="4"/>
      <c r="G203" s="5"/>
      <c r="I203" s="3"/>
      <c r="J203" s="3"/>
      <c r="K203" s="3"/>
      <c r="L203" s="103"/>
      <c r="M203" s="108"/>
      <c r="N203" s="9"/>
    </row>
    <row r="204" spans="1:14" ht="13.95" customHeight="1">
      <c r="A204" s="9"/>
      <c r="B204" s="1" t="s">
        <v>98</v>
      </c>
      <c r="C204" s="34" t="s">
        <v>30</v>
      </c>
      <c r="D204" s="1"/>
      <c r="E204" s="3"/>
      <c r="F204" s="4"/>
      <c r="G204" s="5"/>
      <c r="I204" s="3"/>
      <c r="J204" s="3"/>
      <c r="K204" s="3"/>
      <c r="L204" s="103"/>
      <c r="M204" s="108"/>
      <c r="N204" s="9"/>
    </row>
    <row r="205" spans="1:14" ht="13.95" customHeight="1">
      <c r="A205" s="9"/>
      <c r="B205" s="1"/>
      <c r="C205" s="33"/>
      <c r="D205" s="1"/>
      <c r="E205" s="3"/>
      <c r="F205" s="4"/>
      <c r="G205" s="5"/>
      <c r="I205" s="3"/>
      <c r="J205" s="3"/>
      <c r="K205" s="3"/>
      <c r="L205" s="103"/>
      <c r="M205" s="108"/>
      <c r="N205" s="9"/>
    </row>
    <row r="206" spans="1:14" ht="13.95" customHeight="1">
      <c r="A206" s="9"/>
      <c r="B206" s="1"/>
      <c r="C206" s="33" t="s">
        <v>31</v>
      </c>
      <c r="D206" s="1"/>
      <c r="E206" s="3"/>
      <c r="F206" s="4"/>
      <c r="G206" s="5"/>
      <c r="I206" s="3"/>
      <c r="J206" s="3"/>
      <c r="K206" s="3"/>
      <c r="L206" s="103"/>
      <c r="M206" s="108"/>
      <c r="N206" s="9"/>
    </row>
    <row r="207" spans="1:14" ht="13.95" customHeight="1">
      <c r="A207" s="9"/>
      <c r="B207" s="1"/>
      <c r="C207" s="33"/>
      <c r="D207" s="1"/>
      <c r="E207" s="3"/>
      <c r="F207" s="4"/>
      <c r="G207" s="5"/>
      <c r="I207" s="3"/>
      <c r="J207" s="3"/>
      <c r="K207" s="3"/>
      <c r="L207" s="103"/>
      <c r="M207" s="108"/>
      <c r="N207" s="9"/>
    </row>
    <row r="208" spans="1:14" ht="13.95" customHeight="1">
      <c r="A208" s="9">
        <f>A194+1</f>
        <v>36</v>
      </c>
      <c r="B208" s="1"/>
      <c r="C208" s="33" t="s">
        <v>32</v>
      </c>
      <c r="D208" s="1" t="s">
        <v>51</v>
      </c>
      <c r="E208" s="3">
        <f>SUM(I208:N208)</f>
        <v>4.2300000000000004</v>
      </c>
      <c r="F208" s="3">
        <v>35000</v>
      </c>
      <c r="G208" s="5">
        <f t="shared" ref="G208" si="46">+E208*F208</f>
        <v>148050.00000000003</v>
      </c>
      <c r="I208" s="4">
        <v>2.35</v>
      </c>
      <c r="J208" s="4"/>
      <c r="K208" s="4">
        <v>1.88</v>
      </c>
      <c r="L208" s="103"/>
      <c r="M208" s="108"/>
      <c r="N208" s="9"/>
    </row>
    <row r="209" spans="1:14" ht="13.95" customHeight="1">
      <c r="A209" s="9"/>
      <c r="B209" s="1"/>
      <c r="C209" s="33"/>
      <c r="D209" s="1"/>
      <c r="E209" s="4"/>
      <c r="F209" s="3"/>
      <c r="G209" s="5"/>
      <c r="I209" s="4"/>
      <c r="J209" s="4"/>
      <c r="K209" s="4"/>
      <c r="L209" s="103"/>
      <c r="M209" s="108"/>
      <c r="N209" s="9"/>
    </row>
    <row r="210" spans="1:14" ht="13.95" customHeight="1">
      <c r="A210" s="9"/>
      <c r="B210" s="1"/>
      <c r="C210" s="37" t="s">
        <v>40</v>
      </c>
      <c r="D210" s="1"/>
      <c r="E210" s="4"/>
      <c r="F210" s="3"/>
      <c r="G210" s="5"/>
      <c r="I210" s="4"/>
      <c r="J210" s="4"/>
      <c r="K210" s="4"/>
      <c r="L210" s="103"/>
      <c r="M210" s="108"/>
      <c r="N210" s="9"/>
    </row>
    <row r="211" spans="1:14" ht="13.95" customHeight="1">
      <c r="A211" s="9"/>
      <c r="B211" s="1"/>
      <c r="C211" s="33"/>
      <c r="D211" s="1"/>
      <c r="E211" s="4"/>
      <c r="F211" s="3"/>
      <c r="G211" s="5"/>
      <c r="I211" s="4"/>
      <c r="J211" s="4"/>
      <c r="K211" s="4"/>
      <c r="L211" s="103"/>
      <c r="M211" s="108"/>
      <c r="N211" s="9"/>
    </row>
    <row r="212" spans="1:14" ht="13.95" customHeight="1">
      <c r="A212" s="9">
        <f>A208+1</f>
        <v>37</v>
      </c>
      <c r="B212" s="1"/>
      <c r="C212" s="33" t="s">
        <v>32</v>
      </c>
      <c r="D212" s="1" t="s">
        <v>51</v>
      </c>
      <c r="E212" s="3">
        <f>SUM(I212:N212)</f>
        <v>0.47</v>
      </c>
      <c r="F212" s="3">
        <f>F208</f>
        <v>35000</v>
      </c>
      <c r="G212" s="5">
        <f t="shared" ref="G212" si="47">+E212*F212</f>
        <v>16450</v>
      </c>
      <c r="I212" s="4">
        <v>0.18</v>
      </c>
      <c r="J212" s="4"/>
      <c r="K212" s="4">
        <v>0.28999999999999998</v>
      </c>
      <c r="L212" s="103"/>
      <c r="M212" s="108"/>
      <c r="N212" s="9"/>
    </row>
    <row r="213" spans="1:14" ht="13.95" customHeight="1">
      <c r="A213" s="1"/>
      <c r="B213" s="1"/>
      <c r="C213" s="33"/>
      <c r="D213" s="1"/>
      <c r="E213" s="3"/>
      <c r="F213" s="4"/>
      <c r="G213" s="5"/>
      <c r="I213" s="3"/>
      <c r="J213" s="3"/>
      <c r="K213" s="3"/>
      <c r="L213" s="103"/>
      <c r="M213" s="108"/>
      <c r="N213" s="9"/>
    </row>
    <row r="214" spans="1:14" ht="24.6" customHeight="1">
      <c r="A214" s="9"/>
      <c r="B214" s="1" t="s">
        <v>99</v>
      </c>
      <c r="C214" s="34" t="s">
        <v>63</v>
      </c>
      <c r="D214" s="1"/>
      <c r="E214" s="3"/>
      <c r="F214" s="4"/>
      <c r="G214" s="5"/>
      <c r="I214" s="9"/>
      <c r="J214" s="9"/>
      <c r="K214" s="9"/>
      <c r="L214" s="103"/>
      <c r="M214" s="108"/>
      <c r="N214" s="9"/>
    </row>
    <row r="215" spans="1:14" ht="13.95" customHeight="1">
      <c r="A215" s="9"/>
      <c r="B215" s="1"/>
      <c r="C215" s="34"/>
      <c r="D215" s="1"/>
      <c r="E215" s="3"/>
      <c r="F215" s="4"/>
      <c r="G215" s="5"/>
      <c r="I215" s="9"/>
      <c r="J215" s="9"/>
      <c r="K215" s="9"/>
      <c r="L215" s="103"/>
      <c r="M215" s="108"/>
      <c r="N215" s="9"/>
    </row>
    <row r="216" spans="1:14" ht="22.95" customHeight="1">
      <c r="A216" s="9"/>
      <c r="B216" s="1"/>
      <c r="C216" s="34" t="s">
        <v>58</v>
      </c>
      <c r="D216" s="1"/>
      <c r="E216" s="3"/>
      <c r="F216" s="4"/>
      <c r="G216" s="5"/>
      <c r="I216" s="9"/>
      <c r="J216" s="9"/>
      <c r="K216" s="9"/>
      <c r="L216" s="103"/>
      <c r="M216" s="108"/>
      <c r="N216" s="9"/>
    </row>
    <row r="217" spans="1:14" ht="13.95" customHeight="1">
      <c r="A217" s="9"/>
      <c r="B217" s="1"/>
      <c r="C217" s="33"/>
      <c r="D217" s="1"/>
      <c r="E217" s="3"/>
      <c r="F217" s="4"/>
      <c r="G217" s="5"/>
      <c r="I217" s="9"/>
      <c r="J217" s="9"/>
      <c r="K217" s="9"/>
      <c r="L217" s="103"/>
      <c r="M217" s="108"/>
      <c r="N217" s="9"/>
    </row>
    <row r="218" spans="1:14" ht="46.2" customHeight="1">
      <c r="A218" s="9">
        <f>A212+1</f>
        <v>38</v>
      </c>
      <c r="B218" s="1"/>
      <c r="C218" s="33" t="s">
        <v>240</v>
      </c>
      <c r="D218" s="1" t="s">
        <v>6</v>
      </c>
      <c r="E218" s="3">
        <f>SUM(I218:N218)</f>
        <v>104</v>
      </c>
      <c r="F218" s="3">
        <v>275</v>
      </c>
      <c r="G218" s="5">
        <f t="shared" ref="G218" si="48">+E218*F218</f>
        <v>28600</v>
      </c>
      <c r="I218" s="9">
        <v>40</v>
      </c>
      <c r="J218" s="9"/>
      <c r="K218" s="9">
        <v>64</v>
      </c>
      <c r="L218" s="103"/>
      <c r="M218" s="108"/>
      <c r="N218" s="9"/>
    </row>
    <row r="219" spans="1:14" ht="13.95" customHeight="1">
      <c r="A219" s="9"/>
      <c r="B219" s="1"/>
      <c r="C219" s="33"/>
      <c r="D219" s="1"/>
      <c r="E219" s="3"/>
      <c r="F219" s="3"/>
      <c r="G219" s="5"/>
      <c r="I219" s="9"/>
      <c r="J219" s="9"/>
      <c r="K219" s="9"/>
      <c r="L219" s="103"/>
      <c r="M219" s="108"/>
      <c r="N219" s="9"/>
    </row>
    <row r="220" spans="1:14" ht="48" customHeight="1">
      <c r="A220" s="9">
        <f>A218+1</f>
        <v>39</v>
      </c>
      <c r="B220" s="1"/>
      <c r="C220" s="33" t="s">
        <v>227</v>
      </c>
      <c r="D220" s="1" t="s">
        <v>6</v>
      </c>
      <c r="E220" s="3">
        <f>SUM(I220:N220)</f>
        <v>0</v>
      </c>
      <c r="F220" s="3">
        <v>975</v>
      </c>
      <c r="G220" s="5">
        <f t="shared" ref="G220" si="49">+E220*F220</f>
        <v>0</v>
      </c>
      <c r="I220" s="45"/>
      <c r="J220" s="45"/>
      <c r="K220" s="45"/>
      <c r="L220" s="103"/>
      <c r="M220" s="108"/>
      <c r="N220" s="9"/>
    </row>
    <row r="221" spans="1:14" ht="12.6" customHeight="1">
      <c r="A221" s="9"/>
      <c r="B221" s="1"/>
      <c r="C221" s="33"/>
      <c r="D221" s="1"/>
      <c r="E221" s="3"/>
      <c r="F221" s="4"/>
      <c r="G221" s="5"/>
      <c r="I221" s="9"/>
      <c r="J221" s="9"/>
      <c r="K221" s="9"/>
      <c r="L221" s="103"/>
      <c r="M221" s="108"/>
      <c r="N221" s="9"/>
    </row>
    <row r="222" spans="1:14" ht="13.95" customHeight="1">
      <c r="A222" s="1"/>
      <c r="B222" s="1" t="s">
        <v>103</v>
      </c>
      <c r="C222" s="34" t="s">
        <v>7</v>
      </c>
      <c r="D222" s="1"/>
      <c r="E222" s="3"/>
      <c r="F222" s="4"/>
      <c r="G222" s="5"/>
      <c r="I222" s="9"/>
      <c r="J222" s="9"/>
      <c r="K222" s="9"/>
      <c r="L222" s="103"/>
      <c r="M222" s="108"/>
      <c r="N222" s="9"/>
    </row>
    <row r="223" spans="1:14" ht="13.95" customHeight="1">
      <c r="A223" s="1"/>
      <c r="B223" s="1"/>
      <c r="C223" s="33"/>
      <c r="D223" s="1"/>
      <c r="E223" s="3"/>
      <c r="F223" s="4"/>
      <c r="G223" s="5"/>
      <c r="I223" s="9"/>
      <c r="J223" s="9"/>
      <c r="K223" s="9"/>
      <c r="L223" s="103"/>
      <c r="M223" s="108"/>
      <c r="N223" s="9"/>
    </row>
    <row r="224" spans="1:14" ht="13.95" customHeight="1">
      <c r="A224" s="1"/>
      <c r="B224" s="1"/>
      <c r="C224" s="33" t="s">
        <v>68</v>
      </c>
      <c r="D224" s="1"/>
      <c r="E224" s="3"/>
      <c r="F224" s="4"/>
      <c r="G224" s="5"/>
      <c r="I224" s="9"/>
      <c r="J224" s="9"/>
      <c r="K224" s="9"/>
      <c r="L224" s="103"/>
      <c r="M224" s="108"/>
      <c r="N224" s="9"/>
    </row>
    <row r="225" spans="1:14" ht="13.95" customHeight="1">
      <c r="A225" s="1"/>
      <c r="B225" s="1"/>
      <c r="C225" s="33"/>
      <c r="D225" s="1"/>
      <c r="E225" s="3"/>
      <c r="F225" s="4"/>
      <c r="G225" s="5"/>
      <c r="I225" s="9"/>
      <c r="J225" s="9"/>
      <c r="K225" s="9"/>
      <c r="L225" s="103"/>
      <c r="M225" s="108"/>
      <c r="N225" s="9"/>
    </row>
    <row r="226" spans="1:14" ht="22.95" customHeight="1">
      <c r="A226" s="1">
        <f>A220+1</f>
        <v>40</v>
      </c>
      <c r="B226" s="1"/>
      <c r="C226" s="33" t="s">
        <v>197</v>
      </c>
      <c r="D226" s="1" t="s">
        <v>60</v>
      </c>
      <c r="E226" s="3">
        <f>SUM(I226:N226)</f>
        <v>200</v>
      </c>
      <c r="F226" s="13">
        <v>165</v>
      </c>
      <c r="G226" s="5">
        <f t="shared" ref="G226" si="50">+E226*F226</f>
        <v>33000</v>
      </c>
      <c r="I226" s="9"/>
      <c r="J226" s="9">
        <v>200</v>
      </c>
      <c r="K226" s="9"/>
      <c r="L226" s="103"/>
      <c r="M226" s="108"/>
      <c r="N226" s="9"/>
    </row>
    <row r="227" spans="1:14" ht="13.95" customHeight="1">
      <c r="A227" s="1"/>
      <c r="B227" s="1"/>
      <c r="C227" s="33"/>
      <c r="D227" s="35"/>
      <c r="E227" s="3"/>
      <c r="F227" s="4"/>
      <c r="G227" s="5"/>
      <c r="I227" s="9"/>
      <c r="J227" s="9"/>
      <c r="K227" s="9"/>
      <c r="L227" s="103"/>
      <c r="M227" s="108"/>
      <c r="N227" s="9"/>
    </row>
    <row r="228" spans="1:14" ht="13.95" customHeight="1">
      <c r="A228" s="1"/>
      <c r="B228" s="1"/>
      <c r="C228" s="46" t="s">
        <v>231</v>
      </c>
      <c r="D228" s="1"/>
      <c r="E228" s="3"/>
      <c r="F228" s="4"/>
      <c r="G228" s="5"/>
      <c r="I228" s="9"/>
      <c r="J228" s="9"/>
      <c r="K228" s="9"/>
      <c r="L228" s="103"/>
      <c r="M228" s="108"/>
      <c r="N228" s="9"/>
    </row>
    <row r="229" spans="1:14" ht="13.95" customHeight="1">
      <c r="A229" s="1"/>
      <c r="B229" s="1"/>
      <c r="C229" s="47"/>
      <c r="D229" s="35"/>
      <c r="E229" s="3"/>
      <c r="F229" s="4"/>
      <c r="G229" s="5"/>
      <c r="I229" s="9"/>
      <c r="J229" s="9"/>
      <c r="K229" s="9"/>
      <c r="L229" s="103"/>
      <c r="M229" s="108"/>
      <c r="N229" s="9"/>
    </row>
    <row r="230" spans="1:14" ht="48.6" customHeight="1">
      <c r="A230" s="1">
        <f>A226+1</f>
        <v>41</v>
      </c>
      <c r="B230" s="1"/>
      <c r="C230" s="55" t="s">
        <v>75</v>
      </c>
      <c r="D230" s="1" t="s">
        <v>51</v>
      </c>
      <c r="E230" s="3">
        <f>SUM(I230:N230)</f>
        <v>0</v>
      </c>
      <c r="F230" s="3">
        <v>1185</v>
      </c>
      <c r="G230" s="5">
        <f t="shared" ref="G230" si="51">+E230*F230</f>
        <v>0</v>
      </c>
      <c r="I230" s="9"/>
      <c r="J230" s="9"/>
      <c r="K230" s="9"/>
      <c r="L230" s="103"/>
      <c r="M230" s="108"/>
      <c r="N230" s="9"/>
    </row>
    <row r="231" spans="1:14">
      <c r="A231" s="1"/>
      <c r="B231" s="1"/>
      <c r="C231" s="55"/>
      <c r="D231" s="35"/>
      <c r="E231" s="3"/>
      <c r="F231" s="3"/>
      <c r="G231" s="5"/>
      <c r="I231" s="9"/>
      <c r="J231" s="9"/>
      <c r="K231" s="9"/>
      <c r="L231" s="103"/>
      <c r="M231" s="108"/>
      <c r="N231" s="9"/>
    </row>
    <row r="232" spans="1:14">
      <c r="A232" s="1"/>
      <c r="B232" s="1"/>
      <c r="C232" s="55"/>
      <c r="D232" s="35"/>
      <c r="E232" s="3"/>
      <c r="F232" s="3"/>
      <c r="G232" s="5"/>
      <c r="I232" s="9"/>
      <c r="J232" s="9"/>
      <c r="K232" s="9"/>
      <c r="L232" s="103"/>
      <c r="M232" s="108"/>
      <c r="N232" s="9"/>
    </row>
    <row r="233" spans="1:14">
      <c r="A233" s="1"/>
      <c r="B233" s="1"/>
      <c r="C233" s="55"/>
      <c r="D233" s="35"/>
      <c r="E233" s="3"/>
      <c r="F233" s="3"/>
      <c r="G233" s="5"/>
      <c r="I233" s="9"/>
      <c r="J233" s="9"/>
      <c r="K233" s="9"/>
      <c r="L233" s="103"/>
      <c r="M233" s="108"/>
      <c r="N233" s="9"/>
    </row>
    <row r="234" spans="1:14">
      <c r="A234" s="1"/>
      <c r="B234" s="1"/>
      <c r="C234" s="55"/>
      <c r="D234" s="35"/>
      <c r="E234" s="3"/>
      <c r="F234" s="3"/>
      <c r="G234" s="5"/>
      <c r="I234" s="9"/>
      <c r="J234" s="9"/>
      <c r="K234" s="9"/>
      <c r="L234" s="103"/>
      <c r="M234" s="108"/>
      <c r="N234" s="9"/>
    </row>
    <row r="235" spans="1:14">
      <c r="A235" s="1"/>
      <c r="B235" s="1"/>
      <c r="C235" s="55"/>
      <c r="D235" s="35"/>
      <c r="E235" s="3"/>
      <c r="F235" s="3"/>
      <c r="G235" s="5"/>
      <c r="I235" s="9"/>
      <c r="J235" s="9"/>
      <c r="K235" s="9"/>
      <c r="L235" s="103"/>
      <c r="M235" s="108"/>
      <c r="N235" s="9"/>
    </row>
    <row r="236" spans="1:14">
      <c r="A236" s="1"/>
      <c r="B236" s="1"/>
      <c r="C236" s="55"/>
      <c r="D236" s="35"/>
      <c r="E236" s="3"/>
      <c r="F236" s="3"/>
      <c r="G236" s="5"/>
      <c r="I236" s="9"/>
      <c r="J236" s="9"/>
      <c r="K236" s="9"/>
      <c r="L236" s="103"/>
      <c r="M236" s="108"/>
      <c r="N236" s="9"/>
    </row>
    <row r="237" spans="1:14" ht="13.95" customHeight="1">
      <c r="A237" s="1"/>
      <c r="B237" s="1"/>
      <c r="C237" s="55"/>
      <c r="D237" s="35"/>
      <c r="E237" s="3"/>
      <c r="F237" s="4"/>
      <c r="G237" s="5"/>
      <c r="I237" s="9"/>
      <c r="J237" s="9"/>
      <c r="K237" s="9"/>
      <c r="L237" s="103"/>
      <c r="M237" s="108"/>
      <c r="N237" s="9"/>
    </row>
    <row r="238" spans="1:14" ht="13.95" customHeight="1">
      <c r="A238" s="1"/>
      <c r="B238" s="1"/>
      <c r="C238" s="55"/>
      <c r="D238" s="35"/>
      <c r="E238" s="3"/>
      <c r="F238" s="4"/>
      <c r="G238" s="5"/>
      <c r="I238" s="9"/>
      <c r="J238" s="9"/>
      <c r="K238" s="9"/>
      <c r="L238" s="103"/>
      <c r="M238" s="108"/>
      <c r="N238" s="9"/>
    </row>
    <row r="239" spans="1:14" ht="13.95" customHeight="1">
      <c r="A239" s="1"/>
      <c r="B239" s="1"/>
      <c r="C239" s="55"/>
      <c r="D239" s="35"/>
      <c r="E239" s="3"/>
      <c r="F239" s="4"/>
      <c r="G239" s="5"/>
      <c r="I239" s="9"/>
      <c r="J239" s="9"/>
      <c r="K239" s="9"/>
      <c r="L239" s="103"/>
      <c r="M239" s="108"/>
      <c r="N239" s="9"/>
    </row>
    <row r="240" spans="1:14" ht="13.95" customHeight="1">
      <c r="A240" s="1"/>
      <c r="B240" s="1"/>
      <c r="C240" s="55"/>
      <c r="D240" s="35"/>
      <c r="E240" s="3"/>
      <c r="F240" s="4"/>
      <c r="G240" s="5"/>
      <c r="I240" s="9"/>
      <c r="J240" s="9"/>
      <c r="K240" s="9"/>
      <c r="L240" s="103"/>
      <c r="M240" s="108"/>
      <c r="N240" s="9"/>
    </row>
    <row r="241" spans="1:14" ht="13.95" customHeight="1">
      <c r="A241" s="1"/>
      <c r="B241" s="1"/>
      <c r="C241" s="55"/>
      <c r="D241" s="35"/>
      <c r="E241" s="3"/>
      <c r="F241" s="4"/>
      <c r="G241" s="5"/>
      <c r="I241" s="9"/>
      <c r="J241" s="9"/>
      <c r="K241" s="9"/>
      <c r="L241" s="103"/>
      <c r="M241" s="108"/>
      <c r="N241" s="9"/>
    </row>
    <row r="242" spans="1:14" ht="20.100000000000001" customHeight="1">
      <c r="A242" s="149" t="s">
        <v>66</v>
      </c>
      <c r="B242" s="150"/>
      <c r="C242" s="150"/>
      <c r="D242" s="150"/>
      <c r="E242" s="150"/>
      <c r="F242" s="151"/>
      <c r="G242" s="116">
        <f>SUM(G202:G241)</f>
        <v>1460391.94</v>
      </c>
      <c r="I242" s="9"/>
      <c r="J242" s="9"/>
      <c r="K242" s="9"/>
      <c r="L242" s="103"/>
      <c r="M242" s="108"/>
      <c r="N242" s="9"/>
    </row>
    <row r="243" spans="1:14" ht="13.95" customHeight="1">
      <c r="A243" s="39"/>
      <c r="B243" s="39"/>
      <c r="C243" s="39"/>
      <c r="D243" s="39"/>
      <c r="E243" s="39"/>
      <c r="F243" s="39"/>
      <c r="G243" s="113"/>
      <c r="I243" s="9"/>
      <c r="J243" s="9"/>
      <c r="K243" s="9"/>
      <c r="L243" s="103"/>
      <c r="M243" s="108"/>
      <c r="N243" s="9"/>
    </row>
    <row r="244" spans="1:14" ht="13.95" customHeight="1">
      <c r="A244" s="39"/>
      <c r="B244" s="39"/>
      <c r="C244" s="39"/>
      <c r="D244" s="39"/>
      <c r="E244" s="39"/>
      <c r="F244" s="39"/>
      <c r="G244" s="113"/>
      <c r="I244" s="9"/>
      <c r="J244" s="9"/>
      <c r="K244" s="9"/>
      <c r="L244" s="103"/>
      <c r="M244" s="108"/>
      <c r="N244" s="9"/>
    </row>
    <row r="245" spans="1:14" ht="22.2" customHeight="1">
      <c r="A245" s="44" t="s">
        <v>8</v>
      </c>
      <c r="B245" s="48" t="s">
        <v>9</v>
      </c>
      <c r="C245" s="44" t="s">
        <v>10</v>
      </c>
      <c r="D245" s="48" t="s">
        <v>11</v>
      </c>
      <c r="E245" s="48" t="s">
        <v>59</v>
      </c>
      <c r="F245" s="49" t="s">
        <v>12</v>
      </c>
      <c r="G245" s="111" t="s">
        <v>13</v>
      </c>
      <c r="I245" s="9"/>
      <c r="J245" s="9"/>
      <c r="K245" s="9"/>
      <c r="L245" s="103"/>
      <c r="M245" s="108"/>
      <c r="N245" s="9"/>
    </row>
    <row r="246" spans="1:14" ht="20.100000000000001" customHeight="1">
      <c r="A246" s="149" t="s">
        <v>67</v>
      </c>
      <c r="B246" s="150"/>
      <c r="C246" s="150"/>
      <c r="D246" s="150"/>
      <c r="E246" s="150"/>
      <c r="F246" s="151"/>
      <c r="G246" s="116">
        <f>+G242</f>
        <v>1460391.94</v>
      </c>
      <c r="I246" s="9"/>
      <c r="J246" s="9"/>
      <c r="K246" s="9"/>
      <c r="L246" s="103"/>
      <c r="M246" s="108"/>
      <c r="N246" s="9"/>
    </row>
    <row r="247" spans="1:14" ht="13.95" customHeight="1">
      <c r="A247" s="1"/>
      <c r="B247" s="1"/>
      <c r="C247" s="55"/>
      <c r="D247" s="35"/>
      <c r="E247" s="3"/>
      <c r="F247" s="4"/>
      <c r="G247" s="5"/>
      <c r="I247" s="9"/>
      <c r="J247" s="9"/>
      <c r="K247" s="9"/>
      <c r="L247" s="103"/>
      <c r="M247" s="108"/>
      <c r="N247" s="9"/>
    </row>
    <row r="248" spans="1:14" ht="13.95" customHeight="1">
      <c r="A248" s="1"/>
      <c r="B248" s="1"/>
      <c r="C248" s="56" t="s">
        <v>230</v>
      </c>
      <c r="D248" s="9"/>
      <c r="E248" s="9"/>
      <c r="F248" s="122"/>
      <c r="G248" s="5"/>
      <c r="I248" s="9"/>
      <c r="J248" s="9"/>
      <c r="K248" s="9"/>
      <c r="L248" s="103"/>
      <c r="M248" s="108"/>
      <c r="N248" s="9"/>
    </row>
    <row r="249" spans="1:14" ht="13.95" customHeight="1">
      <c r="A249" s="1"/>
      <c r="B249" s="1"/>
      <c r="C249" s="57"/>
      <c r="D249" s="9"/>
      <c r="E249" s="9"/>
      <c r="F249" s="122"/>
      <c r="G249" s="5"/>
      <c r="I249" s="9"/>
      <c r="J249" s="9"/>
      <c r="K249" s="9"/>
      <c r="L249" s="103"/>
      <c r="M249" s="108"/>
      <c r="N249" s="9"/>
    </row>
    <row r="250" spans="1:14" ht="48" customHeight="1">
      <c r="A250" s="1"/>
      <c r="B250" s="1"/>
      <c r="C250" s="33" t="s">
        <v>242</v>
      </c>
      <c r="D250" s="57"/>
      <c r="E250" s="57"/>
      <c r="F250" s="57"/>
      <c r="G250" s="5"/>
      <c r="I250" s="9"/>
      <c r="J250" s="9"/>
      <c r="K250" s="9"/>
      <c r="L250" s="103"/>
      <c r="M250" s="108"/>
      <c r="N250" s="9"/>
    </row>
    <row r="251" spans="1:14" ht="13.95" customHeight="1">
      <c r="A251" s="1"/>
      <c r="B251" s="1"/>
      <c r="C251" s="33"/>
      <c r="D251" s="9"/>
      <c r="E251" s="9"/>
      <c r="F251" s="122"/>
      <c r="G251" s="5"/>
      <c r="I251" s="9"/>
      <c r="J251" s="9"/>
      <c r="K251" s="9"/>
      <c r="L251" s="103"/>
      <c r="M251" s="108"/>
      <c r="N251" s="9"/>
    </row>
    <row r="252" spans="1:14" ht="25.95" customHeight="1">
      <c r="A252" s="1"/>
      <c r="B252" s="1"/>
      <c r="C252" s="33" t="s">
        <v>232</v>
      </c>
      <c r="D252" s="9"/>
      <c r="E252" s="9"/>
      <c r="F252" s="122"/>
      <c r="G252" s="5"/>
      <c r="I252" s="9"/>
      <c r="J252" s="9"/>
      <c r="K252" s="9"/>
      <c r="L252" s="103"/>
      <c r="M252" s="108"/>
      <c r="N252" s="9"/>
    </row>
    <row r="253" spans="1:14" ht="13.95" customHeight="1">
      <c r="A253" s="1"/>
      <c r="B253" s="1"/>
      <c r="C253" s="33"/>
      <c r="D253" s="9"/>
      <c r="E253" s="9"/>
      <c r="F253" s="122"/>
      <c r="G253" s="5"/>
      <c r="I253" s="9"/>
      <c r="J253" s="9"/>
      <c r="K253" s="9"/>
      <c r="L253" s="103"/>
      <c r="M253" s="108"/>
      <c r="N253" s="9"/>
    </row>
    <row r="254" spans="1:14" ht="38.4" customHeight="1">
      <c r="A254" s="1">
        <f>A230+1</f>
        <v>42</v>
      </c>
      <c r="B254" s="1"/>
      <c r="C254" s="33" t="s">
        <v>233</v>
      </c>
      <c r="D254" s="9" t="s">
        <v>1</v>
      </c>
      <c r="E254" s="3">
        <f>SUM(I254:N254)</f>
        <v>14</v>
      </c>
      <c r="F254" s="144">
        <v>775</v>
      </c>
      <c r="G254" s="5">
        <f t="shared" ref="G254" si="52">+E254*F254</f>
        <v>10850</v>
      </c>
      <c r="I254" s="9"/>
      <c r="J254" s="9"/>
      <c r="K254" s="9"/>
      <c r="L254" s="103">
        <v>14</v>
      </c>
      <c r="M254" s="108"/>
      <c r="N254" s="9"/>
    </row>
    <row r="255" spans="1:14" ht="13.95" customHeight="1">
      <c r="A255" s="1"/>
      <c r="B255" s="1"/>
      <c r="C255" s="33"/>
      <c r="D255" s="9"/>
      <c r="E255" s="9"/>
      <c r="F255" s="144"/>
      <c r="G255" s="5"/>
      <c r="I255" s="9"/>
      <c r="J255" s="9"/>
      <c r="K255" s="9"/>
      <c r="L255" s="103"/>
      <c r="M255" s="108"/>
      <c r="N255" s="9"/>
    </row>
    <row r="256" spans="1:14" ht="25.95" customHeight="1">
      <c r="A256" s="1">
        <f>A254+1</f>
        <v>43</v>
      </c>
      <c r="B256" s="1"/>
      <c r="C256" s="33" t="s">
        <v>228</v>
      </c>
      <c r="D256" s="9" t="s">
        <v>6</v>
      </c>
      <c r="E256" s="3">
        <f>SUM(I256:N256)</f>
        <v>0</v>
      </c>
      <c r="F256" s="144">
        <v>275</v>
      </c>
      <c r="G256" s="5">
        <f t="shared" ref="G256" si="53">+E256*F256</f>
        <v>0</v>
      </c>
      <c r="I256" s="9"/>
      <c r="J256" s="9"/>
      <c r="K256" s="9"/>
      <c r="L256" s="103"/>
      <c r="M256" s="108"/>
      <c r="N256" s="9"/>
    </row>
    <row r="257" spans="1:14" ht="13.95" customHeight="1">
      <c r="A257" s="1"/>
      <c r="B257" s="1"/>
      <c r="C257" s="33"/>
      <c r="D257" s="9"/>
      <c r="E257" s="9"/>
      <c r="F257" s="144"/>
      <c r="G257" s="5"/>
      <c r="I257" s="9"/>
      <c r="J257" s="9"/>
      <c r="K257" s="9"/>
      <c r="L257" s="103"/>
      <c r="M257" s="108"/>
      <c r="N257" s="9"/>
    </row>
    <row r="258" spans="1:14" ht="13.95" customHeight="1">
      <c r="A258" s="1">
        <f>A256+1</f>
        <v>44</v>
      </c>
      <c r="B258" s="1"/>
      <c r="C258" s="33" t="s">
        <v>229</v>
      </c>
      <c r="D258" s="9" t="s">
        <v>6</v>
      </c>
      <c r="E258" s="3">
        <f>SUM(I258:N258)</f>
        <v>0</v>
      </c>
      <c r="F258" s="144">
        <v>650</v>
      </c>
      <c r="G258" s="5">
        <f t="shared" ref="G258" si="54">+E258*F258</f>
        <v>0</v>
      </c>
      <c r="I258" s="9"/>
      <c r="J258" s="9"/>
      <c r="K258" s="9"/>
      <c r="L258" s="103"/>
      <c r="M258" s="108"/>
      <c r="N258" s="9"/>
    </row>
    <row r="259" spans="1:14" ht="13.95" customHeight="1">
      <c r="A259" s="1"/>
      <c r="B259" s="1"/>
      <c r="C259" s="17"/>
      <c r="D259" s="35"/>
      <c r="E259" s="3"/>
      <c r="F259" s="14"/>
      <c r="G259" s="5"/>
      <c r="I259" s="9"/>
      <c r="J259" s="9"/>
      <c r="K259" s="9"/>
      <c r="L259" s="103"/>
      <c r="M259" s="108"/>
      <c r="N259" s="9"/>
    </row>
    <row r="260" spans="1:14">
      <c r="A260" s="16">
        <f>+A258+1</f>
        <v>45</v>
      </c>
      <c r="B260" s="16"/>
      <c r="C260" s="47" t="s">
        <v>241</v>
      </c>
      <c r="D260" s="58" t="s">
        <v>1</v>
      </c>
      <c r="E260" s="3">
        <f>SUM(I260:N260)</f>
        <v>0</v>
      </c>
      <c r="F260" s="13">
        <v>425</v>
      </c>
      <c r="G260" s="15">
        <f t="shared" ref="G260" si="55">+E260*F260</f>
        <v>0</v>
      </c>
      <c r="I260" s="9"/>
      <c r="J260" s="9"/>
      <c r="K260" s="9"/>
      <c r="L260" s="103"/>
      <c r="M260" s="108"/>
      <c r="N260" s="9"/>
    </row>
    <row r="261" spans="1:14" ht="13.95" customHeight="1">
      <c r="A261" s="1"/>
      <c r="B261" s="1"/>
      <c r="C261" s="17"/>
      <c r="D261" s="35"/>
      <c r="E261" s="3"/>
      <c r="F261" s="4"/>
      <c r="G261" s="5"/>
      <c r="I261" s="9"/>
      <c r="J261" s="9"/>
      <c r="K261" s="9"/>
      <c r="L261" s="103"/>
      <c r="M261" s="108"/>
      <c r="N261" s="9"/>
    </row>
    <row r="262" spans="1:14" ht="22.2" customHeight="1">
      <c r="A262" s="1"/>
      <c r="B262" s="51" t="s">
        <v>105</v>
      </c>
      <c r="C262" s="11" t="s">
        <v>204</v>
      </c>
      <c r="D262" s="40"/>
      <c r="E262" s="3"/>
      <c r="F262" s="4"/>
      <c r="G262" s="5"/>
      <c r="I262" s="9"/>
      <c r="J262" s="9"/>
      <c r="K262" s="9"/>
      <c r="L262" s="103"/>
      <c r="M262" s="108"/>
      <c r="N262" s="9"/>
    </row>
    <row r="263" spans="1:14" ht="13.95" customHeight="1">
      <c r="A263" s="1"/>
      <c r="B263" s="51"/>
      <c r="C263" s="6"/>
      <c r="D263" s="9"/>
      <c r="E263" s="3"/>
      <c r="F263" s="4"/>
      <c r="G263" s="5"/>
      <c r="I263" s="9"/>
      <c r="J263" s="9"/>
      <c r="K263" s="9"/>
      <c r="L263" s="103"/>
      <c r="M263" s="108"/>
      <c r="N263" s="9"/>
    </row>
    <row r="264" spans="1:14" ht="13.95" customHeight="1">
      <c r="A264" s="1"/>
      <c r="B264" s="51" t="s">
        <v>92</v>
      </c>
      <c r="C264" s="52" t="s">
        <v>205</v>
      </c>
      <c r="D264" s="9"/>
      <c r="E264" s="3"/>
      <c r="F264" s="4"/>
      <c r="G264" s="5"/>
      <c r="I264" s="9"/>
      <c r="J264" s="9"/>
      <c r="K264" s="9"/>
      <c r="L264" s="103"/>
      <c r="M264" s="108"/>
      <c r="N264" s="9"/>
    </row>
    <row r="265" spans="1:14" ht="13.95" customHeight="1">
      <c r="A265" s="1"/>
      <c r="B265" s="51"/>
      <c r="C265" s="6"/>
      <c r="D265" s="9"/>
      <c r="E265" s="3"/>
      <c r="F265" s="4"/>
      <c r="G265" s="5"/>
      <c r="I265" s="9"/>
      <c r="J265" s="9"/>
      <c r="K265" s="9"/>
      <c r="L265" s="103"/>
      <c r="M265" s="108"/>
      <c r="N265" s="9"/>
    </row>
    <row r="266" spans="1:14" ht="24" customHeight="1">
      <c r="A266" s="1"/>
      <c r="B266" s="51" t="s">
        <v>206</v>
      </c>
      <c r="C266" s="21" t="s">
        <v>207</v>
      </c>
      <c r="D266" s="9"/>
      <c r="E266" s="3"/>
      <c r="F266" s="4"/>
      <c r="G266" s="5"/>
      <c r="I266" s="9"/>
      <c r="J266" s="9"/>
      <c r="K266" s="9"/>
      <c r="L266" s="103"/>
      <c r="M266" s="108"/>
      <c r="N266" s="9"/>
    </row>
    <row r="267" spans="1:14" ht="13.95" customHeight="1">
      <c r="A267" s="1"/>
      <c r="B267" s="51"/>
      <c r="C267" s="6"/>
      <c r="D267" s="9"/>
      <c r="E267" s="3"/>
      <c r="F267" s="4"/>
      <c r="G267" s="5"/>
      <c r="I267" s="9"/>
      <c r="J267" s="9"/>
      <c r="K267" s="9"/>
      <c r="L267" s="103"/>
      <c r="M267" s="108"/>
      <c r="N267" s="9"/>
    </row>
    <row r="268" spans="1:14" ht="13.95" customHeight="1">
      <c r="A268" s="1">
        <f>A260+1</f>
        <v>46</v>
      </c>
      <c r="B268" s="51" t="s">
        <v>208</v>
      </c>
      <c r="C268" s="6" t="s">
        <v>21</v>
      </c>
      <c r="D268" s="9" t="s">
        <v>1</v>
      </c>
      <c r="E268" s="3">
        <f>SUM(I268:N268)</f>
        <v>0</v>
      </c>
      <c r="F268" s="13">
        <v>1950</v>
      </c>
      <c r="G268" s="5">
        <f t="shared" ref="G268" si="56">+E268*F268</f>
        <v>0</v>
      </c>
      <c r="I268" s="9"/>
      <c r="J268" s="9"/>
      <c r="K268" s="9"/>
      <c r="L268" s="103"/>
      <c r="M268" s="108"/>
      <c r="N268" s="9"/>
    </row>
    <row r="269" spans="1:14" ht="13.95" customHeight="1">
      <c r="A269" s="1"/>
      <c r="B269" s="51"/>
      <c r="C269" s="6"/>
      <c r="D269" s="9"/>
      <c r="E269" s="3"/>
      <c r="F269" s="13"/>
      <c r="G269" s="5"/>
      <c r="I269" s="9"/>
      <c r="J269" s="9"/>
      <c r="K269" s="9"/>
      <c r="L269" s="103"/>
      <c r="M269" s="108"/>
      <c r="N269" s="9"/>
    </row>
    <row r="270" spans="1:14" ht="12.6" customHeight="1">
      <c r="A270" s="1">
        <f>A268+1</f>
        <v>47</v>
      </c>
      <c r="B270" s="51" t="s">
        <v>209</v>
      </c>
      <c r="C270" s="18" t="s">
        <v>210</v>
      </c>
      <c r="D270" s="9" t="s">
        <v>6</v>
      </c>
      <c r="E270" s="3">
        <f>SUM(I270:N270)</f>
        <v>0</v>
      </c>
      <c r="F270" s="13">
        <v>350</v>
      </c>
      <c r="G270" s="5">
        <f t="shared" ref="G270" si="57">+E270*F270</f>
        <v>0</v>
      </c>
      <c r="I270" s="9"/>
      <c r="J270" s="9"/>
      <c r="K270" s="9"/>
      <c r="L270" s="103"/>
      <c r="M270" s="108"/>
      <c r="N270" s="9"/>
    </row>
    <row r="271" spans="1:14" ht="12.6" customHeight="1">
      <c r="A271" s="1"/>
      <c r="B271" s="1"/>
      <c r="C271" s="33"/>
      <c r="D271" s="35"/>
      <c r="E271" s="3"/>
      <c r="F271" s="13"/>
      <c r="G271" s="5"/>
      <c r="I271" s="9"/>
      <c r="J271" s="9"/>
      <c r="K271" s="9"/>
      <c r="L271" s="103"/>
      <c r="M271" s="108"/>
      <c r="N271" s="9"/>
    </row>
    <row r="272" spans="1:14" ht="12.6" customHeight="1">
      <c r="A272" s="1"/>
      <c r="B272" s="1"/>
      <c r="C272" s="123" t="s">
        <v>236</v>
      </c>
      <c r="D272" s="35"/>
      <c r="E272" s="3"/>
      <c r="F272" s="13"/>
      <c r="G272" s="5"/>
      <c r="I272" s="9"/>
      <c r="J272" s="9"/>
      <c r="K272" s="9"/>
      <c r="L272" s="103"/>
      <c r="M272" s="108"/>
      <c r="N272" s="9"/>
    </row>
    <row r="273" spans="1:14" ht="12.6" customHeight="1">
      <c r="A273" s="1"/>
      <c r="B273" s="1"/>
      <c r="C273" s="6"/>
      <c r="D273" s="35"/>
      <c r="E273" s="3"/>
      <c r="F273" s="13"/>
      <c r="G273" s="5"/>
      <c r="I273" s="9"/>
      <c r="J273" s="9"/>
      <c r="K273" s="9"/>
      <c r="L273" s="103"/>
      <c r="M273" s="108"/>
      <c r="N273" s="9"/>
    </row>
    <row r="274" spans="1:14" ht="12.6" customHeight="1">
      <c r="A274" s="1"/>
      <c r="B274" s="1"/>
      <c r="C274" s="124" t="s">
        <v>234</v>
      </c>
      <c r="D274" s="35"/>
      <c r="E274" s="3"/>
      <c r="F274" s="13"/>
      <c r="G274" s="5"/>
      <c r="I274" s="9"/>
      <c r="J274" s="9"/>
      <c r="K274" s="9"/>
      <c r="L274" s="103"/>
      <c r="M274" s="108"/>
      <c r="N274" s="9"/>
    </row>
    <row r="275" spans="1:14" ht="12.6" customHeight="1">
      <c r="A275" s="1"/>
      <c r="B275" s="1"/>
      <c r="C275" s="33"/>
      <c r="D275" s="35"/>
      <c r="E275" s="3"/>
      <c r="F275" s="13"/>
      <c r="G275" s="5"/>
      <c r="I275" s="9"/>
      <c r="J275" s="9"/>
      <c r="K275" s="9"/>
      <c r="L275" s="103"/>
      <c r="M275" s="108"/>
      <c r="N275" s="9"/>
    </row>
    <row r="276" spans="1:14" ht="38.4" customHeight="1">
      <c r="A276" s="1">
        <f>A270+1</f>
        <v>48</v>
      </c>
      <c r="B276" s="1"/>
      <c r="C276" s="125" t="s">
        <v>235</v>
      </c>
      <c r="D276" s="1" t="s">
        <v>60</v>
      </c>
      <c r="E276" s="3">
        <f>SUM(I276:N276)</f>
        <v>12.25</v>
      </c>
      <c r="F276" s="13">
        <v>3750</v>
      </c>
      <c r="G276" s="5">
        <f t="shared" ref="G276" si="58">+E276*F276</f>
        <v>45937.5</v>
      </c>
      <c r="I276" s="9"/>
      <c r="J276" s="9"/>
      <c r="K276" s="9"/>
      <c r="L276" s="103">
        <v>12.25</v>
      </c>
      <c r="M276" s="108"/>
      <c r="N276" s="9"/>
    </row>
    <row r="277" spans="1:14" ht="12.6" customHeight="1">
      <c r="A277" s="1"/>
      <c r="B277" s="1"/>
      <c r="C277" s="33"/>
      <c r="D277" s="35"/>
      <c r="E277" s="3"/>
      <c r="F277" s="13"/>
      <c r="G277" s="5"/>
      <c r="I277" s="9"/>
      <c r="J277" s="9"/>
      <c r="K277" s="9"/>
      <c r="L277" s="103"/>
      <c r="M277" s="108"/>
      <c r="N277" s="9"/>
    </row>
    <row r="278" spans="1:14" ht="13.95" customHeight="1">
      <c r="A278" s="1"/>
      <c r="B278" s="1"/>
      <c r="C278" s="34" t="s">
        <v>212</v>
      </c>
      <c r="D278" s="1" t="s">
        <v>64</v>
      </c>
      <c r="E278" s="3"/>
      <c r="F278" s="14"/>
      <c r="G278" s="5"/>
      <c r="I278" s="9"/>
      <c r="J278" s="9"/>
      <c r="K278" s="9"/>
      <c r="L278" s="103"/>
      <c r="M278" s="108"/>
      <c r="N278" s="9"/>
    </row>
    <row r="279" spans="1:14" ht="13.95" customHeight="1">
      <c r="A279" s="1"/>
      <c r="B279" s="1"/>
      <c r="C279" s="33" t="s">
        <v>64</v>
      </c>
      <c r="D279" s="1" t="s">
        <v>64</v>
      </c>
      <c r="E279" s="3"/>
      <c r="F279" s="4"/>
      <c r="G279" s="5"/>
      <c r="I279" s="9"/>
      <c r="J279" s="9"/>
      <c r="K279" s="9"/>
      <c r="L279" s="103"/>
      <c r="M279" s="108"/>
      <c r="N279" s="9"/>
    </row>
    <row r="280" spans="1:14" ht="22.2" customHeight="1">
      <c r="A280" s="1">
        <f>A276+1</f>
        <v>49</v>
      </c>
      <c r="B280" s="1"/>
      <c r="C280" s="33" t="s">
        <v>217</v>
      </c>
      <c r="D280" s="1" t="s">
        <v>60</v>
      </c>
      <c r="E280" s="3">
        <f>SUM(I280:N280)</f>
        <v>480</v>
      </c>
      <c r="F280" s="3">
        <v>885</v>
      </c>
      <c r="G280" s="5">
        <f t="shared" ref="G280" si="59">+E280*F280</f>
        <v>424800</v>
      </c>
      <c r="I280" s="9"/>
      <c r="J280" s="9">
        <v>480</v>
      </c>
      <c r="K280" s="9"/>
      <c r="L280" s="103"/>
      <c r="M280" s="108"/>
      <c r="N280" s="9"/>
    </row>
    <row r="281" spans="1:14">
      <c r="A281" s="1"/>
      <c r="B281" s="1"/>
      <c r="C281" s="33"/>
      <c r="D281" s="35"/>
      <c r="E281" s="3"/>
      <c r="F281" s="3"/>
      <c r="G281" s="5"/>
      <c r="I281" s="9"/>
      <c r="J281" s="9"/>
      <c r="K281" s="9"/>
      <c r="L281" s="103"/>
      <c r="M281" s="108"/>
      <c r="N281" s="9"/>
    </row>
    <row r="282" spans="1:14" ht="13.95" customHeight="1">
      <c r="A282" s="1"/>
      <c r="B282" s="1"/>
      <c r="C282" s="33"/>
      <c r="D282" s="35"/>
      <c r="E282" s="3"/>
      <c r="F282" s="4"/>
      <c r="G282" s="5"/>
      <c r="I282" s="9"/>
      <c r="J282" s="9"/>
      <c r="K282" s="9"/>
      <c r="L282" s="103"/>
      <c r="M282" s="108"/>
      <c r="N282" s="9"/>
    </row>
    <row r="283" spans="1:14" ht="13.95" customHeight="1">
      <c r="A283" s="1"/>
      <c r="B283" s="1"/>
      <c r="C283" s="33"/>
      <c r="D283" s="35"/>
      <c r="E283" s="3"/>
      <c r="F283" s="4"/>
      <c r="G283" s="5"/>
      <c r="I283" s="9"/>
      <c r="J283" s="9"/>
      <c r="K283" s="9"/>
      <c r="L283" s="103"/>
      <c r="M283" s="108"/>
      <c r="N283" s="9"/>
    </row>
    <row r="284" spans="1:14" ht="13.95" customHeight="1">
      <c r="A284" s="1"/>
      <c r="B284" s="1"/>
      <c r="C284" s="33"/>
      <c r="D284" s="35"/>
      <c r="E284" s="3"/>
      <c r="F284" s="4"/>
      <c r="G284" s="5"/>
      <c r="I284" s="9"/>
      <c r="J284" s="9"/>
      <c r="K284" s="9"/>
      <c r="L284" s="103"/>
      <c r="M284" s="108"/>
      <c r="N284" s="9"/>
    </row>
    <row r="285" spans="1:14" ht="20.100000000000001" customHeight="1">
      <c r="A285" s="149" t="s">
        <v>66</v>
      </c>
      <c r="B285" s="150"/>
      <c r="C285" s="150"/>
      <c r="D285" s="150"/>
      <c r="E285" s="150"/>
      <c r="F285" s="151"/>
      <c r="G285" s="116">
        <f>SUM(G246:G284)</f>
        <v>1941979.44</v>
      </c>
      <c r="I285" s="9"/>
      <c r="J285" s="9"/>
      <c r="K285" s="9"/>
      <c r="L285" s="103"/>
      <c r="M285" s="108"/>
      <c r="N285" s="9"/>
    </row>
    <row r="286" spans="1:14" ht="13.95" customHeight="1">
      <c r="A286" s="39"/>
      <c r="B286" s="39"/>
      <c r="C286" s="39"/>
      <c r="D286" s="39"/>
      <c r="E286" s="39"/>
      <c r="F286" s="39"/>
      <c r="G286" s="113"/>
      <c r="I286" s="9"/>
      <c r="J286" s="9"/>
      <c r="K286" s="9"/>
      <c r="L286" s="103"/>
      <c r="M286" s="108"/>
      <c r="N286" s="9"/>
    </row>
    <row r="287" spans="1:14" ht="13.95" customHeight="1">
      <c r="A287" s="39"/>
      <c r="B287" s="39"/>
      <c r="C287" s="39"/>
      <c r="D287" s="39"/>
      <c r="E287" s="39"/>
      <c r="F287" s="39"/>
      <c r="G287" s="113"/>
      <c r="I287" s="9"/>
      <c r="J287" s="9"/>
      <c r="K287" s="9"/>
      <c r="L287" s="103"/>
      <c r="M287" s="108"/>
      <c r="N287" s="9"/>
    </row>
    <row r="288" spans="1:14" ht="22.2" customHeight="1">
      <c r="A288" s="44" t="s">
        <v>8</v>
      </c>
      <c r="B288" s="48" t="s">
        <v>9</v>
      </c>
      <c r="C288" s="44" t="s">
        <v>10</v>
      </c>
      <c r="D288" s="48" t="s">
        <v>11</v>
      </c>
      <c r="E288" s="48" t="s">
        <v>59</v>
      </c>
      <c r="F288" s="49" t="s">
        <v>12</v>
      </c>
      <c r="G288" s="111" t="s">
        <v>13</v>
      </c>
      <c r="I288" s="9"/>
      <c r="J288" s="9"/>
      <c r="K288" s="9"/>
      <c r="L288" s="103"/>
      <c r="M288" s="108"/>
      <c r="N288" s="9"/>
    </row>
    <row r="289" spans="1:14" ht="20.100000000000001" customHeight="1">
      <c r="A289" s="149" t="s">
        <v>67</v>
      </c>
      <c r="B289" s="150"/>
      <c r="C289" s="150"/>
      <c r="D289" s="150"/>
      <c r="E289" s="150"/>
      <c r="F289" s="151"/>
      <c r="G289" s="116">
        <f>+G285</f>
        <v>1941979.44</v>
      </c>
      <c r="I289" s="9"/>
      <c r="J289" s="9"/>
      <c r="K289" s="9"/>
      <c r="L289" s="103"/>
      <c r="M289" s="108"/>
      <c r="N289" s="9"/>
    </row>
    <row r="290" spans="1:14" ht="13.95" customHeight="1">
      <c r="A290" s="1"/>
      <c r="B290" s="1"/>
      <c r="C290" s="33"/>
      <c r="D290" s="35"/>
      <c r="E290" s="3"/>
      <c r="F290" s="4"/>
      <c r="G290" s="5"/>
      <c r="I290" s="9"/>
      <c r="J290" s="9"/>
      <c r="K290" s="9"/>
      <c r="L290" s="103"/>
      <c r="M290" s="108"/>
      <c r="N290" s="9"/>
    </row>
    <row r="291" spans="1:14" ht="13.95" customHeight="1">
      <c r="A291" s="16"/>
      <c r="B291" s="76" t="s">
        <v>167</v>
      </c>
      <c r="C291" s="74" t="s">
        <v>168</v>
      </c>
      <c r="D291" s="93"/>
      <c r="E291" s="94"/>
      <c r="F291" s="14"/>
      <c r="G291" s="15"/>
      <c r="I291" s="9"/>
      <c r="J291" s="9"/>
      <c r="K291" s="9"/>
      <c r="L291" s="103"/>
      <c r="M291" s="108"/>
      <c r="N291" s="9"/>
    </row>
    <row r="292" spans="1:14" ht="13.95" customHeight="1">
      <c r="A292" s="16"/>
      <c r="B292" s="12"/>
      <c r="C292" s="75"/>
      <c r="D292" s="93"/>
      <c r="E292" s="94"/>
      <c r="F292" s="14"/>
      <c r="G292" s="15"/>
      <c r="I292" s="9"/>
      <c r="J292" s="9"/>
      <c r="K292" s="9"/>
      <c r="L292" s="103"/>
      <c r="M292" s="108"/>
      <c r="N292" s="9"/>
    </row>
    <row r="293" spans="1:14" ht="13.95" customHeight="1">
      <c r="A293" s="16"/>
      <c r="B293" s="12" t="s">
        <v>193</v>
      </c>
      <c r="C293" s="70" t="s">
        <v>164</v>
      </c>
      <c r="D293" s="12"/>
      <c r="E293" s="94"/>
      <c r="F293" s="14"/>
      <c r="G293" s="15"/>
      <c r="I293" s="9"/>
      <c r="J293" s="9"/>
      <c r="K293" s="9"/>
      <c r="L293" s="103"/>
      <c r="M293" s="108"/>
      <c r="N293" s="9"/>
    </row>
    <row r="294" spans="1:14" ht="13.95" customHeight="1">
      <c r="A294" s="16"/>
      <c r="B294" s="73"/>
      <c r="C294" s="62"/>
      <c r="D294" s="12"/>
      <c r="E294" s="94"/>
      <c r="F294" s="14"/>
      <c r="G294" s="15"/>
      <c r="I294" s="9"/>
      <c r="J294" s="9"/>
      <c r="K294" s="9"/>
      <c r="L294" s="103"/>
      <c r="M294" s="108"/>
      <c r="N294" s="9"/>
    </row>
    <row r="295" spans="1:14" ht="13.95" customHeight="1">
      <c r="A295" s="16">
        <v>50</v>
      </c>
      <c r="B295" s="73"/>
      <c r="C295" s="75" t="s">
        <v>112</v>
      </c>
      <c r="D295" s="12" t="s">
        <v>60</v>
      </c>
      <c r="E295" s="3">
        <f>SUM(I295:N295)</f>
        <v>0</v>
      </c>
      <c r="F295" s="13">
        <v>890</v>
      </c>
      <c r="G295" s="15">
        <f>+E295*F295</f>
        <v>0</v>
      </c>
      <c r="I295" s="9"/>
      <c r="J295" s="9"/>
      <c r="K295" s="9"/>
      <c r="L295" s="103"/>
      <c r="M295" s="108"/>
      <c r="N295" s="9"/>
    </row>
    <row r="296" spans="1:14" ht="13.95" customHeight="1">
      <c r="A296" s="16"/>
      <c r="B296" s="73"/>
      <c r="C296" s="62"/>
      <c r="D296" s="12"/>
      <c r="E296" s="94"/>
      <c r="F296" s="14"/>
      <c r="G296" s="15"/>
      <c r="I296" s="9"/>
      <c r="J296" s="9"/>
      <c r="K296" s="9"/>
      <c r="L296" s="103"/>
      <c r="M296" s="108"/>
      <c r="N296" s="9"/>
    </row>
    <row r="297" spans="1:14" ht="13.95" customHeight="1">
      <c r="A297" s="16"/>
      <c r="B297" s="12" t="s">
        <v>195</v>
      </c>
      <c r="C297" s="70" t="s">
        <v>194</v>
      </c>
      <c r="D297" s="12"/>
      <c r="E297" s="94"/>
      <c r="F297" s="14"/>
      <c r="G297" s="15"/>
      <c r="I297" s="9"/>
      <c r="J297" s="9"/>
      <c r="K297" s="9"/>
      <c r="L297" s="103"/>
      <c r="M297" s="108"/>
      <c r="N297" s="9"/>
    </row>
    <row r="298" spans="1:14" ht="13.95" customHeight="1">
      <c r="A298" s="16"/>
      <c r="B298" s="73"/>
      <c r="C298" s="62"/>
      <c r="D298" s="12"/>
      <c r="E298" s="94"/>
      <c r="F298" s="14"/>
      <c r="G298" s="15"/>
      <c r="I298" s="9"/>
      <c r="J298" s="9"/>
      <c r="K298" s="9"/>
      <c r="L298" s="103"/>
      <c r="M298" s="108"/>
      <c r="N298" s="9"/>
    </row>
    <row r="299" spans="1:14" ht="13.95" customHeight="1">
      <c r="A299" s="16">
        <v>51</v>
      </c>
      <c r="B299" s="73"/>
      <c r="C299" s="75" t="s">
        <v>165</v>
      </c>
      <c r="D299" s="12" t="s">
        <v>60</v>
      </c>
      <c r="E299" s="3">
        <f>SUM(I299:N299)</f>
        <v>0</v>
      </c>
      <c r="F299" s="14">
        <v>325</v>
      </c>
      <c r="G299" s="15">
        <f t="shared" ref="G299" si="60">+E299*F299</f>
        <v>0</v>
      </c>
      <c r="I299" s="9"/>
      <c r="J299" s="9"/>
      <c r="K299" s="9"/>
      <c r="L299" s="103"/>
      <c r="M299" s="108"/>
      <c r="N299" s="9"/>
    </row>
    <row r="300" spans="1:14" ht="13.95" customHeight="1">
      <c r="A300" s="16"/>
      <c r="B300" s="12"/>
      <c r="C300" s="75"/>
      <c r="D300" s="93"/>
      <c r="E300" s="94"/>
      <c r="F300" s="14"/>
      <c r="G300" s="15"/>
      <c r="I300" s="9"/>
      <c r="J300" s="9"/>
      <c r="K300" s="9"/>
      <c r="L300" s="103"/>
      <c r="M300" s="108"/>
      <c r="N300" s="9"/>
    </row>
    <row r="301" spans="1:14" ht="24">
      <c r="A301" s="16"/>
      <c r="B301" s="76" t="s">
        <v>169</v>
      </c>
      <c r="C301" s="46" t="s">
        <v>216</v>
      </c>
      <c r="D301" s="12"/>
      <c r="E301" s="12"/>
      <c r="F301" s="145"/>
      <c r="G301" s="15"/>
      <c r="I301" s="9"/>
      <c r="J301" s="9"/>
      <c r="K301" s="9"/>
      <c r="L301" s="103"/>
      <c r="M301" s="108"/>
      <c r="N301" s="9"/>
    </row>
    <row r="302" spans="1:14" ht="13.95" customHeight="1">
      <c r="A302" s="16"/>
      <c r="B302" s="76"/>
      <c r="C302" s="75"/>
      <c r="D302" s="12"/>
      <c r="E302" s="12"/>
      <c r="F302" s="145"/>
      <c r="G302" s="15"/>
      <c r="I302" s="9"/>
      <c r="J302" s="9"/>
      <c r="K302" s="9"/>
      <c r="L302" s="103"/>
      <c r="M302" s="108"/>
      <c r="N302" s="9"/>
    </row>
    <row r="303" spans="1:14" ht="13.95" customHeight="1">
      <c r="A303" s="16"/>
      <c r="B303" s="76" t="s">
        <v>169</v>
      </c>
      <c r="C303" s="75" t="s">
        <v>170</v>
      </c>
      <c r="D303" s="12"/>
      <c r="E303" s="12"/>
      <c r="F303" s="145"/>
      <c r="G303" s="15"/>
      <c r="I303" s="9"/>
      <c r="J303" s="9"/>
      <c r="K303" s="9"/>
      <c r="L303" s="103"/>
      <c r="M303" s="108"/>
      <c r="N303" s="9"/>
    </row>
    <row r="304" spans="1:14" ht="13.95" customHeight="1">
      <c r="A304" s="16"/>
      <c r="B304" s="76"/>
      <c r="C304" s="75"/>
      <c r="D304" s="12"/>
      <c r="E304" s="12"/>
      <c r="F304" s="145"/>
      <c r="G304" s="15"/>
      <c r="I304" s="9"/>
      <c r="J304" s="9"/>
      <c r="K304" s="9"/>
      <c r="L304" s="103"/>
      <c r="M304" s="108"/>
      <c r="N304" s="9"/>
    </row>
    <row r="305" spans="1:15" ht="13.95" customHeight="1">
      <c r="A305" s="16">
        <v>52</v>
      </c>
      <c r="B305" s="76" t="s">
        <v>171</v>
      </c>
      <c r="C305" s="75" t="s">
        <v>172</v>
      </c>
      <c r="D305" s="12" t="s">
        <v>60</v>
      </c>
      <c r="E305" s="3">
        <f>SUM(I305:N305)</f>
        <v>0</v>
      </c>
      <c r="F305" s="94">
        <v>275</v>
      </c>
      <c r="G305" s="15">
        <f t="shared" ref="G305:G313" si="61">+E305*F305</f>
        <v>0</v>
      </c>
      <c r="I305" s="9"/>
      <c r="J305" s="9"/>
      <c r="K305" s="9"/>
      <c r="L305" s="103"/>
      <c r="M305" s="108"/>
      <c r="N305" s="9"/>
    </row>
    <row r="306" spans="1:15" ht="13.95" customHeight="1">
      <c r="A306" s="16"/>
      <c r="B306" s="12"/>
      <c r="C306" s="75"/>
      <c r="D306" s="93"/>
      <c r="E306" s="94"/>
      <c r="F306" s="14"/>
      <c r="G306" s="15"/>
      <c r="I306" s="9"/>
      <c r="J306" s="9"/>
      <c r="K306" s="9"/>
      <c r="L306" s="103"/>
      <c r="M306" s="108"/>
      <c r="N306" s="9"/>
    </row>
    <row r="307" spans="1:15" ht="13.95" customHeight="1">
      <c r="A307" s="16"/>
      <c r="B307" s="12" t="s">
        <v>102</v>
      </c>
      <c r="C307" s="74" t="s">
        <v>166</v>
      </c>
      <c r="D307" s="12"/>
      <c r="E307" s="94"/>
      <c r="F307" s="14"/>
      <c r="G307" s="15"/>
      <c r="I307" s="9"/>
      <c r="J307" s="9"/>
      <c r="K307" s="9"/>
      <c r="L307" s="103"/>
      <c r="M307" s="108"/>
      <c r="N307" s="9"/>
    </row>
    <row r="308" spans="1:15" ht="13.95" customHeight="1">
      <c r="A308" s="16"/>
      <c r="B308" s="12"/>
      <c r="C308" s="95"/>
      <c r="D308" s="12"/>
      <c r="E308" s="94"/>
      <c r="F308" s="14"/>
      <c r="G308" s="15"/>
      <c r="I308" s="9"/>
      <c r="J308" s="9"/>
      <c r="K308" s="103"/>
      <c r="L308" s="103"/>
      <c r="M308" s="108"/>
      <c r="N308" s="9"/>
    </row>
    <row r="309" spans="1:15" ht="13.95" customHeight="1">
      <c r="A309" s="16"/>
      <c r="B309" s="12"/>
      <c r="C309" s="75" t="s">
        <v>78</v>
      </c>
      <c r="D309" s="12"/>
      <c r="E309" s="94"/>
      <c r="F309" s="14"/>
      <c r="G309" s="15"/>
      <c r="I309" s="103"/>
      <c r="J309" s="103"/>
      <c r="K309" s="103"/>
      <c r="L309" s="103"/>
      <c r="M309" s="134"/>
      <c r="N309" s="9"/>
    </row>
    <row r="310" spans="1:15" ht="13.95" customHeight="1">
      <c r="A310" s="16"/>
      <c r="B310" s="12"/>
      <c r="C310" s="75"/>
      <c r="D310" s="12"/>
      <c r="E310" s="94"/>
      <c r="F310" s="14"/>
      <c r="G310" s="15"/>
      <c r="I310" s="103"/>
      <c r="J310" s="103"/>
      <c r="K310" s="103"/>
      <c r="L310" s="103"/>
      <c r="M310" s="134"/>
      <c r="N310" s="9"/>
    </row>
    <row r="311" spans="1:15" ht="36">
      <c r="A311" s="16">
        <v>53</v>
      </c>
      <c r="B311" s="12"/>
      <c r="C311" s="47" t="s">
        <v>203</v>
      </c>
      <c r="D311" s="12" t="s">
        <v>6</v>
      </c>
      <c r="E311" s="3">
        <f>SUM(I311:N311)</f>
        <v>0</v>
      </c>
      <c r="F311" s="13">
        <v>16000</v>
      </c>
      <c r="G311" s="15">
        <f t="shared" si="61"/>
        <v>0</v>
      </c>
      <c r="I311" s="103"/>
      <c r="J311" s="103"/>
      <c r="K311" s="103"/>
      <c r="L311" s="103"/>
      <c r="M311" s="134"/>
      <c r="N311" s="103"/>
      <c r="O311" s="41"/>
    </row>
    <row r="312" spans="1:15" ht="13.95" customHeight="1">
      <c r="A312" s="16"/>
      <c r="B312" s="12"/>
      <c r="C312" s="75"/>
      <c r="D312" s="93"/>
      <c r="E312" s="94"/>
      <c r="F312" s="13"/>
      <c r="G312" s="15"/>
      <c r="I312" s="103"/>
      <c r="J312" s="103"/>
      <c r="K312" s="103"/>
      <c r="L312" s="103"/>
      <c r="M312" s="134"/>
      <c r="N312" s="103"/>
      <c r="O312" s="41"/>
    </row>
    <row r="313" spans="1:15" ht="36">
      <c r="A313" s="16">
        <v>54</v>
      </c>
      <c r="B313" s="12"/>
      <c r="C313" s="47" t="s">
        <v>286</v>
      </c>
      <c r="D313" s="12" t="s">
        <v>6</v>
      </c>
      <c r="E313" s="3">
        <f>SUM(I313:N313)</f>
        <v>0</v>
      </c>
      <c r="F313" s="13">
        <v>65000</v>
      </c>
      <c r="G313" s="15">
        <f t="shared" si="61"/>
        <v>0</v>
      </c>
      <c r="I313" s="103"/>
      <c r="J313" s="103"/>
      <c r="K313" s="103"/>
      <c r="L313" s="103"/>
      <c r="M313" s="134"/>
      <c r="N313" s="103"/>
      <c r="O313" s="41"/>
    </row>
    <row r="314" spans="1:15" ht="13.95" customHeight="1">
      <c r="A314" s="16"/>
      <c r="B314" s="12"/>
      <c r="C314" s="75"/>
      <c r="D314" s="93"/>
      <c r="E314" s="3"/>
      <c r="F314" s="13"/>
      <c r="G314" s="15"/>
      <c r="I314" s="103"/>
      <c r="J314" s="103"/>
      <c r="K314" s="103"/>
      <c r="L314" s="103"/>
      <c r="M314" s="134"/>
      <c r="N314" s="103"/>
      <c r="O314" s="41"/>
    </row>
    <row r="315" spans="1:15" ht="13.95" customHeight="1">
      <c r="A315" s="16"/>
      <c r="B315" s="12"/>
      <c r="C315" s="75"/>
      <c r="D315" s="93"/>
      <c r="E315" s="3"/>
      <c r="F315" s="13"/>
      <c r="G315" s="15"/>
      <c r="I315" s="103"/>
      <c r="J315" s="103"/>
      <c r="K315" s="103"/>
      <c r="L315" s="103"/>
      <c r="M315" s="134"/>
      <c r="N315" s="103"/>
      <c r="O315" s="41"/>
    </row>
    <row r="316" spans="1:15" ht="13.95" customHeight="1">
      <c r="A316" s="16"/>
      <c r="B316" s="12"/>
      <c r="C316" s="75"/>
      <c r="D316" s="93"/>
      <c r="E316" s="3"/>
      <c r="F316" s="13"/>
      <c r="G316" s="15"/>
      <c r="I316" s="103"/>
      <c r="J316" s="103"/>
      <c r="K316" s="103"/>
      <c r="L316" s="103"/>
      <c r="M316" s="134"/>
      <c r="N316" s="103"/>
      <c r="O316" s="41"/>
    </row>
    <row r="317" spans="1:15" ht="13.95" customHeight="1">
      <c r="A317" s="16"/>
      <c r="B317" s="12"/>
      <c r="C317" s="75"/>
      <c r="D317" s="93"/>
      <c r="E317" s="3"/>
      <c r="F317" s="13"/>
      <c r="G317" s="15"/>
      <c r="I317" s="103"/>
      <c r="J317" s="103"/>
      <c r="K317" s="103"/>
      <c r="L317" s="103"/>
      <c r="M317" s="134"/>
      <c r="N317" s="103"/>
      <c r="O317" s="41"/>
    </row>
    <row r="318" spans="1:15" ht="13.95" customHeight="1">
      <c r="A318" s="16"/>
      <c r="B318" s="12"/>
      <c r="C318" s="75"/>
      <c r="D318" s="93"/>
      <c r="E318" s="3"/>
      <c r="F318" s="13"/>
      <c r="G318" s="15"/>
      <c r="I318" s="103"/>
      <c r="J318" s="103"/>
      <c r="K318" s="103"/>
      <c r="L318" s="103"/>
      <c r="M318" s="134"/>
      <c r="N318" s="103"/>
      <c r="O318" s="41"/>
    </row>
    <row r="319" spans="1:15" ht="13.95" customHeight="1">
      <c r="A319" s="16"/>
      <c r="B319" s="12"/>
      <c r="C319" s="75"/>
      <c r="D319" s="93"/>
      <c r="E319" s="3"/>
      <c r="F319" s="13"/>
      <c r="G319" s="15"/>
      <c r="I319" s="103"/>
      <c r="J319" s="103"/>
      <c r="K319" s="103"/>
      <c r="L319" s="103"/>
      <c r="M319" s="134"/>
      <c r="N319" s="103"/>
      <c r="O319" s="41"/>
    </row>
    <row r="320" spans="1:15" ht="13.95" customHeight="1">
      <c r="A320" s="16"/>
      <c r="B320" s="12"/>
      <c r="C320" s="75"/>
      <c r="D320" s="93"/>
      <c r="E320" s="3"/>
      <c r="F320" s="13"/>
      <c r="G320" s="15"/>
      <c r="I320" s="103"/>
      <c r="J320" s="103"/>
      <c r="K320" s="103"/>
      <c r="L320" s="103"/>
      <c r="M320" s="134"/>
      <c r="N320" s="103"/>
      <c r="O320" s="41"/>
    </row>
    <row r="321" spans="1:15" ht="13.95" customHeight="1">
      <c r="A321" s="16"/>
      <c r="B321" s="12"/>
      <c r="C321" s="75"/>
      <c r="D321" s="93"/>
      <c r="E321" s="3"/>
      <c r="F321" s="13"/>
      <c r="G321" s="15"/>
      <c r="I321" s="103"/>
      <c r="J321" s="103"/>
      <c r="K321" s="103"/>
      <c r="L321" s="103"/>
      <c r="M321" s="134"/>
      <c r="N321" s="103"/>
      <c r="O321" s="41"/>
    </row>
    <row r="322" spans="1:15" ht="13.95" customHeight="1">
      <c r="A322" s="16"/>
      <c r="B322" s="12"/>
      <c r="C322" s="75"/>
      <c r="D322" s="93"/>
      <c r="E322" s="3"/>
      <c r="F322" s="13"/>
      <c r="G322" s="15"/>
      <c r="I322" s="103"/>
      <c r="J322" s="103"/>
      <c r="K322" s="103"/>
      <c r="L322" s="103"/>
      <c r="M322" s="134"/>
      <c r="N322" s="103"/>
      <c r="O322" s="41"/>
    </row>
    <row r="323" spans="1:15" ht="13.95" customHeight="1">
      <c r="A323" s="16"/>
      <c r="B323" s="12"/>
      <c r="C323" s="75"/>
      <c r="D323" s="93"/>
      <c r="E323" s="3"/>
      <c r="F323" s="13"/>
      <c r="G323" s="15"/>
      <c r="I323" s="103"/>
      <c r="J323" s="103"/>
      <c r="K323" s="103"/>
      <c r="L323" s="103"/>
      <c r="M323" s="134"/>
      <c r="N323" s="103"/>
      <c r="O323" s="41"/>
    </row>
    <row r="324" spans="1:15" ht="13.95" customHeight="1">
      <c r="A324" s="16"/>
      <c r="B324" s="12"/>
      <c r="C324" s="75"/>
      <c r="D324" s="93"/>
      <c r="E324" s="3"/>
      <c r="F324" s="13"/>
      <c r="G324" s="15"/>
      <c r="I324" s="103"/>
      <c r="J324" s="103"/>
      <c r="K324" s="103"/>
      <c r="L324" s="103"/>
      <c r="M324" s="134"/>
      <c r="N324" s="103"/>
      <c r="O324" s="41"/>
    </row>
    <row r="325" spans="1:15" ht="13.95" customHeight="1">
      <c r="A325" s="16"/>
      <c r="B325" s="12"/>
      <c r="C325" s="75"/>
      <c r="D325" s="93"/>
      <c r="E325" s="3"/>
      <c r="F325" s="13"/>
      <c r="G325" s="15"/>
      <c r="I325" s="103"/>
      <c r="J325" s="103"/>
      <c r="K325" s="103"/>
      <c r="L325" s="103"/>
      <c r="M325" s="134"/>
      <c r="N325" s="103"/>
      <c r="O325" s="41"/>
    </row>
    <row r="326" spans="1:15" ht="13.95" customHeight="1">
      <c r="A326" s="16"/>
      <c r="B326" s="12"/>
      <c r="C326" s="75"/>
      <c r="D326" s="93"/>
      <c r="E326" s="3"/>
      <c r="F326" s="13"/>
      <c r="G326" s="15"/>
      <c r="I326" s="103"/>
      <c r="J326" s="103"/>
      <c r="K326" s="103"/>
      <c r="L326" s="103"/>
      <c r="M326" s="134"/>
      <c r="N326" s="103"/>
      <c r="O326" s="41"/>
    </row>
    <row r="327" spans="1:15" ht="13.95" customHeight="1">
      <c r="A327" s="16"/>
      <c r="B327" s="12"/>
      <c r="C327" s="75"/>
      <c r="D327" s="93"/>
      <c r="E327" s="3"/>
      <c r="F327" s="13"/>
      <c r="G327" s="15"/>
      <c r="I327" s="103"/>
      <c r="J327" s="103"/>
      <c r="K327" s="103"/>
      <c r="L327" s="103"/>
      <c r="M327" s="134"/>
      <c r="N327" s="103"/>
      <c r="O327" s="41"/>
    </row>
    <row r="328" spans="1:15" ht="13.95" customHeight="1">
      <c r="A328" s="16"/>
      <c r="B328" s="12"/>
      <c r="C328" s="75"/>
      <c r="D328" s="93"/>
      <c r="E328" s="3"/>
      <c r="F328" s="13"/>
      <c r="G328" s="15"/>
      <c r="I328" s="103"/>
      <c r="J328" s="103"/>
      <c r="K328" s="103"/>
      <c r="L328" s="103"/>
      <c r="M328" s="134"/>
      <c r="N328" s="103"/>
      <c r="O328" s="41"/>
    </row>
    <row r="329" spans="1:15" ht="13.95" customHeight="1">
      <c r="A329" s="16"/>
      <c r="B329" s="12"/>
      <c r="C329" s="75"/>
      <c r="D329" s="93"/>
      <c r="E329" s="3"/>
      <c r="F329" s="13"/>
      <c r="G329" s="15"/>
      <c r="I329" s="103"/>
      <c r="J329" s="103"/>
      <c r="K329" s="103"/>
      <c r="L329" s="103"/>
      <c r="M329" s="134"/>
      <c r="N329" s="103"/>
      <c r="O329" s="41"/>
    </row>
    <row r="330" spans="1:15" ht="13.95" customHeight="1">
      <c r="A330" s="16"/>
      <c r="B330" s="12"/>
      <c r="C330" s="75"/>
      <c r="D330" s="93"/>
      <c r="E330" s="3"/>
      <c r="F330" s="13"/>
      <c r="G330" s="15"/>
      <c r="I330" s="103"/>
      <c r="J330" s="103"/>
      <c r="K330" s="103"/>
      <c r="L330" s="103"/>
      <c r="M330" s="134"/>
      <c r="N330" s="103"/>
      <c r="O330" s="41"/>
    </row>
    <row r="331" spans="1:15" ht="13.95" customHeight="1">
      <c r="A331" s="16"/>
      <c r="B331" s="16"/>
      <c r="C331" s="47"/>
      <c r="D331" s="58"/>
      <c r="E331" s="13"/>
      <c r="F331" s="14"/>
      <c r="G331" s="15"/>
      <c r="I331" s="105"/>
      <c r="J331" s="105"/>
      <c r="K331" s="105"/>
      <c r="L331" s="105"/>
      <c r="M331" s="135"/>
      <c r="N331" s="53"/>
      <c r="O331" s="41"/>
    </row>
    <row r="332" spans="1:15">
      <c r="A332" s="16"/>
      <c r="B332" s="16"/>
      <c r="C332" s="47"/>
      <c r="D332" s="58"/>
      <c r="E332" s="13"/>
      <c r="F332" s="14"/>
      <c r="G332" s="15"/>
    </row>
    <row r="333" spans="1:15">
      <c r="A333" s="16"/>
      <c r="B333" s="16"/>
      <c r="C333" s="47"/>
      <c r="D333" s="58"/>
      <c r="E333" s="13"/>
      <c r="F333" s="14"/>
      <c r="G333" s="15"/>
    </row>
    <row r="334" spans="1:15">
      <c r="A334" s="16"/>
      <c r="B334" s="16"/>
      <c r="C334" s="47"/>
      <c r="D334" s="58"/>
      <c r="E334" s="13"/>
      <c r="F334" s="14"/>
      <c r="G334" s="15"/>
    </row>
    <row r="335" spans="1:15" ht="20.399999999999999" customHeight="1">
      <c r="A335" s="156" t="s">
        <v>161</v>
      </c>
      <c r="B335" s="157"/>
      <c r="C335" s="157"/>
      <c r="D335" s="157"/>
      <c r="E335" s="157"/>
      <c r="F335" s="158"/>
      <c r="G335" s="78">
        <f>SUM(G289:G334)</f>
        <v>1941979.44</v>
      </c>
    </row>
  </sheetData>
  <mergeCells count="13">
    <mergeCell ref="A152:F152"/>
    <mergeCell ref="A48:F48"/>
    <mergeCell ref="A52:F52"/>
    <mergeCell ref="A96:F96"/>
    <mergeCell ref="A100:F100"/>
    <mergeCell ref="A148:F148"/>
    <mergeCell ref="A335:F335"/>
    <mergeCell ref="A198:F198"/>
    <mergeCell ref="A202:F202"/>
    <mergeCell ref="A242:F242"/>
    <mergeCell ref="A246:F246"/>
    <mergeCell ref="A285:F285"/>
    <mergeCell ref="A289:F289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6FCD1-D16D-483B-9955-14A928F3A8C3}">
  <dimension ref="A1:O335"/>
  <sheetViews>
    <sheetView showGridLines="0" view="pageBreakPreview" topLeftCell="A2" zoomScaleNormal="100" zoomScaleSheetLayoutView="100" workbookViewId="0">
      <selection activeCell="I2" sqref="I1:O1048576"/>
    </sheetView>
  </sheetViews>
  <sheetFormatPr defaultColWidth="13.109375" defaultRowHeight="12"/>
  <cols>
    <col min="1" max="1" width="4.88671875" style="22" customWidth="1"/>
    <col min="2" max="2" width="8.33203125" style="20" customWidth="1"/>
    <col min="3" max="3" width="40.6640625" style="21" customWidth="1"/>
    <col min="4" max="4" width="5.109375" style="22" customWidth="1"/>
    <col min="5" max="5" width="7.6640625" style="22" customWidth="1"/>
    <col min="6" max="6" width="8.6640625" style="23" customWidth="1"/>
    <col min="7" max="7" width="11.6640625" style="24" customWidth="1"/>
    <col min="8" max="8" width="4.33203125" style="6" customWidth="1"/>
    <col min="9" max="9" width="11.33203125" style="22" hidden="1" customWidth="1"/>
    <col min="10" max="10" width="11.109375" style="22" hidden="1" customWidth="1"/>
    <col min="11" max="11" width="10.88671875" style="22" hidden="1" customWidth="1"/>
    <col min="12" max="12" width="11.6640625" style="22" hidden="1" customWidth="1"/>
    <col min="13" max="13" width="13.109375" style="106" hidden="1" customWidth="1"/>
    <col min="14" max="14" width="0" style="22" hidden="1" customWidth="1"/>
    <col min="15" max="15" width="0" style="6" hidden="1" customWidth="1"/>
    <col min="16" max="16384" width="13.109375" style="6"/>
  </cols>
  <sheetData>
    <row r="1" spans="1:14" ht="20.399999999999999" hidden="1" customHeight="1">
      <c r="A1" s="19" t="s">
        <v>80</v>
      </c>
    </row>
    <row r="2" spans="1:14" ht="15" customHeight="1">
      <c r="A2" s="142" t="str">
        <f>Summary!A2</f>
        <v>NAFASI WATER - ARNOT WASTE TREATMENT PLANT</v>
      </c>
      <c r="G2" s="25" t="str">
        <f>Summary!C2</f>
        <v>Revision T1</v>
      </c>
    </row>
    <row r="3" spans="1:14" ht="15" customHeight="1">
      <c r="A3" s="19" t="str">
        <f>Summary!A3</f>
        <v>PILING AND CIVIL WORK</v>
      </c>
      <c r="G3" s="26"/>
    </row>
    <row r="4" spans="1:14" ht="15" customHeight="1">
      <c r="A4" s="19" t="s">
        <v>273</v>
      </c>
      <c r="G4" s="143">
        <f>Summary!C4</f>
        <v>45183</v>
      </c>
    </row>
    <row r="5" spans="1:14" ht="15" customHeight="1">
      <c r="A5" s="27"/>
      <c r="B5" s="28"/>
      <c r="C5" s="28"/>
      <c r="E5" s="29"/>
      <c r="G5" s="30"/>
    </row>
    <row r="6" spans="1:14" s="42" customFormat="1" ht="37.200000000000003" customHeight="1">
      <c r="A6" s="44" t="s">
        <v>8</v>
      </c>
      <c r="B6" s="48" t="s">
        <v>9</v>
      </c>
      <c r="C6" s="44" t="s">
        <v>10</v>
      </c>
      <c r="D6" s="48" t="s">
        <v>11</v>
      </c>
      <c r="E6" s="48" t="s">
        <v>59</v>
      </c>
      <c r="F6" s="49" t="s">
        <v>12</v>
      </c>
      <c r="G6" s="49" t="s">
        <v>13</v>
      </c>
      <c r="I6" s="100" t="s">
        <v>245</v>
      </c>
      <c r="J6" s="100" t="s">
        <v>275</v>
      </c>
      <c r="K6" s="100" t="s">
        <v>276</v>
      </c>
      <c r="L6" s="101" t="s">
        <v>257</v>
      </c>
      <c r="M6" s="100" t="s">
        <v>272</v>
      </c>
      <c r="N6" s="48"/>
    </row>
    <row r="7" spans="1:14" s="42" customFormat="1" ht="4.95" customHeight="1">
      <c r="A7" s="2"/>
      <c r="B7" s="40"/>
      <c r="C7" s="50"/>
      <c r="D7" s="40"/>
      <c r="E7" s="40"/>
      <c r="F7" s="54"/>
      <c r="G7" s="54"/>
      <c r="I7" s="40"/>
      <c r="J7" s="40"/>
      <c r="K7" s="40"/>
      <c r="L7" s="102"/>
      <c r="M7" s="107"/>
      <c r="N7" s="109"/>
    </row>
    <row r="8" spans="1:14" ht="19.2" customHeight="1">
      <c r="A8" s="1"/>
      <c r="B8" s="2"/>
      <c r="C8" s="11" t="s">
        <v>274</v>
      </c>
      <c r="D8" s="1"/>
      <c r="E8" s="1"/>
      <c r="F8" s="4"/>
      <c r="G8" s="5"/>
      <c r="I8" s="9"/>
      <c r="J8" s="9"/>
      <c r="K8" s="9"/>
      <c r="L8" s="103"/>
      <c r="M8" s="108"/>
      <c r="N8" s="9"/>
    </row>
    <row r="9" spans="1:14" ht="10.95" customHeight="1">
      <c r="A9" s="1"/>
      <c r="B9" s="2"/>
      <c r="C9" s="11"/>
      <c r="D9" s="1"/>
      <c r="E9" s="1"/>
      <c r="F9" s="4"/>
      <c r="G9" s="5"/>
      <c r="I9" s="9"/>
      <c r="J9" s="9"/>
      <c r="K9" s="9"/>
      <c r="L9" s="103"/>
      <c r="M9" s="108"/>
      <c r="N9" s="9"/>
    </row>
    <row r="10" spans="1:14" ht="22.2" customHeight="1">
      <c r="A10" s="1"/>
      <c r="B10" s="1" t="s">
        <v>22</v>
      </c>
      <c r="C10" s="34" t="s">
        <v>69</v>
      </c>
      <c r="D10" s="1"/>
      <c r="E10" s="3" t="str">
        <f>IF(SUM(H10:M10)&gt;0,SUM(H10:M10),"")</f>
        <v/>
      </c>
      <c r="F10" s="4"/>
      <c r="G10" s="5"/>
      <c r="I10" s="9"/>
      <c r="J10" s="9"/>
      <c r="K10" s="9"/>
      <c r="L10" s="103"/>
      <c r="M10" s="108"/>
      <c r="N10" s="9"/>
    </row>
    <row r="11" spans="1:14" ht="13.95" customHeight="1">
      <c r="A11" s="1"/>
      <c r="B11" s="1"/>
      <c r="C11" s="34"/>
      <c r="D11" s="1"/>
      <c r="E11" s="3" t="str">
        <f>IF(SUM(H11:M11)&gt;0,SUM(H11:M11),"")</f>
        <v/>
      </c>
      <c r="F11" s="4"/>
      <c r="G11" s="5"/>
      <c r="I11" s="9"/>
      <c r="J11" s="9"/>
      <c r="K11" s="9"/>
      <c r="L11" s="103"/>
      <c r="M11" s="108"/>
      <c r="N11" s="9"/>
    </row>
    <row r="12" spans="1:14" ht="13.95" customHeight="1">
      <c r="A12" s="1"/>
      <c r="B12" s="1"/>
      <c r="C12" s="32" t="s">
        <v>55</v>
      </c>
      <c r="D12" s="1"/>
      <c r="E12" s="3" t="str">
        <f>IF(SUM(H12:M12)&gt;0,SUM(H12:M12),"")</f>
        <v/>
      </c>
      <c r="F12" s="4"/>
      <c r="G12" s="5"/>
      <c r="I12" s="9"/>
      <c r="J12" s="9"/>
      <c r="K12" s="9"/>
      <c r="L12" s="103"/>
      <c r="M12" s="108"/>
      <c r="N12" s="9"/>
    </row>
    <row r="13" spans="1:14" ht="13.95" customHeight="1">
      <c r="A13" s="1"/>
      <c r="B13" s="1"/>
      <c r="C13" s="32"/>
      <c r="D13" s="1"/>
      <c r="E13" s="3" t="str">
        <f>IF(SUM(H13:M13)&gt;0,SUM(H13:M13),"")</f>
        <v/>
      </c>
      <c r="F13" s="4"/>
      <c r="G13" s="5"/>
      <c r="I13" s="9"/>
      <c r="J13" s="9"/>
      <c r="K13" s="9"/>
      <c r="L13" s="103"/>
      <c r="M13" s="108"/>
      <c r="N13" s="9"/>
    </row>
    <row r="14" spans="1:14" ht="22.2" customHeight="1">
      <c r="A14" s="1">
        <v>1</v>
      </c>
      <c r="B14" s="1"/>
      <c r="C14" s="33" t="s">
        <v>218</v>
      </c>
      <c r="D14" s="1" t="s">
        <v>6</v>
      </c>
      <c r="E14" s="3">
        <f>SUM(I14:N14)</f>
        <v>0</v>
      </c>
      <c r="F14" s="13">
        <v>1150</v>
      </c>
      <c r="G14" s="5">
        <f t="shared" ref="G14" si="0">+E14*F14</f>
        <v>0</v>
      </c>
      <c r="I14" s="137">
        <v>0</v>
      </c>
      <c r="J14" s="137">
        <v>0</v>
      </c>
      <c r="K14" s="137">
        <v>0</v>
      </c>
      <c r="L14" s="137">
        <v>0</v>
      </c>
      <c r="M14" s="137">
        <v>0</v>
      </c>
      <c r="N14" s="137">
        <v>0</v>
      </c>
    </row>
    <row r="15" spans="1:14" ht="13.95" customHeight="1">
      <c r="A15" s="1"/>
      <c r="B15" s="1"/>
      <c r="C15" s="32"/>
      <c r="D15" s="1"/>
      <c r="E15" s="3"/>
      <c r="F15" s="14"/>
      <c r="G15" s="5"/>
      <c r="I15" s="13"/>
      <c r="J15" s="13"/>
      <c r="K15" s="13"/>
      <c r="L15" s="13"/>
      <c r="M15" s="13"/>
      <c r="N15" s="13"/>
    </row>
    <row r="16" spans="1:14" ht="13.95" customHeight="1">
      <c r="A16" s="1"/>
      <c r="B16" s="1"/>
      <c r="C16" s="32" t="s">
        <v>221</v>
      </c>
      <c r="D16" s="1"/>
      <c r="E16" s="3"/>
      <c r="F16" s="14"/>
      <c r="G16" s="5"/>
      <c r="I16" s="13"/>
      <c r="J16" s="13"/>
      <c r="K16" s="13"/>
      <c r="L16" s="13"/>
      <c r="M16" s="13"/>
      <c r="N16" s="13"/>
    </row>
    <row r="17" spans="1:14" ht="34.950000000000003" customHeight="1">
      <c r="A17" s="1"/>
      <c r="B17" s="1"/>
      <c r="C17" s="33" t="s">
        <v>219</v>
      </c>
      <c r="D17" s="1"/>
      <c r="E17" s="3"/>
      <c r="F17" s="14"/>
      <c r="G17" s="5"/>
      <c r="I17" s="13"/>
      <c r="J17" s="13"/>
      <c r="K17" s="13"/>
      <c r="L17" s="13"/>
      <c r="M17" s="13"/>
      <c r="N17" s="13"/>
    </row>
    <row r="18" spans="1:14" ht="10.95" customHeight="1">
      <c r="A18" s="1"/>
      <c r="B18" s="1"/>
      <c r="C18" s="32"/>
      <c r="D18" s="1"/>
      <c r="E18" s="3"/>
      <c r="F18" s="13"/>
      <c r="G18" s="5"/>
      <c r="I18" s="13"/>
      <c r="J18" s="13"/>
      <c r="K18" s="13"/>
      <c r="L18" s="13"/>
      <c r="M18" s="13"/>
      <c r="N18" s="13"/>
    </row>
    <row r="19" spans="1:14" ht="13.2" customHeight="1">
      <c r="A19" s="1">
        <v>2</v>
      </c>
      <c r="B19" s="1"/>
      <c r="C19" s="33" t="s">
        <v>33</v>
      </c>
      <c r="D19" s="1" t="s">
        <v>1</v>
      </c>
      <c r="E19" s="3">
        <f>SUM(I19:N19)</f>
        <v>0</v>
      </c>
      <c r="F19" s="13">
        <v>1850</v>
      </c>
      <c r="G19" s="5">
        <f t="shared" ref="G19" si="1">+E19*F19</f>
        <v>0</v>
      </c>
      <c r="I19" s="138">
        <f t="shared" ref="I19:N19" si="2">I14*10</f>
        <v>0</v>
      </c>
      <c r="J19" s="138">
        <f t="shared" si="2"/>
        <v>0</v>
      </c>
      <c r="K19" s="138">
        <f t="shared" si="2"/>
        <v>0</v>
      </c>
      <c r="L19" s="138">
        <f t="shared" si="2"/>
        <v>0</v>
      </c>
      <c r="M19" s="138">
        <f t="shared" si="2"/>
        <v>0</v>
      </c>
      <c r="N19" s="138">
        <f t="shared" si="2"/>
        <v>0</v>
      </c>
    </row>
    <row r="20" spans="1:14" ht="13.2" customHeight="1">
      <c r="A20" s="1"/>
      <c r="B20" s="1"/>
      <c r="C20" s="32"/>
      <c r="D20" s="1"/>
      <c r="E20" s="3"/>
      <c r="F20" s="13"/>
      <c r="G20" s="5"/>
      <c r="I20" s="138"/>
      <c r="J20" s="138"/>
      <c r="K20" s="138"/>
      <c r="L20" s="138"/>
      <c r="M20" s="138"/>
      <c r="N20" s="138"/>
    </row>
    <row r="21" spans="1:14" ht="13.2" customHeight="1">
      <c r="A21" s="1">
        <v>3</v>
      </c>
      <c r="B21" s="1"/>
      <c r="C21" s="33" t="s">
        <v>34</v>
      </c>
      <c r="D21" s="1" t="s">
        <v>1</v>
      </c>
      <c r="E21" s="3">
        <f>SUM(I21:N21)</f>
        <v>0</v>
      </c>
      <c r="F21" s="13">
        <f>F19</f>
        <v>1850</v>
      </c>
      <c r="G21" s="5">
        <f t="shared" ref="G21" si="3">+E21*F21</f>
        <v>0</v>
      </c>
      <c r="I21" s="138">
        <f t="shared" ref="I21:N21" si="4">I14*5</f>
        <v>0</v>
      </c>
      <c r="J21" s="138">
        <f t="shared" si="4"/>
        <v>0</v>
      </c>
      <c r="K21" s="138">
        <f t="shared" si="4"/>
        <v>0</v>
      </c>
      <c r="L21" s="138">
        <f t="shared" si="4"/>
        <v>0</v>
      </c>
      <c r="M21" s="138">
        <f t="shared" si="4"/>
        <v>0</v>
      </c>
      <c r="N21" s="138">
        <f t="shared" si="4"/>
        <v>0</v>
      </c>
    </row>
    <row r="22" spans="1:14" ht="13.2" customHeight="1">
      <c r="A22" s="1"/>
      <c r="B22" s="1"/>
      <c r="C22" s="32"/>
      <c r="D22" s="1"/>
      <c r="E22" s="3"/>
      <c r="F22" s="13"/>
      <c r="G22" s="5"/>
      <c r="I22" s="138"/>
      <c r="J22" s="138"/>
      <c r="K22" s="138"/>
      <c r="L22" s="138"/>
      <c r="M22" s="138"/>
      <c r="N22" s="138"/>
    </row>
    <row r="23" spans="1:14" ht="13.2" customHeight="1">
      <c r="A23" s="1"/>
      <c r="B23" s="1"/>
      <c r="C23" s="32" t="s">
        <v>76</v>
      </c>
      <c r="D23" s="1"/>
      <c r="E23" s="3"/>
      <c r="F23" s="13"/>
      <c r="G23" s="5"/>
      <c r="I23" s="138"/>
      <c r="J23" s="138"/>
      <c r="K23" s="138"/>
      <c r="L23" s="138"/>
      <c r="M23" s="138"/>
      <c r="N23" s="138"/>
    </row>
    <row r="24" spans="1:14" ht="13.2" customHeight="1">
      <c r="A24" s="1"/>
      <c r="B24" s="1"/>
      <c r="C24" s="32"/>
      <c r="D24" s="1"/>
      <c r="E24" s="3"/>
      <c r="F24" s="13"/>
      <c r="G24" s="5"/>
      <c r="I24" s="138"/>
      <c r="J24" s="138"/>
      <c r="K24" s="138"/>
      <c r="L24" s="138"/>
      <c r="M24" s="138"/>
      <c r="N24" s="138"/>
    </row>
    <row r="25" spans="1:14" ht="13.2" customHeight="1">
      <c r="A25" s="1">
        <v>4</v>
      </c>
      <c r="B25" s="1"/>
      <c r="C25" s="47" t="s">
        <v>77</v>
      </c>
      <c r="D25" s="1" t="s">
        <v>6</v>
      </c>
      <c r="E25" s="3">
        <f>SUM(I25:N25)</f>
        <v>0</v>
      </c>
      <c r="F25" s="13">
        <v>1250</v>
      </c>
      <c r="G25" s="5">
        <f t="shared" ref="G25" si="5">+E25*F25</f>
        <v>0</v>
      </c>
      <c r="I25" s="138">
        <f t="shared" ref="I25:N25" si="6">I14</f>
        <v>0</v>
      </c>
      <c r="J25" s="138">
        <f t="shared" si="6"/>
        <v>0</v>
      </c>
      <c r="K25" s="138">
        <f t="shared" si="6"/>
        <v>0</v>
      </c>
      <c r="L25" s="138">
        <f t="shared" si="6"/>
        <v>0</v>
      </c>
      <c r="M25" s="138">
        <f t="shared" si="6"/>
        <v>0</v>
      </c>
      <c r="N25" s="138">
        <f t="shared" si="6"/>
        <v>0</v>
      </c>
    </row>
    <row r="26" spans="1:14" ht="13.2" customHeight="1">
      <c r="A26" s="1"/>
      <c r="B26" s="1"/>
      <c r="C26" s="32"/>
      <c r="D26" s="1"/>
      <c r="E26" s="3"/>
      <c r="F26" s="13"/>
      <c r="G26" s="5"/>
      <c r="I26" s="138"/>
      <c r="J26" s="138"/>
      <c r="K26" s="138"/>
      <c r="L26" s="138"/>
      <c r="M26" s="138"/>
      <c r="N26" s="138"/>
    </row>
    <row r="27" spans="1:14" ht="12.6" customHeight="1">
      <c r="A27" s="1"/>
      <c r="B27" s="1"/>
      <c r="C27" s="32" t="s">
        <v>71</v>
      </c>
      <c r="D27" s="1"/>
      <c r="E27" s="3"/>
      <c r="F27" s="13"/>
      <c r="G27" s="5"/>
      <c r="I27" s="138"/>
      <c r="J27" s="138"/>
      <c r="K27" s="138"/>
      <c r="L27" s="138"/>
      <c r="M27" s="138"/>
      <c r="N27" s="138"/>
    </row>
    <row r="28" spans="1:14" ht="12.6" customHeight="1">
      <c r="A28" s="1"/>
      <c r="B28" s="1"/>
      <c r="C28" s="33"/>
      <c r="D28" s="1"/>
      <c r="E28" s="3"/>
      <c r="F28" s="13"/>
      <c r="G28" s="5"/>
      <c r="I28" s="138"/>
      <c r="J28" s="138"/>
      <c r="K28" s="138"/>
      <c r="L28" s="138"/>
      <c r="M28" s="138"/>
      <c r="N28" s="138"/>
    </row>
    <row r="29" spans="1:14" ht="12.6" customHeight="1">
      <c r="A29" s="1">
        <v>5</v>
      </c>
      <c r="B29" s="1"/>
      <c r="C29" s="33" t="s">
        <v>223</v>
      </c>
      <c r="D29" s="1" t="s">
        <v>2</v>
      </c>
      <c r="E29" s="3">
        <f>SUM(I29:N29)</f>
        <v>0</v>
      </c>
      <c r="F29" s="13">
        <v>29500</v>
      </c>
      <c r="G29" s="5">
        <f t="shared" ref="G29" si="7">+E29*F29</f>
        <v>0</v>
      </c>
      <c r="I29" s="139">
        <f t="shared" ref="I29:N29" si="8">(I19+I21)*0.00325</f>
        <v>0</v>
      </c>
      <c r="J29" s="139">
        <f t="shared" si="8"/>
        <v>0</v>
      </c>
      <c r="K29" s="139">
        <f t="shared" si="8"/>
        <v>0</v>
      </c>
      <c r="L29" s="139">
        <f t="shared" si="8"/>
        <v>0</v>
      </c>
      <c r="M29" s="139">
        <f t="shared" si="8"/>
        <v>0</v>
      </c>
      <c r="N29" s="139">
        <f t="shared" si="8"/>
        <v>0</v>
      </c>
    </row>
    <row r="30" spans="1:14" ht="12.6" customHeight="1">
      <c r="A30" s="1"/>
      <c r="B30" s="1"/>
      <c r="C30" s="33"/>
      <c r="D30" s="1"/>
      <c r="E30" s="3"/>
      <c r="F30" s="13"/>
      <c r="G30" s="5"/>
      <c r="I30" s="138"/>
      <c r="J30" s="138"/>
      <c r="K30" s="138"/>
      <c r="L30" s="138"/>
      <c r="M30" s="138"/>
      <c r="N30" s="138"/>
    </row>
    <row r="31" spans="1:14" ht="12.6" customHeight="1">
      <c r="A31" s="1">
        <v>6</v>
      </c>
      <c r="B31" s="1"/>
      <c r="C31" s="33" t="s">
        <v>222</v>
      </c>
      <c r="D31" s="1" t="s">
        <v>2</v>
      </c>
      <c r="E31" s="3">
        <f>SUM(I31:AG31)</f>
        <v>0</v>
      </c>
      <c r="F31" s="13">
        <v>28000</v>
      </c>
      <c r="G31" s="5">
        <f t="shared" ref="G31" si="9">+E31*F31</f>
        <v>0</v>
      </c>
      <c r="I31" s="139">
        <f t="shared" ref="I31:N31" si="10">(I19+I21)*0.0215</f>
        <v>0</v>
      </c>
      <c r="J31" s="139">
        <f t="shared" si="10"/>
        <v>0</v>
      </c>
      <c r="K31" s="139">
        <f t="shared" si="10"/>
        <v>0</v>
      </c>
      <c r="L31" s="139">
        <f t="shared" si="10"/>
        <v>0</v>
      </c>
      <c r="M31" s="139">
        <f t="shared" si="10"/>
        <v>0</v>
      </c>
      <c r="N31" s="139">
        <f t="shared" si="10"/>
        <v>0</v>
      </c>
    </row>
    <row r="32" spans="1:14" ht="12.6" customHeight="1">
      <c r="A32" s="1"/>
      <c r="B32" s="1"/>
      <c r="C32" s="33"/>
      <c r="D32" s="1"/>
      <c r="E32" s="3"/>
      <c r="F32" s="13"/>
      <c r="G32" s="5"/>
      <c r="I32" s="138"/>
      <c r="J32" s="138"/>
      <c r="K32" s="138"/>
      <c r="L32" s="138"/>
      <c r="M32" s="138"/>
      <c r="N32" s="138"/>
    </row>
    <row r="33" spans="1:14" ht="12.6" customHeight="1">
      <c r="A33" s="1"/>
      <c r="B33" s="1"/>
      <c r="C33" s="32" t="s">
        <v>56</v>
      </c>
      <c r="D33" s="1"/>
      <c r="E33" s="3"/>
      <c r="F33" s="13"/>
      <c r="G33" s="5"/>
      <c r="I33" s="138"/>
      <c r="J33" s="138"/>
      <c r="K33" s="138"/>
      <c r="L33" s="138"/>
      <c r="M33" s="138"/>
      <c r="N33" s="138"/>
    </row>
    <row r="34" spans="1:14" ht="13.2" customHeight="1">
      <c r="A34" s="1"/>
      <c r="B34" s="1"/>
      <c r="C34" s="33"/>
      <c r="D34" s="1"/>
      <c r="E34" s="3"/>
      <c r="F34" s="13"/>
      <c r="G34" s="5"/>
      <c r="I34" s="138"/>
      <c r="J34" s="138"/>
      <c r="K34" s="138"/>
      <c r="L34" s="138"/>
      <c r="M34" s="138"/>
      <c r="N34" s="138"/>
    </row>
    <row r="35" spans="1:14" ht="13.2" customHeight="1">
      <c r="A35" s="1">
        <v>7</v>
      </c>
      <c r="B35" s="1"/>
      <c r="C35" s="33" t="s">
        <v>220</v>
      </c>
      <c r="D35" s="1"/>
      <c r="E35" s="3"/>
      <c r="F35" s="13"/>
      <c r="G35" s="5"/>
      <c r="I35" s="138"/>
      <c r="J35" s="138"/>
      <c r="K35" s="138"/>
      <c r="L35" s="138"/>
      <c r="M35" s="138"/>
      <c r="N35" s="138"/>
    </row>
    <row r="36" spans="1:14" ht="13.2" customHeight="1">
      <c r="A36" s="1"/>
      <c r="B36" s="1"/>
      <c r="C36" s="1"/>
      <c r="D36" s="1"/>
      <c r="E36" s="3"/>
      <c r="F36" s="13"/>
      <c r="G36" s="5"/>
      <c r="I36" s="138"/>
      <c r="J36" s="138"/>
      <c r="K36" s="138"/>
      <c r="L36" s="138"/>
      <c r="M36" s="138"/>
      <c r="N36" s="138"/>
    </row>
    <row r="37" spans="1:14" ht="13.2" customHeight="1">
      <c r="A37" s="1"/>
      <c r="B37" s="1"/>
      <c r="C37" s="33" t="s">
        <v>38</v>
      </c>
      <c r="D37" s="1" t="s">
        <v>51</v>
      </c>
      <c r="E37" s="3">
        <f>SUM(I37:N37)</f>
        <v>0</v>
      </c>
      <c r="F37" s="13">
        <v>3500</v>
      </c>
      <c r="G37" s="5">
        <f t="shared" ref="G37" si="11">+E37*F37</f>
        <v>0</v>
      </c>
      <c r="I37" s="139">
        <f t="shared" ref="I37:N37" si="12">((I19+I21)*0.292)+(I14*0.75)</f>
        <v>0</v>
      </c>
      <c r="J37" s="139">
        <f t="shared" si="12"/>
        <v>0</v>
      </c>
      <c r="K37" s="139">
        <f t="shared" si="12"/>
        <v>0</v>
      </c>
      <c r="L37" s="139">
        <f t="shared" si="12"/>
        <v>0</v>
      </c>
      <c r="M37" s="139">
        <f t="shared" si="12"/>
        <v>0</v>
      </c>
      <c r="N37" s="139">
        <f t="shared" si="12"/>
        <v>0</v>
      </c>
    </row>
    <row r="38" spans="1:14" ht="13.2" customHeight="1">
      <c r="A38" s="1"/>
      <c r="B38" s="1"/>
      <c r="C38" s="33"/>
      <c r="D38" s="1"/>
      <c r="E38" s="3"/>
      <c r="F38" s="13"/>
      <c r="G38" s="5"/>
      <c r="I38" s="138"/>
      <c r="J38" s="138"/>
      <c r="K38" s="138"/>
      <c r="L38" s="138"/>
      <c r="M38" s="138"/>
      <c r="N38" s="138"/>
    </row>
    <row r="39" spans="1:14" ht="13.2" customHeight="1">
      <c r="A39" s="1"/>
      <c r="B39" s="1" t="s">
        <v>23</v>
      </c>
      <c r="C39" s="32" t="s">
        <v>35</v>
      </c>
      <c r="D39" s="1"/>
      <c r="E39" s="3"/>
      <c r="F39" s="13"/>
      <c r="G39" s="5"/>
      <c r="I39" s="138"/>
      <c r="J39" s="138"/>
      <c r="K39" s="138"/>
      <c r="L39" s="138"/>
      <c r="M39" s="138"/>
      <c r="N39" s="138"/>
    </row>
    <row r="40" spans="1:14" ht="13.2" customHeight="1">
      <c r="A40" s="1"/>
      <c r="B40" s="1"/>
      <c r="C40" s="32"/>
      <c r="D40" s="1"/>
      <c r="E40" s="3"/>
      <c r="F40" s="13"/>
      <c r="G40" s="5"/>
      <c r="I40" s="138"/>
      <c r="J40" s="138"/>
      <c r="K40" s="138"/>
      <c r="L40" s="138"/>
      <c r="M40" s="138"/>
      <c r="N40" s="138"/>
    </row>
    <row r="41" spans="1:14" ht="13.2" customHeight="1">
      <c r="A41" s="1">
        <v>8</v>
      </c>
      <c r="B41" s="1"/>
      <c r="C41" s="33" t="s">
        <v>259</v>
      </c>
      <c r="D41" s="1" t="s">
        <v>6</v>
      </c>
      <c r="E41" s="3">
        <f>SUM(I41:N41)</f>
        <v>0</v>
      </c>
      <c r="F41" s="13">
        <v>875</v>
      </c>
      <c r="G41" s="5">
        <f t="shared" ref="G41" si="13">+E41*F41</f>
        <v>0</v>
      </c>
      <c r="I41" s="138">
        <f t="shared" ref="I41:N41" si="14">I14</f>
        <v>0</v>
      </c>
      <c r="J41" s="138">
        <f t="shared" si="14"/>
        <v>0</v>
      </c>
      <c r="K41" s="138">
        <f t="shared" si="14"/>
        <v>0</v>
      </c>
      <c r="L41" s="138">
        <f t="shared" si="14"/>
        <v>0</v>
      </c>
      <c r="M41" s="138">
        <f t="shared" si="14"/>
        <v>0</v>
      </c>
      <c r="N41" s="138">
        <f t="shared" si="14"/>
        <v>0</v>
      </c>
    </row>
    <row r="42" spans="1:14" ht="13.2" customHeight="1">
      <c r="A42" s="1"/>
      <c r="B42" s="2"/>
      <c r="C42" s="11"/>
      <c r="D42" s="1"/>
      <c r="E42" s="1"/>
      <c r="F42" s="13"/>
      <c r="G42" s="5"/>
      <c r="I42" s="1"/>
      <c r="J42" s="1"/>
      <c r="K42" s="1"/>
      <c r="L42" s="103"/>
      <c r="M42" s="108"/>
      <c r="N42" s="9"/>
    </row>
    <row r="43" spans="1:14" ht="24">
      <c r="A43" s="1"/>
      <c r="B43" s="2" t="s">
        <v>100</v>
      </c>
      <c r="C43" s="31" t="s">
        <v>79</v>
      </c>
      <c r="D43" s="1"/>
      <c r="E43" s="3"/>
      <c r="F43" s="14"/>
      <c r="G43" s="5"/>
      <c r="I43" s="3"/>
      <c r="J43" s="3"/>
      <c r="K43" s="3"/>
      <c r="L43" s="103"/>
      <c r="M43" s="108"/>
      <c r="N43" s="9"/>
    </row>
    <row r="44" spans="1:14" ht="13.95" customHeight="1">
      <c r="A44" s="1"/>
      <c r="B44" s="2"/>
      <c r="C44" s="8" t="s">
        <v>81</v>
      </c>
      <c r="D44" s="1"/>
      <c r="E44" s="3"/>
      <c r="F44" s="14"/>
      <c r="G44" s="5"/>
      <c r="I44" s="3"/>
      <c r="J44" s="3"/>
      <c r="K44" s="3"/>
      <c r="L44" s="103"/>
      <c r="M44" s="108"/>
      <c r="N44" s="9"/>
    </row>
    <row r="45" spans="1:14" ht="50.4" customHeight="1">
      <c r="A45" s="16">
        <v>9</v>
      </c>
      <c r="B45" s="33" t="s">
        <v>162</v>
      </c>
      <c r="C45" s="33" t="s">
        <v>163</v>
      </c>
      <c r="D45" s="9" t="s">
        <v>60</v>
      </c>
      <c r="E45" s="3">
        <f>SUM(I45:N45)</f>
        <v>66</v>
      </c>
      <c r="F45" s="13">
        <v>225</v>
      </c>
      <c r="G45" s="5">
        <f t="shared" ref="G45" si="15">+E45*F45</f>
        <v>14850</v>
      </c>
      <c r="I45" s="9">
        <v>66</v>
      </c>
      <c r="J45" s="9"/>
      <c r="K45" s="9"/>
      <c r="L45" s="103"/>
      <c r="M45" s="108"/>
      <c r="N45" s="9"/>
    </row>
    <row r="46" spans="1:14">
      <c r="A46" s="16"/>
      <c r="B46" s="33"/>
      <c r="D46" s="9"/>
      <c r="E46" s="3"/>
      <c r="F46" s="13"/>
      <c r="G46" s="5"/>
      <c r="I46" s="9"/>
      <c r="J46" s="9"/>
      <c r="K46" s="9"/>
      <c r="L46" s="103"/>
      <c r="M46" s="108"/>
      <c r="N46" s="9"/>
    </row>
    <row r="47" spans="1:14" ht="13.95" customHeight="1">
      <c r="A47" s="1"/>
      <c r="B47" s="2"/>
      <c r="C47" s="8"/>
      <c r="D47" s="9"/>
      <c r="E47" s="3"/>
      <c r="F47" s="4"/>
      <c r="G47" s="5"/>
      <c r="I47" s="9"/>
      <c r="J47" s="9"/>
      <c r="K47" s="9"/>
      <c r="L47" s="103"/>
      <c r="M47" s="108"/>
      <c r="N47" s="9"/>
    </row>
    <row r="48" spans="1:14" ht="20.100000000000001" customHeight="1">
      <c r="A48" s="149" t="s">
        <v>66</v>
      </c>
      <c r="B48" s="150"/>
      <c r="C48" s="150"/>
      <c r="D48" s="150"/>
      <c r="E48" s="150"/>
      <c r="F48" s="151"/>
      <c r="G48" s="116">
        <f>SUM(G8:G47)</f>
        <v>14850</v>
      </c>
      <c r="I48" s="9"/>
      <c r="J48" s="9"/>
      <c r="K48" s="9"/>
      <c r="L48" s="103"/>
      <c r="M48" s="108"/>
      <c r="N48" s="9"/>
    </row>
    <row r="49" spans="1:14">
      <c r="A49" s="39"/>
      <c r="B49" s="39"/>
      <c r="C49" s="39"/>
      <c r="D49" s="39"/>
      <c r="E49" s="39"/>
      <c r="F49" s="39"/>
      <c r="G49" s="113"/>
      <c r="I49" s="9"/>
      <c r="J49" s="9"/>
      <c r="K49" s="9"/>
      <c r="L49" s="103"/>
      <c r="M49" s="108"/>
      <c r="N49" s="9"/>
    </row>
    <row r="50" spans="1:14" ht="13.95" customHeight="1">
      <c r="A50" s="39"/>
      <c r="B50" s="39"/>
      <c r="C50" s="39"/>
      <c r="D50" s="39"/>
      <c r="E50" s="39"/>
      <c r="F50" s="39"/>
      <c r="G50" s="113"/>
      <c r="I50" s="9"/>
      <c r="J50" s="9"/>
      <c r="K50" s="9"/>
      <c r="L50" s="103"/>
      <c r="M50" s="108"/>
      <c r="N50" s="9"/>
    </row>
    <row r="51" spans="1:14" ht="24" customHeight="1">
      <c r="A51" s="44" t="s">
        <v>8</v>
      </c>
      <c r="B51" s="48" t="s">
        <v>9</v>
      </c>
      <c r="C51" s="44" t="s">
        <v>10</v>
      </c>
      <c r="D51" s="48" t="s">
        <v>11</v>
      </c>
      <c r="E51" s="48" t="s">
        <v>59</v>
      </c>
      <c r="F51" s="49" t="s">
        <v>12</v>
      </c>
      <c r="G51" s="111" t="s">
        <v>13</v>
      </c>
      <c r="I51" s="9"/>
      <c r="J51" s="9"/>
      <c r="K51" s="9"/>
      <c r="L51" s="103"/>
      <c r="M51" s="108"/>
      <c r="N51" s="9"/>
    </row>
    <row r="52" spans="1:14" ht="20.100000000000001" customHeight="1">
      <c r="A52" s="149" t="s">
        <v>67</v>
      </c>
      <c r="B52" s="150"/>
      <c r="C52" s="150"/>
      <c r="D52" s="150"/>
      <c r="E52" s="150"/>
      <c r="F52" s="151"/>
      <c r="G52" s="116">
        <f>+G48</f>
        <v>14850</v>
      </c>
      <c r="I52" s="9"/>
      <c r="J52" s="9"/>
      <c r="K52" s="9"/>
      <c r="L52" s="103"/>
      <c r="M52" s="108"/>
      <c r="N52" s="9"/>
    </row>
    <row r="53" spans="1:14" ht="9" customHeight="1">
      <c r="A53" s="1"/>
      <c r="B53" s="2"/>
      <c r="C53" s="8"/>
      <c r="D53" s="9"/>
      <c r="E53" s="3"/>
      <c r="F53" s="4"/>
      <c r="G53" s="5"/>
      <c r="I53" s="3"/>
      <c r="J53" s="3"/>
      <c r="K53" s="3"/>
      <c r="L53" s="103"/>
      <c r="M53" s="108"/>
      <c r="N53" s="9"/>
    </row>
    <row r="54" spans="1:14" ht="13.95" customHeight="1">
      <c r="A54" s="1"/>
      <c r="B54" s="2" t="s">
        <v>173</v>
      </c>
      <c r="C54" s="31" t="s">
        <v>79</v>
      </c>
      <c r="D54" s="1"/>
      <c r="E54" s="3"/>
      <c r="F54" s="4"/>
      <c r="G54" s="5"/>
      <c r="I54" s="3"/>
      <c r="J54" s="3"/>
      <c r="K54" s="3"/>
      <c r="L54" s="103"/>
      <c r="M54" s="108"/>
      <c r="N54" s="9"/>
    </row>
    <row r="55" spans="1:14" ht="13.95" customHeight="1">
      <c r="A55" s="1"/>
      <c r="B55" s="2"/>
      <c r="C55" s="8" t="s">
        <v>81</v>
      </c>
      <c r="D55" s="1"/>
      <c r="E55" s="3"/>
      <c r="F55" s="4"/>
      <c r="G55" s="5"/>
      <c r="I55" s="3"/>
      <c r="J55" s="3"/>
      <c r="K55" s="3"/>
      <c r="L55" s="103"/>
      <c r="M55" s="108"/>
      <c r="N55" s="9"/>
    </row>
    <row r="56" spans="1:14" ht="13.95" customHeight="1">
      <c r="A56" s="1"/>
      <c r="B56" s="1" t="s">
        <v>87</v>
      </c>
      <c r="C56" s="37" t="s">
        <v>0</v>
      </c>
      <c r="D56" s="1"/>
      <c r="E56" s="3"/>
      <c r="F56" s="4"/>
      <c r="G56" s="5"/>
      <c r="I56" s="3"/>
      <c r="J56" s="3"/>
      <c r="K56" s="3"/>
      <c r="L56" s="103"/>
      <c r="M56" s="108"/>
      <c r="N56" s="9"/>
    </row>
    <row r="57" spans="1:14" ht="13.95" customHeight="1">
      <c r="A57" s="1"/>
      <c r="B57" s="1"/>
      <c r="C57" s="33"/>
      <c r="D57" s="1"/>
      <c r="E57" s="3"/>
      <c r="F57" s="4"/>
      <c r="G57" s="5"/>
      <c r="I57" s="3"/>
      <c r="J57" s="3"/>
      <c r="K57" s="3"/>
      <c r="L57" s="103"/>
      <c r="M57" s="108"/>
      <c r="N57" s="9"/>
    </row>
    <row r="58" spans="1:14" ht="22.95" customHeight="1">
      <c r="A58" s="1"/>
      <c r="B58" s="1"/>
      <c r="C58" s="33" t="s">
        <v>61</v>
      </c>
      <c r="D58" s="1"/>
      <c r="E58" s="3"/>
      <c r="F58" s="4"/>
      <c r="G58" s="5"/>
      <c r="I58" s="3"/>
      <c r="J58" s="3"/>
      <c r="K58" s="3"/>
      <c r="L58" s="103"/>
      <c r="M58" s="108"/>
      <c r="N58" s="9"/>
    </row>
    <row r="59" spans="1:14" ht="13.95" customHeight="1">
      <c r="A59" s="1"/>
      <c r="B59" s="1"/>
      <c r="C59" s="6"/>
      <c r="D59" s="1"/>
      <c r="E59" s="3"/>
      <c r="F59" s="4"/>
      <c r="G59" s="5"/>
      <c r="I59" s="3"/>
      <c r="J59" s="3"/>
      <c r="K59" s="3"/>
      <c r="L59" s="103"/>
      <c r="M59" s="108"/>
      <c r="N59" s="9"/>
    </row>
    <row r="60" spans="1:14" ht="13.95" customHeight="1">
      <c r="A60" s="1">
        <v>10</v>
      </c>
      <c r="B60" s="1"/>
      <c r="C60" s="33" t="s">
        <v>14</v>
      </c>
      <c r="D60" s="1" t="s">
        <v>51</v>
      </c>
      <c r="E60" s="3">
        <f>SUM(I60:N60)</f>
        <v>37.15</v>
      </c>
      <c r="F60" s="13">
        <v>175</v>
      </c>
      <c r="G60" s="5">
        <f t="shared" ref="G60" si="16">+E60*F60</f>
        <v>6501.25</v>
      </c>
      <c r="I60" s="3"/>
      <c r="J60" s="3">
        <v>20</v>
      </c>
      <c r="K60" s="3"/>
      <c r="L60" s="103"/>
      <c r="M60" s="108">
        <v>17.149999999999999</v>
      </c>
      <c r="N60" s="9"/>
    </row>
    <row r="61" spans="1:14" ht="9.75" customHeight="1">
      <c r="A61" s="1"/>
      <c r="B61" s="1"/>
      <c r="C61" s="33"/>
      <c r="D61" s="1"/>
      <c r="E61" s="3"/>
      <c r="F61" s="13"/>
      <c r="G61" s="5"/>
      <c r="I61" s="3"/>
      <c r="J61" s="3"/>
      <c r="K61" s="3"/>
      <c r="L61" s="103"/>
      <c r="M61" s="108"/>
      <c r="N61" s="9"/>
    </row>
    <row r="62" spans="1:14" ht="13.95" customHeight="1">
      <c r="A62" s="1"/>
      <c r="B62" s="1"/>
      <c r="C62" s="37" t="s">
        <v>111</v>
      </c>
      <c r="D62" s="1"/>
      <c r="E62" s="3"/>
      <c r="F62" s="13"/>
      <c r="G62" s="5"/>
      <c r="I62" s="3"/>
      <c r="J62" s="3"/>
      <c r="K62" s="3"/>
      <c r="L62" s="103"/>
      <c r="M62" s="108"/>
      <c r="N62" s="9"/>
    </row>
    <row r="63" spans="1:14" ht="9" customHeight="1">
      <c r="A63" s="1"/>
      <c r="B63" s="1"/>
      <c r="C63" s="33"/>
      <c r="D63" s="1"/>
      <c r="E63" s="3"/>
      <c r="F63" s="13"/>
      <c r="G63" s="5"/>
      <c r="I63" s="3"/>
      <c r="J63" s="3"/>
      <c r="K63" s="3"/>
      <c r="L63" s="103"/>
      <c r="M63" s="108"/>
      <c r="N63" s="9"/>
    </row>
    <row r="64" spans="1:14" ht="28.95" customHeight="1">
      <c r="A64" s="1">
        <v>11</v>
      </c>
      <c r="B64" s="1"/>
      <c r="C64" s="33" t="s">
        <v>54</v>
      </c>
      <c r="D64" s="1" t="s">
        <v>51</v>
      </c>
      <c r="E64" s="3">
        <f>SUM(I64:N64)</f>
        <v>0</v>
      </c>
      <c r="F64" s="13">
        <v>950</v>
      </c>
      <c r="G64" s="5">
        <f t="shared" ref="G64" si="17">+E64*F64</f>
        <v>0</v>
      </c>
      <c r="I64" s="3"/>
      <c r="J64" s="3"/>
      <c r="K64" s="3"/>
      <c r="L64" s="103"/>
      <c r="M64" s="108"/>
      <c r="N64" s="9"/>
    </row>
    <row r="65" spans="1:14" ht="13.95" customHeight="1">
      <c r="A65" s="1"/>
      <c r="B65" s="1"/>
      <c r="C65" s="33"/>
      <c r="D65" s="1"/>
      <c r="E65" s="3"/>
      <c r="F65" s="13"/>
      <c r="G65" s="5"/>
      <c r="I65" s="3"/>
      <c r="J65" s="3"/>
      <c r="K65" s="3"/>
      <c r="L65" s="103"/>
      <c r="M65" s="108"/>
      <c r="N65" s="9"/>
    </row>
    <row r="66" spans="1:14" ht="22.2" customHeight="1">
      <c r="A66" s="1"/>
      <c r="B66" s="1"/>
      <c r="C66" s="33" t="s">
        <v>57</v>
      </c>
      <c r="D66" s="1"/>
      <c r="E66" s="3"/>
      <c r="F66" s="13"/>
      <c r="G66" s="5"/>
      <c r="I66" s="3"/>
      <c r="J66" s="3"/>
      <c r="K66" s="3"/>
      <c r="L66" s="103"/>
      <c r="M66" s="108"/>
      <c r="N66" s="9"/>
    </row>
    <row r="67" spans="1:14" ht="13.95" customHeight="1">
      <c r="A67" s="1"/>
      <c r="B67" s="2"/>
      <c r="C67" s="8"/>
      <c r="D67" s="9"/>
      <c r="E67" s="3"/>
      <c r="F67" s="13"/>
      <c r="G67" s="5"/>
      <c r="I67" s="3"/>
      <c r="J67" s="3"/>
      <c r="K67" s="3"/>
      <c r="L67" s="103"/>
      <c r="M67" s="108"/>
      <c r="N67" s="9"/>
    </row>
    <row r="68" spans="1:14" ht="13.95" customHeight="1">
      <c r="A68" s="1"/>
      <c r="B68" s="1" t="s">
        <v>83</v>
      </c>
      <c r="C68" s="10" t="s">
        <v>25</v>
      </c>
      <c r="D68" s="9"/>
      <c r="E68" s="3"/>
      <c r="F68" s="13"/>
      <c r="G68" s="5"/>
      <c r="I68" s="3"/>
      <c r="J68" s="3"/>
      <c r="K68" s="3"/>
      <c r="L68" s="103"/>
      <c r="M68" s="108"/>
      <c r="N68" s="9"/>
    </row>
    <row r="69" spans="1:14" ht="13.95" customHeight="1">
      <c r="A69" s="1"/>
      <c r="B69" s="2"/>
      <c r="C69" s="8"/>
      <c r="D69" s="9"/>
      <c r="E69" s="3"/>
      <c r="F69" s="13"/>
      <c r="G69" s="5"/>
      <c r="I69" s="3"/>
      <c r="J69" s="3"/>
      <c r="K69" s="3"/>
      <c r="L69" s="103"/>
      <c r="M69" s="108"/>
      <c r="N69" s="9"/>
    </row>
    <row r="70" spans="1:14" ht="23.4" customHeight="1">
      <c r="A70" s="1"/>
      <c r="B70" s="2"/>
      <c r="C70" s="8" t="s">
        <v>109</v>
      </c>
      <c r="D70" s="9"/>
      <c r="E70" s="3"/>
      <c r="F70" s="13"/>
      <c r="G70" s="5"/>
      <c r="I70" s="3"/>
      <c r="J70" s="3"/>
      <c r="K70" s="3"/>
      <c r="L70" s="103"/>
      <c r="M70" s="108"/>
      <c r="N70" s="9"/>
    </row>
    <row r="71" spans="1:14" ht="13.95" customHeight="1">
      <c r="A71" s="1"/>
      <c r="B71" s="2"/>
      <c r="C71" s="8"/>
      <c r="D71" s="9"/>
      <c r="E71" s="3"/>
      <c r="F71" s="13"/>
      <c r="G71" s="5"/>
      <c r="I71" s="3"/>
      <c r="J71" s="3"/>
      <c r="K71" s="3"/>
      <c r="L71" s="103"/>
      <c r="M71" s="108"/>
      <c r="N71" s="9"/>
    </row>
    <row r="72" spans="1:14" ht="33.6" customHeight="1">
      <c r="A72" s="1">
        <v>12</v>
      </c>
      <c r="B72" s="2"/>
      <c r="C72" s="8" t="s">
        <v>108</v>
      </c>
      <c r="D72" s="9" t="s">
        <v>51</v>
      </c>
      <c r="E72" s="3">
        <f>SUM(I72:N72)</f>
        <v>17.78</v>
      </c>
      <c r="F72" s="13">
        <v>725</v>
      </c>
      <c r="G72" s="5">
        <f t="shared" ref="G72" si="18">+E72*F72</f>
        <v>12890.5</v>
      </c>
      <c r="I72" s="3"/>
      <c r="J72" s="3">
        <v>5</v>
      </c>
      <c r="K72" s="3"/>
      <c r="L72" s="103"/>
      <c r="M72" s="108">
        <v>12.78</v>
      </c>
      <c r="N72" s="9"/>
    </row>
    <row r="73" spans="1:14" ht="13.95" customHeight="1">
      <c r="A73" s="1"/>
      <c r="B73" s="2"/>
      <c r="C73" s="8"/>
      <c r="D73" s="9"/>
      <c r="E73" s="3"/>
      <c r="F73" s="13"/>
      <c r="G73" s="5"/>
      <c r="I73" s="3"/>
      <c r="J73" s="3"/>
      <c r="K73" s="3"/>
      <c r="L73" s="103"/>
      <c r="M73" s="108"/>
      <c r="N73" s="9"/>
    </row>
    <row r="74" spans="1:14" ht="21.6" customHeight="1">
      <c r="A74" s="1"/>
      <c r="B74" s="2" t="s">
        <v>101</v>
      </c>
      <c r="C74" s="34" t="s">
        <v>155</v>
      </c>
      <c r="D74" s="1"/>
      <c r="E74" s="3"/>
      <c r="F74" s="13"/>
      <c r="G74" s="5"/>
      <c r="I74" s="3"/>
      <c r="J74" s="3"/>
      <c r="K74" s="3"/>
      <c r="L74" s="103"/>
      <c r="M74" s="108"/>
      <c r="N74" s="9"/>
    </row>
    <row r="75" spans="1:14" ht="13.95" customHeight="1">
      <c r="A75" s="1"/>
      <c r="B75" s="1"/>
      <c r="C75" s="33"/>
      <c r="D75" s="1"/>
      <c r="E75" s="3"/>
      <c r="F75" s="13"/>
      <c r="G75" s="5"/>
      <c r="I75" s="3"/>
      <c r="J75" s="3"/>
      <c r="K75" s="3"/>
      <c r="L75" s="103"/>
      <c r="M75" s="108"/>
      <c r="N75" s="9"/>
    </row>
    <row r="76" spans="1:14" ht="13.95" customHeight="1">
      <c r="A76" s="1"/>
      <c r="B76" s="1" t="s">
        <v>88</v>
      </c>
      <c r="C76" s="32" t="s">
        <v>15</v>
      </c>
      <c r="D76" s="1"/>
      <c r="E76" s="3"/>
      <c r="F76" s="13"/>
      <c r="G76" s="5"/>
      <c r="I76" s="3"/>
      <c r="J76" s="3"/>
      <c r="K76" s="3"/>
      <c r="L76" s="103"/>
      <c r="M76" s="108"/>
      <c r="N76" s="9"/>
    </row>
    <row r="77" spans="1:14" ht="13.95" customHeight="1">
      <c r="A77" s="1"/>
      <c r="B77" s="1"/>
      <c r="C77" s="33"/>
      <c r="D77" s="1"/>
      <c r="E77" s="3"/>
      <c r="F77" s="13"/>
      <c r="G77" s="5"/>
      <c r="I77" s="3"/>
      <c r="J77" s="3"/>
      <c r="K77" s="3"/>
      <c r="L77" s="103"/>
      <c r="M77" s="108"/>
      <c r="N77" s="9"/>
    </row>
    <row r="78" spans="1:14" ht="13.95" customHeight="1">
      <c r="A78" s="1"/>
      <c r="B78" s="1" t="s">
        <v>82</v>
      </c>
      <c r="C78" s="34" t="s">
        <v>16</v>
      </c>
      <c r="D78" s="1"/>
      <c r="E78" s="3"/>
      <c r="F78" s="13"/>
      <c r="G78" s="5"/>
      <c r="I78" s="3"/>
      <c r="J78" s="3"/>
      <c r="K78" s="3"/>
      <c r="L78" s="103"/>
      <c r="M78" s="108"/>
      <c r="N78" s="9"/>
    </row>
    <row r="79" spans="1:14" ht="13.95" customHeight="1">
      <c r="A79" s="1"/>
      <c r="B79" s="1"/>
      <c r="C79" s="33"/>
      <c r="D79" s="1"/>
      <c r="E79" s="3"/>
      <c r="F79" s="13"/>
      <c r="G79" s="5"/>
      <c r="I79" s="3"/>
      <c r="J79" s="3"/>
      <c r="K79" s="3"/>
      <c r="L79" s="103"/>
      <c r="M79" s="108"/>
      <c r="N79" s="9"/>
    </row>
    <row r="80" spans="1:14" ht="13.95" customHeight="1">
      <c r="A80" s="1"/>
      <c r="B80" s="1"/>
      <c r="C80" s="37" t="s">
        <v>17</v>
      </c>
      <c r="D80" s="1"/>
      <c r="E80" s="3"/>
      <c r="F80" s="13"/>
      <c r="G80" s="5"/>
      <c r="I80" s="3"/>
      <c r="J80" s="3"/>
      <c r="K80" s="3"/>
      <c r="L80" s="103"/>
      <c r="M80" s="108"/>
      <c r="N80" s="9"/>
    </row>
    <row r="81" spans="1:14" ht="13.95" customHeight="1">
      <c r="A81" s="1"/>
      <c r="B81" s="1"/>
      <c r="C81" s="37"/>
      <c r="D81" s="1"/>
      <c r="E81" s="3"/>
      <c r="F81" s="13"/>
      <c r="G81" s="5"/>
      <c r="I81" s="3"/>
      <c r="J81" s="3"/>
      <c r="K81" s="3"/>
      <c r="L81" s="103"/>
      <c r="M81" s="108"/>
      <c r="N81" s="9"/>
    </row>
    <row r="82" spans="1:14" ht="13.95" customHeight="1">
      <c r="A82" s="1">
        <v>13</v>
      </c>
      <c r="B82" s="1"/>
      <c r="C82" s="33" t="s">
        <v>28</v>
      </c>
      <c r="D82" s="1" t="s">
        <v>60</v>
      </c>
      <c r="E82" s="3">
        <f>SUM(I82:N82)</f>
        <v>29.68</v>
      </c>
      <c r="F82" s="13">
        <v>475</v>
      </c>
      <c r="G82" s="5">
        <f t="shared" ref="G82" si="19">+E82*F82</f>
        <v>14098</v>
      </c>
      <c r="I82" s="3"/>
      <c r="J82" s="3">
        <v>26</v>
      </c>
      <c r="K82" s="3"/>
      <c r="L82" s="103"/>
      <c r="M82" s="108">
        <v>3.68</v>
      </c>
      <c r="N82" s="9"/>
    </row>
    <row r="83" spans="1:14" ht="13.95" customHeight="1">
      <c r="A83" s="1"/>
      <c r="B83" s="1"/>
      <c r="C83" s="33"/>
      <c r="D83" s="1"/>
      <c r="E83" s="3"/>
      <c r="F83" s="13"/>
      <c r="G83" s="5"/>
      <c r="I83" s="3"/>
      <c r="J83" s="3"/>
      <c r="K83" s="3"/>
      <c r="L83" s="103"/>
      <c r="M83" s="108"/>
      <c r="N83" s="9"/>
    </row>
    <row r="84" spans="1:14" ht="19.95" customHeight="1">
      <c r="A84" s="1"/>
      <c r="B84" s="1" t="s">
        <v>86</v>
      </c>
      <c r="C84" s="34" t="s">
        <v>26</v>
      </c>
      <c r="D84" s="1"/>
      <c r="E84" s="3"/>
      <c r="F84" s="13"/>
      <c r="G84" s="5"/>
      <c r="I84" s="3"/>
      <c r="J84" s="3"/>
      <c r="K84" s="3"/>
      <c r="L84" s="103"/>
      <c r="M84" s="108"/>
      <c r="N84" s="9"/>
    </row>
    <row r="85" spans="1:14" ht="13.95" customHeight="1">
      <c r="A85" s="1"/>
      <c r="B85" s="1"/>
      <c r="C85" s="33"/>
      <c r="D85" s="1"/>
      <c r="E85" s="3"/>
      <c r="F85" s="13"/>
      <c r="G85" s="5"/>
      <c r="I85" s="3"/>
      <c r="J85" s="3"/>
      <c r="K85" s="3"/>
      <c r="L85" s="103"/>
      <c r="M85" s="108"/>
      <c r="N85" s="9"/>
    </row>
    <row r="86" spans="1:14" ht="13.95" customHeight="1">
      <c r="A86" s="1"/>
      <c r="B86" s="1"/>
      <c r="C86" s="37" t="s">
        <v>17</v>
      </c>
      <c r="D86" s="1"/>
      <c r="E86" s="3"/>
      <c r="F86" s="13"/>
      <c r="G86" s="5"/>
      <c r="I86" s="3"/>
      <c r="J86" s="3"/>
      <c r="K86" s="3"/>
      <c r="L86" s="103"/>
      <c r="M86" s="108"/>
      <c r="N86" s="9"/>
    </row>
    <row r="87" spans="1:14" ht="13.95" customHeight="1">
      <c r="A87" s="1"/>
      <c r="B87" s="1"/>
      <c r="C87" s="33"/>
      <c r="D87" s="1"/>
      <c r="E87" s="3"/>
      <c r="F87" s="13"/>
      <c r="G87" s="5"/>
      <c r="I87" s="3"/>
      <c r="J87" s="3"/>
      <c r="K87" s="3"/>
      <c r="L87" s="103"/>
      <c r="M87" s="108"/>
      <c r="N87" s="9"/>
    </row>
    <row r="88" spans="1:14" ht="13.95" customHeight="1">
      <c r="A88" s="1">
        <v>14</v>
      </c>
      <c r="B88" s="1"/>
      <c r="C88" s="33" t="s">
        <v>201</v>
      </c>
      <c r="D88" s="1" t="s">
        <v>60</v>
      </c>
      <c r="E88" s="3">
        <f>SUM(I88:N88)</f>
        <v>13</v>
      </c>
      <c r="F88" s="13">
        <v>750</v>
      </c>
      <c r="G88" s="5">
        <f t="shared" ref="G88" si="20">+E88*F88</f>
        <v>9750</v>
      </c>
      <c r="I88" s="3"/>
      <c r="J88" s="3"/>
      <c r="K88" s="3">
        <v>10</v>
      </c>
      <c r="L88" s="103">
        <v>3</v>
      </c>
      <c r="M88" s="108"/>
      <c r="N88" s="9"/>
    </row>
    <row r="89" spans="1:14" ht="13.95" customHeight="1">
      <c r="A89" s="1"/>
      <c r="B89" s="1"/>
      <c r="C89" s="33"/>
      <c r="D89" s="1"/>
      <c r="E89" s="3"/>
      <c r="F89" s="13"/>
      <c r="G89" s="5"/>
      <c r="I89" s="3"/>
      <c r="J89" s="3"/>
      <c r="K89" s="3"/>
      <c r="L89" s="103"/>
      <c r="M89" s="108"/>
      <c r="N89" s="9"/>
    </row>
    <row r="90" spans="1:14" ht="13.95" customHeight="1">
      <c r="A90" s="1">
        <v>15</v>
      </c>
      <c r="B90" s="1"/>
      <c r="C90" s="33" t="s">
        <v>224</v>
      </c>
      <c r="D90" s="1" t="s">
        <v>60</v>
      </c>
      <c r="E90" s="3">
        <f>SUM(I90:N90)</f>
        <v>0</v>
      </c>
      <c r="F90" s="13">
        <v>635</v>
      </c>
      <c r="G90" s="5">
        <f t="shared" ref="G90" si="21">+E90*F90</f>
        <v>0</v>
      </c>
      <c r="I90" s="3"/>
      <c r="J90" s="3"/>
      <c r="K90" s="3"/>
      <c r="L90" s="103"/>
      <c r="M90" s="108"/>
      <c r="N90" s="9"/>
    </row>
    <row r="91" spans="1:14" ht="13.95" customHeight="1">
      <c r="A91" s="1"/>
      <c r="B91" s="1"/>
      <c r="C91" s="33"/>
      <c r="D91" s="1"/>
      <c r="E91" s="3"/>
      <c r="F91" s="13"/>
      <c r="G91" s="5"/>
      <c r="I91" s="3"/>
      <c r="J91" s="3"/>
      <c r="K91" s="3"/>
      <c r="L91" s="103"/>
      <c r="M91" s="108"/>
      <c r="N91" s="9"/>
    </row>
    <row r="92" spans="1:14" ht="13.95" customHeight="1">
      <c r="A92" s="1">
        <v>16</v>
      </c>
      <c r="B92" s="1"/>
      <c r="C92" s="33" t="s">
        <v>39</v>
      </c>
      <c r="D92" s="1" t="s">
        <v>60</v>
      </c>
      <c r="E92" s="3">
        <f>SUM(I92:N92)</f>
        <v>69</v>
      </c>
      <c r="F92" s="13">
        <v>850</v>
      </c>
      <c r="G92" s="5">
        <f t="shared" ref="G92" si="22">+E92*F92</f>
        <v>58650</v>
      </c>
      <c r="I92" s="3"/>
      <c r="J92" s="3">
        <v>64</v>
      </c>
      <c r="K92" s="3"/>
      <c r="L92" s="103"/>
      <c r="M92" s="108">
        <v>5</v>
      </c>
      <c r="N92" s="9"/>
    </row>
    <row r="93" spans="1:14" ht="13.95" customHeight="1">
      <c r="A93" s="1"/>
      <c r="B93" s="1"/>
      <c r="C93" s="33"/>
      <c r="D93" s="1"/>
      <c r="E93" s="3"/>
      <c r="F93" s="13"/>
      <c r="G93" s="5"/>
      <c r="I93" s="3"/>
      <c r="J93" s="3"/>
      <c r="K93" s="3"/>
      <c r="L93" s="103"/>
      <c r="M93" s="108"/>
      <c r="N93" s="9"/>
    </row>
    <row r="94" spans="1:14" ht="13.95" customHeight="1">
      <c r="A94" s="1">
        <v>17</v>
      </c>
      <c r="B94" s="1"/>
      <c r="C94" s="33" t="s">
        <v>247</v>
      </c>
      <c r="D94" s="1" t="s">
        <v>60</v>
      </c>
      <c r="E94" s="3">
        <f>SUM(I94:N94)</f>
        <v>0</v>
      </c>
      <c r="F94" s="13">
        <v>775</v>
      </c>
      <c r="G94" s="5">
        <f t="shared" ref="G94" si="23">+E94*F94</f>
        <v>0</v>
      </c>
      <c r="I94" s="3"/>
      <c r="J94" s="3"/>
      <c r="K94" s="3"/>
      <c r="L94" s="103"/>
      <c r="M94" s="108"/>
      <c r="N94" s="9"/>
    </row>
    <row r="95" spans="1:14" ht="13.95" customHeight="1">
      <c r="A95" s="1"/>
      <c r="B95" s="1"/>
      <c r="C95" s="33"/>
      <c r="D95" s="1"/>
      <c r="E95" s="3"/>
      <c r="F95" s="4"/>
      <c r="G95" s="5"/>
      <c r="I95" s="3"/>
      <c r="J95" s="3"/>
      <c r="K95" s="3"/>
      <c r="L95" s="103"/>
      <c r="M95" s="108"/>
      <c r="N95" s="9"/>
    </row>
    <row r="96" spans="1:14" ht="20.100000000000001" customHeight="1">
      <c r="A96" s="149" t="s">
        <v>66</v>
      </c>
      <c r="B96" s="150"/>
      <c r="C96" s="150"/>
      <c r="D96" s="150"/>
      <c r="E96" s="150"/>
      <c r="F96" s="151"/>
      <c r="G96" s="116">
        <f>SUM(G52:G95)</f>
        <v>116739.75</v>
      </c>
      <c r="I96" s="9"/>
      <c r="J96" s="9"/>
      <c r="K96" s="9"/>
      <c r="L96" s="103"/>
      <c r="M96" s="108"/>
      <c r="N96" s="9"/>
    </row>
    <row r="97" spans="1:14" ht="13.95" customHeight="1">
      <c r="A97" s="39"/>
      <c r="B97" s="39"/>
      <c r="C97" s="39"/>
      <c r="D97" s="39"/>
      <c r="E97" s="39"/>
      <c r="F97" s="39"/>
      <c r="G97" s="113"/>
      <c r="I97" s="9"/>
      <c r="J97" s="9"/>
      <c r="K97" s="9"/>
      <c r="L97" s="103"/>
      <c r="M97" s="108"/>
      <c r="N97" s="9"/>
    </row>
    <row r="98" spans="1:14" ht="13.95" customHeight="1">
      <c r="A98" s="39"/>
      <c r="B98" s="39"/>
      <c r="C98" s="39"/>
      <c r="D98" s="39"/>
      <c r="E98" s="39"/>
      <c r="F98" s="39"/>
      <c r="G98" s="113"/>
      <c r="I98" s="9"/>
      <c r="J98" s="9"/>
      <c r="K98" s="9"/>
      <c r="L98" s="103"/>
      <c r="M98" s="108"/>
      <c r="N98" s="9"/>
    </row>
    <row r="99" spans="1:14" ht="22.2" customHeight="1">
      <c r="A99" s="44" t="s">
        <v>8</v>
      </c>
      <c r="B99" s="48" t="s">
        <v>9</v>
      </c>
      <c r="C99" s="44" t="s">
        <v>10</v>
      </c>
      <c r="D99" s="48" t="s">
        <v>11</v>
      </c>
      <c r="E99" s="48" t="s">
        <v>59</v>
      </c>
      <c r="F99" s="49" t="s">
        <v>12</v>
      </c>
      <c r="G99" s="111" t="s">
        <v>13</v>
      </c>
      <c r="I99" s="9"/>
      <c r="J99" s="9"/>
      <c r="K99" s="9"/>
      <c r="L99" s="103"/>
      <c r="M99" s="108"/>
      <c r="N99" s="9"/>
    </row>
    <row r="100" spans="1:14" ht="20.100000000000001" customHeight="1">
      <c r="A100" s="149" t="s">
        <v>67</v>
      </c>
      <c r="B100" s="150"/>
      <c r="C100" s="150"/>
      <c r="D100" s="150"/>
      <c r="E100" s="150"/>
      <c r="F100" s="151"/>
      <c r="G100" s="116">
        <f>+G96</f>
        <v>116739.75</v>
      </c>
      <c r="I100" s="9"/>
      <c r="J100" s="9"/>
      <c r="K100" s="9"/>
      <c r="L100" s="103"/>
      <c r="M100" s="108"/>
      <c r="N100" s="9"/>
    </row>
    <row r="101" spans="1:14" ht="13.95" customHeight="1">
      <c r="A101" s="1"/>
      <c r="B101" s="1"/>
      <c r="C101" s="33"/>
      <c r="D101" s="1"/>
      <c r="E101" s="3"/>
      <c r="F101" s="13"/>
      <c r="G101" s="5"/>
      <c r="I101" s="9"/>
      <c r="J101" s="9"/>
      <c r="K101" s="9"/>
      <c r="L101" s="103"/>
      <c r="M101" s="108"/>
      <c r="N101" s="9"/>
    </row>
    <row r="102" spans="1:14" ht="13.95" customHeight="1">
      <c r="A102" s="1"/>
      <c r="B102" s="1"/>
      <c r="C102" s="37" t="s">
        <v>248</v>
      </c>
      <c r="D102" s="1"/>
      <c r="E102" s="3"/>
      <c r="F102" s="13"/>
      <c r="G102" s="5"/>
      <c r="I102" s="3"/>
      <c r="J102" s="3"/>
      <c r="K102" s="3"/>
      <c r="L102" s="103"/>
      <c r="M102" s="108"/>
      <c r="N102" s="9"/>
    </row>
    <row r="103" spans="1:14" ht="13.95" customHeight="1">
      <c r="A103" s="1"/>
      <c r="B103" s="1"/>
      <c r="C103" s="33"/>
      <c r="D103" s="1"/>
      <c r="E103" s="3"/>
      <c r="F103" s="13"/>
      <c r="G103" s="5"/>
      <c r="I103" s="3"/>
      <c r="J103" s="3"/>
      <c r="K103" s="3"/>
      <c r="L103" s="103"/>
      <c r="M103" s="108"/>
      <c r="N103" s="9"/>
    </row>
    <row r="104" spans="1:14" ht="13.95" customHeight="1">
      <c r="A104" s="1">
        <v>18</v>
      </c>
      <c r="B104" s="1"/>
      <c r="C104" s="33" t="s">
        <v>249</v>
      </c>
      <c r="D104" s="1" t="s">
        <v>60</v>
      </c>
      <c r="E104" s="3">
        <f>SUM(I104:N104)</f>
        <v>0</v>
      </c>
      <c r="F104" s="13">
        <v>1150</v>
      </c>
      <c r="G104" s="5">
        <f t="shared" ref="G104" si="24">+E104*F104</f>
        <v>0</v>
      </c>
      <c r="I104" s="3"/>
      <c r="J104" s="3"/>
      <c r="K104" s="3"/>
      <c r="L104" s="103"/>
      <c r="M104" s="108"/>
      <c r="N104" s="9"/>
    </row>
    <row r="105" spans="1:14" ht="13.95" customHeight="1">
      <c r="A105" s="1"/>
      <c r="B105" s="1"/>
      <c r="C105" s="33"/>
      <c r="D105" s="1"/>
      <c r="E105" s="3"/>
      <c r="F105" s="13"/>
      <c r="G105" s="5"/>
      <c r="I105" s="9"/>
      <c r="J105" s="9"/>
      <c r="K105" s="9"/>
      <c r="L105" s="103"/>
      <c r="M105" s="108"/>
      <c r="N105" s="9"/>
    </row>
    <row r="106" spans="1:14" ht="13.95" customHeight="1">
      <c r="A106" s="1"/>
      <c r="B106" s="1" t="s">
        <v>89</v>
      </c>
      <c r="C106" s="32" t="s">
        <v>156</v>
      </c>
      <c r="D106" s="1"/>
      <c r="E106" s="3"/>
      <c r="F106" s="4"/>
      <c r="G106" s="5"/>
      <c r="I106" s="9"/>
      <c r="J106" s="9"/>
      <c r="K106" s="9"/>
      <c r="L106" s="103"/>
      <c r="M106" s="108"/>
      <c r="N106" s="9"/>
    </row>
    <row r="107" spans="1:14" ht="13.95" customHeight="1">
      <c r="A107" s="1"/>
      <c r="B107" s="1"/>
      <c r="C107" s="33"/>
      <c r="D107" s="1"/>
      <c r="E107" s="3"/>
      <c r="F107" s="4"/>
      <c r="G107" s="5"/>
      <c r="I107" s="9"/>
      <c r="J107" s="9"/>
      <c r="K107" s="9"/>
      <c r="L107" s="103"/>
      <c r="M107" s="108"/>
      <c r="N107" s="9"/>
    </row>
    <row r="108" spans="1:14" ht="13.95" customHeight="1">
      <c r="A108" s="1">
        <v>19</v>
      </c>
      <c r="B108" s="1"/>
      <c r="C108" s="47" t="s">
        <v>244</v>
      </c>
      <c r="D108" s="1" t="s">
        <v>1</v>
      </c>
      <c r="E108" s="3">
        <f>SUM(I108:N108)</f>
        <v>48</v>
      </c>
      <c r="F108" s="3">
        <v>135</v>
      </c>
      <c r="G108" s="5">
        <f t="shared" ref="G108" si="25">+E108*F108</f>
        <v>6480</v>
      </c>
      <c r="I108" s="3">
        <v>32</v>
      </c>
      <c r="J108" s="3"/>
      <c r="K108" s="3"/>
      <c r="L108" s="103">
        <v>16</v>
      </c>
      <c r="M108" s="108"/>
      <c r="N108" s="9"/>
    </row>
    <row r="109" spans="1:14" ht="13.95" customHeight="1">
      <c r="A109" s="1"/>
      <c r="B109" s="1"/>
      <c r="C109" s="33"/>
      <c r="D109" s="1"/>
      <c r="E109" s="3"/>
      <c r="F109" s="4"/>
      <c r="G109" s="5"/>
      <c r="I109" s="3"/>
      <c r="J109" s="3"/>
      <c r="K109" s="3"/>
      <c r="L109" s="103"/>
      <c r="M109" s="108"/>
      <c r="N109" s="9"/>
    </row>
    <row r="110" spans="1:14" ht="13.95" customHeight="1">
      <c r="A110" s="1"/>
      <c r="B110" s="1" t="s">
        <v>90</v>
      </c>
      <c r="C110" s="32" t="s">
        <v>36</v>
      </c>
      <c r="D110" s="1"/>
      <c r="E110" s="3"/>
      <c r="F110" s="4"/>
      <c r="G110" s="5"/>
      <c r="I110" s="3"/>
      <c r="J110" s="3"/>
      <c r="K110" s="3"/>
      <c r="L110" s="103"/>
      <c r="M110" s="108"/>
      <c r="N110" s="9"/>
    </row>
    <row r="111" spans="1:14" ht="13.95" customHeight="1">
      <c r="A111" s="1"/>
      <c r="B111" s="1"/>
      <c r="C111" s="33"/>
      <c r="D111" s="1"/>
      <c r="E111" s="3"/>
      <c r="F111" s="4"/>
      <c r="G111" s="5"/>
      <c r="I111" s="3"/>
      <c r="J111" s="3"/>
      <c r="K111" s="3"/>
      <c r="L111" s="103"/>
      <c r="M111" s="108"/>
      <c r="N111" s="9"/>
    </row>
    <row r="112" spans="1:14" ht="24" customHeight="1">
      <c r="A112" s="1"/>
      <c r="B112" s="1"/>
      <c r="C112" s="33" t="s">
        <v>225</v>
      </c>
      <c r="D112" s="1"/>
      <c r="E112" s="3"/>
      <c r="F112" s="4"/>
      <c r="G112" s="5"/>
      <c r="I112" s="3"/>
      <c r="J112" s="3"/>
      <c r="K112" s="3"/>
      <c r="L112" s="103"/>
      <c r="M112" s="108"/>
      <c r="N112" s="9"/>
    </row>
    <row r="113" spans="1:14" ht="13.95" customHeight="1">
      <c r="A113" s="1"/>
      <c r="B113" s="1"/>
      <c r="C113" s="33"/>
      <c r="D113" s="1"/>
      <c r="E113" s="3"/>
      <c r="F113" s="4"/>
      <c r="G113" s="5"/>
      <c r="I113" s="3"/>
      <c r="J113" s="3"/>
      <c r="K113" s="3"/>
      <c r="L113" s="103"/>
      <c r="M113" s="108"/>
      <c r="N113" s="9"/>
    </row>
    <row r="114" spans="1:14" ht="13.95" customHeight="1">
      <c r="A114" s="1">
        <v>20</v>
      </c>
      <c r="B114" s="1"/>
      <c r="C114" s="33" t="s">
        <v>37</v>
      </c>
      <c r="D114" s="1" t="s">
        <v>6</v>
      </c>
      <c r="E114" s="3">
        <f>SUM(I114:N114)</f>
        <v>0</v>
      </c>
      <c r="F114" s="3">
        <v>75</v>
      </c>
      <c r="G114" s="5">
        <f t="shared" ref="G114" si="26">+E114*F114</f>
        <v>0</v>
      </c>
      <c r="I114" s="3"/>
      <c r="J114" s="3"/>
      <c r="K114" s="3"/>
      <c r="L114" s="103"/>
      <c r="M114" s="108"/>
      <c r="N114" s="9"/>
    </row>
    <row r="115" spans="1:14" ht="13.95" customHeight="1">
      <c r="A115" s="1"/>
      <c r="B115" s="1"/>
      <c r="C115" s="33"/>
      <c r="D115" s="1"/>
      <c r="E115" s="3"/>
      <c r="F115" s="3"/>
      <c r="G115" s="5"/>
      <c r="I115" s="3"/>
      <c r="J115" s="3"/>
      <c r="K115" s="3"/>
      <c r="L115" s="103"/>
      <c r="M115" s="108"/>
      <c r="N115" s="9"/>
    </row>
    <row r="116" spans="1:14" ht="13.95" customHeight="1">
      <c r="A116" s="1"/>
      <c r="B116" s="1"/>
      <c r="C116" s="33" t="s">
        <v>226</v>
      </c>
      <c r="D116" s="1" t="s">
        <v>6</v>
      </c>
      <c r="E116" s="3">
        <f>SUM(I116:N116)</f>
        <v>0</v>
      </c>
      <c r="F116" s="3">
        <v>275</v>
      </c>
      <c r="G116" s="5">
        <f t="shared" ref="G116" si="27">+E116*F116</f>
        <v>0</v>
      </c>
      <c r="I116" s="3"/>
      <c r="J116" s="3"/>
      <c r="K116" s="3"/>
      <c r="L116" s="103"/>
      <c r="M116" s="108"/>
      <c r="N116" s="9"/>
    </row>
    <row r="117" spans="1:14" ht="13.95" customHeight="1">
      <c r="A117" s="1"/>
      <c r="B117" s="1"/>
      <c r="D117" s="1"/>
      <c r="E117" s="3"/>
      <c r="F117" s="4"/>
      <c r="G117" s="5"/>
      <c r="I117" s="3"/>
      <c r="J117" s="3"/>
      <c r="K117" s="3"/>
      <c r="L117" s="103"/>
      <c r="M117" s="108"/>
      <c r="N117" s="9"/>
    </row>
    <row r="118" spans="1:14" ht="13.95" customHeight="1">
      <c r="A118" s="1"/>
      <c r="B118" s="1"/>
      <c r="C118" s="42" t="s">
        <v>104</v>
      </c>
      <c r="D118" s="1"/>
      <c r="E118" s="3"/>
      <c r="F118" s="4"/>
      <c r="G118" s="5"/>
      <c r="I118" s="3"/>
      <c r="J118" s="3"/>
      <c r="K118" s="3"/>
      <c r="L118" s="103"/>
      <c r="M118" s="108"/>
      <c r="N118" s="9"/>
    </row>
    <row r="119" spans="1:14" ht="13.95" customHeight="1">
      <c r="A119" s="1"/>
      <c r="B119" s="1"/>
      <c r="C119" s="6"/>
      <c r="D119" s="1"/>
      <c r="E119" s="3"/>
      <c r="F119" s="4"/>
      <c r="G119" s="5"/>
      <c r="I119" s="3"/>
      <c r="J119" s="3"/>
      <c r="K119" s="3"/>
      <c r="L119" s="103"/>
      <c r="M119" s="108"/>
      <c r="N119" s="9"/>
    </row>
    <row r="120" spans="1:14" ht="13.95" customHeight="1">
      <c r="A120" s="1">
        <f>A114+1</f>
        <v>21</v>
      </c>
      <c r="B120" s="1"/>
      <c r="C120" s="6" t="s">
        <v>106</v>
      </c>
      <c r="D120" s="1" t="s">
        <v>1</v>
      </c>
      <c r="E120" s="3">
        <f>SUM(I120:AG120)</f>
        <v>86</v>
      </c>
      <c r="F120" s="3">
        <v>36</v>
      </c>
      <c r="G120" s="5">
        <f t="shared" ref="G120" si="28">+E120*F120</f>
        <v>3096</v>
      </c>
      <c r="I120" s="3"/>
      <c r="J120" s="3">
        <v>64</v>
      </c>
      <c r="K120" s="3">
        <v>10</v>
      </c>
      <c r="L120" s="103">
        <v>12</v>
      </c>
      <c r="M120" s="108"/>
      <c r="N120" s="9"/>
    </row>
    <row r="121" spans="1:14" ht="13.95" customHeight="1">
      <c r="A121" s="1"/>
      <c r="B121" s="1"/>
      <c r="C121" s="6"/>
      <c r="D121" s="1"/>
      <c r="E121" s="3"/>
      <c r="F121" s="4"/>
      <c r="G121" s="5"/>
      <c r="I121" s="3"/>
      <c r="J121" s="3"/>
      <c r="K121" s="3"/>
      <c r="L121" s="103"/>
      <c r="M121" s="108"/>
      <c r="N121" s="9"/>
    </row>
    <row r="122" spans="1:14" ht="13.95" customHeight="1">
      <c r="A122" s="1"/>
      <c r="B122" s="2" t="s">
        <v>91</v>
      </c>
      <c r="C122" s="34" t="s">
        <v>18</v>
      </c>
      <c r="D122" s="1"/>
      <c r="E122" s="3"/>
      <c r="F122" s="4"/>
      <c r="G122" s="5"/>
      <c r="I122" s="3"/>
      <c r="J122" s="3"/>
      <c r="K122" s="3"/>
      <c r="L122" s="103"/>
      <c r="M122" s="108"/>
      <c r="N122" s="9"/>
    </row>
    <row r="123" spans="1:14" ht="13.95" customHeight="1">
      <c r="A123" s="1"/>
      <c r="B123" s="1"/>
      <c r="C123" s="33"/>
      <c r="D123" s="1"/>
      <c r="E123" s="3"/>
      <c r="F123" s="4"/>
      <c r="G123" s="5"/>
      <c r="I123" s="3"/>
      <c r="J123" s="3"/>
      <c r="K123" s="3"/>
      <c r="L123" s="103"/>
      <c r="M123" s="108"/>
      <c r="N123" s="9"/>
    </row>
    <row r="124" spans="1:14" ht="13.95" customHeight="1">
      <c r="A124" s="1"/>
      <c r="B124" s="1" t="s">
        <v>84</v>
      </c>
      <c r="C124" s="32" t="s">
        <v>19</v>
      </c>
      <c r="D124" s="1"/>
      <c r="E124" s="3"/>
      <c r="F124" s="4"/>
      <c r="G124" s="5"/>
      <c r="I124" s="3"/>
      <c r="J124" s="3"/>
      <c r="K124" s="3"/>
      <c r="L124" s="103"/>
      <c r="M124" s="108"/>
      <c r="N124" s="9"/>
    </row>
    <row r="125" spans="1:14" ht="13.95" customHeight="1">
      <c r="A125" s="1"/>
      <c r="B125" s="1"/>
      <c r="C125" s="33"/>
      <c r="D125" s="1"/>
      <c r="E125" s="3"/>
      <c r="F125" s="4"/>
      <c r="G125" s="5"/>
      <c r="I125" s="3"/>
      <c r="J125" s="3"/>
      <c r="K125" s="3"/>
      <c r="L125" s="103"/>
      <c r="M125" s="108"/>
      <c r="N125" s="9"/>
    </row>
    <row r="126" spans="1:14" ht="13.95" customHeight="1">
      <c r="A126" s="1">
        <f>A120+1</f>
        <v>22</v>
      </c>
      <c r="B126" s="1"/>
      <c r="C126" s="33" t="s">
        <v>72</v>
      </c>
      <c r="D126" s="1" t="s">
        <v>2</v>
      </c>
      <c r="E126" s="3">
        <f>SUM(I126:N126)</f>
        <v>3.1899999999999995</v>
      </c>
      <c r="F126" s="3">
        <v>25750</v>
      </c>
      <c r="G126" s="5">
        <f t="shared" ref="G126" si="29">+E126*F126</f>
        <v>82142.499999999985</v>
      </c>
      <c r="I126" s="4"/>
      <c r="J126" s="4">
        <v>2</v>
      </c>
      <c r="K126" s="4">
        <v>0.72</v>
      </c>
      <c r="L126" s="103">
        <v>7.0000000000000007E-2</v>
      </c>
      <c r="M126" s="108">
        <v>0.4</v>
      </c>
      <c r="N126" s="9"/>
    </row>
    <row r="127" spans="1:14" ht="13.95" customHeight="1">
      <c r="A127" s="1"/>
      <c r="B127" s="1"/>
      <c r="C127" s="33"/>
      <c r="D127" s="1"/>
      <c r="E127" s="3"/>
      <c r="F127" s="4"/>
      <c r="G127" s="5"/>
      <c r="I127" s="3"/>
      <c r="J127" s="3"/>
      <c r="K127" s="3"/>
      <c r="L127" s="103"/>
      <c r="M127" s="108"/>
      <c r="N127" s="9"/>
    </row>
    <row r="128" spans="1:14" ht="13.95" customHeight="1">
      <c r="A128" s="1"/>
      <c r="B128" s="1" t="s">
        <v>92</v>
      </c>
      <c r="C128" s="32" t="s">
        <v>3</v>
      </c>
      <c r="D128" s="1"/>
      <c r="E128" s="3"/>
      <c r="F128" s="4"/>
      <c r="G128" s="5"/>
      <c r="I128" s="3"/>
      <c r="J128" s="3"/>
      <c r="K128" s="3"/>
      <c r="L128" s="103"/>
      <c r="M128" s="108"/>
      <c r="N128" s="9"/>
    </row>
    <row r="129" spans="1:14" ht="13.95" customHeight="1">
      <c r="A129" s="1"/>
      <c r="B129" s="1"/>
      <c r="C129" s="33"/>
      <c r="D129" s="1"/>
      <c r="E129" s="3"/>
      <c r="F129" s="4"/>
      <c r="G129" s="5"/>
      <c r="I129" s="3"/>
      <c r="J129" s="3"/>
      <c r="K129" s="3"/>
      <c r="L129" s="103"/>
      <c r="M129" s="108"/>
      <c r="N129" s="9"/>
    </row>
    <row r="130" spans="1:14" ht="13.95" customHeight="1">
      <c r="A130" s="1">
        <f>A126+1</f>
        <v>23</v>
      </c>
      <c r="B130" s="1"/>
      <c r="C130" s="33" t="s">
        <v>73</v>
      </c>
      <c r="D130" s="1" t="s">
        <v>60</v>
      </c>
      <c r="E130" s="3">
        <f>SUM(I130:N130)</f>
        <v>60</v>
      </c>
      <c r="F130" s="13">
        <v>345</v>
      </c>
      <c r="G130" s="5">
        <f t="shared" ref="G130" si="30">+E130*F130</f>
        <v>20700</v>
      </c>
      <c r="I130" s="3">
        <v>60</v>
      </c>
      <c r="J130" s="3"/>
      <c r="K130" s="3"/>
      <c r="L130" s="103"/>
      <c r="M130" s="108"/>
      <c r="N130" s="9"/>
    </row>
    <row r="131" spans="1:14" ht="13.95" customHeight="1">
      <c r="A131" s="1"/>
      <c r="B131" s="1"/>
      <c r="C131" s="33"/>
      <c r="D131" s="1"/>
      <c r="E131" s="3"/>
      <c r="F131" s="4"/>
      <c r="G131" s="5"/>
      <c r="I131" s="3"/>
      <c r="J131" s="3"/>
      <c r="K131" s="3"/>
      <c r="L131" s="103"/>
      <c r="M131" s="108"/>
      <c r="N131" s="9"/>
    </row>
    <row r="132" spans="1:14" ht="13.95" customHeight="1">
      <c r="A132" s="1"/>
      <c r="B132" s="36" t="s">
        <v>93</v>
      </c>
      <c r="C132" s="34" t="s">
        <v>4</v>
      </c>
      <c r="D132" s="1"/>
      <c r="E132" s="3"/>
      <c r="F132" s="4"/>
      <c r="G132" s="5"/>
      <c r="I132" s="3"/>
      <c r="J132" s="3"/>
      <c r="K132" s="3"/>
      <c r="L132" s="103"/>
      <c r="M132" s="108"/>
      <c r="N132" s="9"/>
    </row>
    <row r="133" spans="1:14" ht="13.95" customHeight="1">
      <c r="A133" s="1"/>
      <c r="C133" s="33"/>
      <c r="D133" s="1"/>
      <c r="E133" s="3"/>
      <c r="F133" s="4"/>
      <c r="G133" s="5"/>
      <c r="I133" s="3"/>
      <c r="J133" s="3"/>
      <c r="K133" s="3"/>
      <c r="L133" s="103"/>
      <c r="M133" s="108"/>
      <c r="N133" s="9"/>
    </row>
    <row r="134" spans="1:14" ht="13.95" customHeight="1">
      <c r="A134" s="1"/>
      <c r="B134" s="20" t="s">
        <v>94</v>
      </c>
      <c r="C134" s="32" t="s">
        <v>5</v>
      </c>
      <c r="D134" s="1"/>
      <c r="E134" s="3"/>
      <c r="F134" s="4"/>
      <c r="G134" s="5"/>
      <c r="I134" s="3"/>
      <c r="J134" s="3"/>
      <c r="K134" s="3"/>
      <c r="L134" s="103"/>
      <c r="M134" s="108"/>
      <c r="N134" s="9"/>
    </row>
    <row r="135" spans="1:14" ht="13.95" customHeight="1">
      <c r="A135" s="1"/>
      <c r="C135" s="33"/>
      <c r="D135" s="1"/>
      <c r="E135" s="3"/>
      <c r="F135" s="4"/>
      <c r="G135" s="5"/>
      <c r="I135" s="3"/>
      <c r="J135" s="3"/>
      <c r="K135" s="3"/>
      <c r="L135" s="103"/>
      <c r="M135" s="108"/>
      <c r="N135" s="9"/>
    </row>
    <row r="136" spans="1:14" ht="13.95" customHeight="1">
      <c r="A136" s="1"/>
      <c r="C136" s="33" t="s">
        <v>74</v>
      </c>
      <c r="D136" s="1"/>
      <c r="E136" s="3"/>
      <c r="F136" s="4"/>
      <c r="G136" s="5"/>
      <c r="I136" s="3"/>
      <c r="J136" s="3"/>
      <c r="K136" s="3"/>
      <c r="L136" s="103"/>
      <c r="M136" s="108"/>
      <c r="N136" s="9"/>
    </row>
    <row r="137" spans="1:14" ht="13.95" customHeight="1">
      <c r="A137" s="1"/>
      <c r="C137" s="33"/>
      <c r="D137" s="1"/>
      <c r="E137" s="3"/>
      <c r="F137" s="4"/>
      <c r="G137" s="5"/>
      <c r="I137" s="3"/>
      <c r="J137" s="3"/>
      <c r="K137" s="3"/>
      <c r="L137" s="103"/>
      <c r="M137" s="108"/>
      <c r="N137" s="9"/>
    </row>
    <row r="138" spans="1:14" ht="13.95" customHeight="1">
      <c r="A138" s="1">
        <f>A130+1</f>
        <v>24</v>
      </c>
      <c r="C138" s="33" t="s">
        <v>24</v>
      </c>
      <c r="D138" s="1" t="s">
        <v>60</v>
      </c>
      <c r="E138" s="3">
        <f>SUM(I138:N138)</f>
        <v>37.29</v>
      </c>
      <c r="F138" s="3">
        <v>175</v>
      </c>
      <c r="G138" s="5">
        <f t="shared" ref="G138" si="31">+E138*F138</f>
        <v>6525.75</v>
      </c>
      <c r="I138" s="3"/>
      <c r="J138" s="3">
        <v>32</v>
      </c>
      <c r="K138" s="3"/>
      <c r="L138" s="103"/>
      <c r="M138" s="108">
        <v>5.29</v>
      </c>
      <c r="N138" s="9"/>
    </row>
    <row r="139" spans="1:14" ht="13.95" customHeight="1">
      <c r="A139" s="1"/>
      <c r="C139" s="33"/>
      <c r="D139" s="1"/>
      <c r="E139" s="3"/>
      <c r="F139" s="3"/>
      <c r="G139" s="5"/>
      <c r="I139" s="3"/>
      <c r="J139" s="3"/>
      <c r="K139" s="3"/>
      <c r="L139" s="103"/>
      <c r="M139" s="108"/>
      <c r="N139" s="9"/>
    </row>
    <row r="140" spans="1:14" ht="13.95" customHeight="1">
      <c r="A140" s="1"/>
      <c r="C140" s="33"/>
      <c r="D140" s="1"/>
      <c r="E140" s="3"/>
      <c r="F140" s="3"/>
      <c r="G140" s="5"/>
      <c r="I140" s="3"/>
      <c r="J140" s="3"/>
      <c r="K140" s="3"/>
      <c r="L140" s="103"/>
      <c r="M140" s="108"/>
      <c r="N140" s="9"/>
    </row>
    <row r="141" spans="1:14" ht="13.95" customHeight="1">
      <c r="A141" s="1"/>
      <c r="C141" s="33"/>
      <c r="D141" s="1"/>
      <c r="E141" s="3"/>
      <c r="F141" s="3"/>
      <c r="G141" s="5"/>
      <c r="I141" s="3"/>
      <c r="J141" s="3"/>
      <c r="K141" s="3"/>
      <c r="L141" s="103"/>
      <c r="M141" s="108"/>
      <c r="N141" s="9"/>
    </row>
    <row r="142" spans="1:14" ht="13.95" customHeight="1">
      <c r="A142" s="1"/>
      <c r="C142" s="33"/>
      <c r="D142" s="1"/>
      <c r="E142" s="3"/>
      <c r="F142" s="3"/>
      <c r="G142" s="5"/>
      <c r="I142" s="3"/>
      <c r="J142" s="3"/>
      <c r="K142" s="3"/>
      <c r="L142" s="103"/>
      <c r="M142" s="108"/>
      <c r="N142" s="9"/>
    </row>
    <row r="143" spans="1:14" ht="13.95" customHeight="1">
      <c r="A143" s="1"/>
      <c r="C143" s="33"/>
      <c r="D143" s="1"/>
      <c r="E143" s="3"/>
      <c r="F143" s="3"/>
      <c r="G143" s="5"/>
      <c r="I143" s="3"/>
      <c r="J143" s="3"/>
      <c r="K143" s="3"/>
      <c r="L143" s="103"/>
      <c r="M143" s="108"/>
      <c r="N143" s="9"/>
    </row>
    <row r="144" spans="1:14" ht="13.95" customHeight="1">
      <c r="A144" s="1"/>
      <c r="C144" s="33"/>
      <c r="D144" s="1"/>
      <c r="E144" s="3"/>
      <c r="F144" s="3"/>
      <c r="G144" s="5"/>
      <c r="I144" s="3"/>
      <c r="J144" s="3"/>
      <c r="K144" s="3"/>
      <c r="L144" s="103"/>
      <c r="M144" s="108"/>
      <c r="N144" s="9"/>
    </row>
    <row r="145" spans="1:14" ht="13.95" customHeight="1">
      <c r="A145" s="1"/>
      <c r="B145" s="1"/>
      <c r="C145" s="33"/>
      <c r="D145" s="1"/>
      <c r="E145" s="3"/>
      <c r="F145" s="4"/>
      <c r="G145" s="5"/>
      <c r="I145" s="3"/>
      <c r="J145" s="3"/>
      <c r="K145" s="3"/>
      <c r="L145" s="103"/>
      <c r="M145" s="108"/>
      <c r="N145" s="9"/>
    </row>
    <row r="146" spans="1:14" ht="13.95" customHeight="1">
      <c r="A146" s="1"/>
      <c r="B146" s="1"/>
      <c r="C146" s="33"/>
      <c r="D146" s="1"/>
      <c r="E146" s="3"/>
      <c r="F146" s="4"/>
      <c r="G146" s="5"/>
      <c r="I146" s="3"/>
      <c r="J146" s="3"/>
      <c r="K146" s="3"/>
      <c r="L146" s="103"/>
      <c r="M146" s="108"/>
      <c r="N146" s="9"/>
    </row>
    <row r="147" spans="1:14" ht="13.95" customHeight="1">
      <c r="A147" s="1"/>
      <c r="B147" s="1"/>
      <c r="C147" s="33"/>
      <c r="D147" s="1"/>
      <c r="E147" s="3"/>
      <c r="F147" s="4"/>
      <c r="G147" s="5"/>
      <c r="I147" s="3"/>
      <c r="J147" s="3"/>
      <c r="K147" s="3"/>
      <c r="L147" s="103"/>
      <c r="M147" s="108"/>
      <c r="N147" s="9"/>
    </row>
    <row r="148" spans="1:14" ht="20.100000000000001" customHeight="1">
      <c r="A148" s="149" t="s">
        <v>66</v>
      </c>
      <c r="B148" s="150"/>
      <c r="C148" s="150"/>
      <c r="D148" s="150"/>
      <c r="E148" s="150"/>
      <c r="F148" s="151"/>
      <c r="G148" s="116">
        <f>SUM(G100:G147)</f>
        <v>235684</v>
      </c>
      <c r="I148" s="9"/>
      <c r="J148" s="9"/>
      <c r="K148" s="9"/>
      <c r="L148" s="103"/>
      <c r="M148" s="108"/>
      <c r="N148" s="9"/>
    </row>
    <row r="149" spans="1:14" ht="13.95" customHeight="1">
      <c r="A149" s="39"/>
      <c r="B149" s="39"/>
      <c r="C149" s="39"/>
      <c r="D149" s="39"/>
      <c r="E149" s="39"/>
      <c r="F149" s="39"/>
      <c r="G149" s="113"/>
      <c r="I149" s="9"/>
      <c r="J149" s="9"/>
      <c r="K149" s="9"/>
      <c r="L149" s="103"/>
      <c r="M149" s="108"/>
      <c r="N149" s="9"/>
    </row>
    <row r="150" spans="1:14" ht="13.95" customHeight="1">
      <c r="A150" s="39"/>
      <c r="B150" s="39"/>
      <c r="C150" s="39"/>
      <c r="D150" s="39"/>
      <c r="E150" s="39"/>
      <c r="F150" s="39"/>
      <c r="G150" s="113"/>
      <c r="I150" s="9"/>
      <c r="J150" s="9"/>
      <c r="K150" s="9"/>
      <c r="L150" s="103"/>
      <c r="M150" s="108"/>
      <c r="N150" s="9"/>
    </row>
    <row r="151" spans="1:14" ht="22.2" customHeight="1">
      <c r="A151" s="44" t="s">
        <v>8</v>
      </c>
      <c r="B151" s="48" t="s">
        <v>9</v>
      </c>
      <c r="C151" s="44" t="s">
        <v>10</v>
      </c>
      <c r="D151" s="48" t="s">
        <v>11</v>
      </c>
      <c r="E151" s="48" t="s">
        <v>59</v>
      </c>
      <c r="F151" s="49" t="s">
        <v>12</v>
      </c>
      <c r="G151" s="111" t="s">
        <v>13</v>
      </c>
      <c r="I151" s="9"/>
      <c r="J151" s="9"/>
      <c r="K151" s="9"/>
      <c r="L151" s="103"/>
      <c r="M151" s="108"/>
      <c r="N151" s="9"/>
    </row>
    <row r="152" spans="1:14" ht="20.100000000000001" customHeight="1">
      <c r="A152" s="149" t="s">
        <v>67</v>
      </c>
      <c r="B152" s="150"/>
      <c r="C152" s="150"/>
      <c r="D152" s="150"/>
      <c r="E152" s="150"/>
      <c r="F152" s="151"/>
      <c r="G152" s="116">
        <f>+G148</f>
        <v>235684</v>
      </c>
      <c r="I152" s="9"/>
      <c r="J152" s="9"/>
      <c r="K152" s="9"/>
      <c r="L152" s="103"/>
      <c r="M152" s="108"/>
      <c r="N152" s="9"/>
    </row>
    <row r="153" spans="1:14" ht="13.95" customHeight="1">
      <c r="A153" s="1"/>
      <c r="B153" s="1"/>
      <c r="C153" s="33"/>
      <c r="D153" s="1"/>
      <c r="E153" s="3"/>
      <c r="F153" s="4"/>
      <c r="G153" s="5"/>
      <c r="I153" s="3"/>
      <c r="J153" s="3"/>
      <c r="K153" s="3"/>
      <c r="L153" s="103"/>
      <c r="M153" s="108"/>
      <c r="N153" s="9"/>
    </row>
    <row r="154" spans="1:14" ht="13.95" customHeight="1">
      <c r="A154" s="1"/>
      <c r="B154" s="1"/>
      <c r="C154" s="32" t="s">
        <v>158</v>
      </c>
      <c r="D154" s="1"/>
      <c r="E154" s="3"/>
      <c r="F154" s="4"/>
      <c r="G154" s="5"/>
      <c r="I154" s="3"/>
      <c r="J154" s="3"/>
      <c r="K154" s="3"/>
      <c r="L154" s="103"/>
      <c r="M154" s="108"/>
      <c r="N154" s="9"/>
    </row>
    <row r="155" spans="1:14" ht="13.95" customHeight="1">
      <c r="A155" s="1"/>
      <c r="B155" s="1"/>
      <c r="C155" s="33"/>
      <c r="D155" s="1"/>
      <c r="E155" s="3"/>
      <c r="F155" s="4"/>
      <c r="G155" s="5"/>
      <c r="I155" s="3"/>
      <c r="J155" s="3"/>
      <c r="K155" s="3"/>
      <c r="L155" s="103"/>
      <c r="M155" s="108"/>
      <c r="N155" s="9"/>
    </row>
    <row r="156" spans="1:14" ht="13.95" customHeight="1">
      <c r="A156" s="1">
        <f>A138+1</f>
        <v>25</v>
      </c>
      <c r="B156" s="1"/>
      <c r="C156" s="33" t="s">
        <v>202</v>
      </c>
      <c r="D156" s="1" t="s">
        <v>51</v>
      </c>
      <c r="E156" s="3">
        <f>SUM(I156:N156)</f>
        <v>6.63</v>
      </c>
      <c r="F156" s="3">
        <v>3550</v>
      </c>
      <c r="G156" s="5">
        <f t="shared" ref="G156" si="32">+E156*F156</f>
        <v>23536.5</v>
      </c>
      <c r="I156" s="3"/>
      <c r="J156" s="3"/>
      <c r="K156" s="3">
        <v>6</v>
      </c>
      <c r="L156" s="103">
        <v>0.63</v>
      </c>
      <c r="M156" s="108"/>
      <c r="N156" s="9"/>
    </row>
    <row r="157" spans="1:14" ht="13.95" customHeight="1">
      <c r="A157" s="1"/>
      <c r="B157" s="1"/>
      <c r="C157" s="33"/>
      <c r="D157" s="1"/>
      <c r="E157" s="3"/>
      <c r="F157" s="3"/>
      <c r="G157" s="5"/>
      <c r="I157" s="3"/>
      <c r="J157" s="3"/>
      <c r="K157" s="3"/>
      <c r="L157" s="103"/>
      <c r="M157" s="108"/>
      <c r="N157" s="9"/>
    </row>
    <row r="158" spans="1:14" ht="13.95" customHeight="1">
      <c r="A158" s="1">
        <f>A156+1</f>
        <v>26</v>
      </c>
      <c r="B158" s="1"/>
      <c r="C158" s="33" t="s">
        <v>28</v>
      </c>
      <c r="D158" s="1" t="s">
        <v>51</v>
      </c>
      <c r="E158" s="3">
        <f>SUM(I158:N158)</f>
        <v>15.120000000000001</v>
      </c>
      <c r="F158" s="3">
        <v>3200</v>
      </c>
      <c r="G158" s="5">
        <f t="shared" ref="G158" si="33">+E158*F158</f>
        <v>48384</v>
      </c>
      <c r="I158" s="3"/>
      <c r="J158" s="3">
        <v>13</v>
      </c>
      <c r="K158" s="3"/>
      <c r="L158" s="103"/>
      <c r="M158" s="108">
        <v>2.12</v>
      </c>
      <c r="N158" s="9"/>
    </row>
    <row r="159" spans="1:14" ht="13.95" customHeight="1">
      <c r="A159" s="1"/>
      <c r="B159" s="1"/>
      <c r="C159" s="33"/>
      <c r="D159" s="1"/>
      <c r="E159" s="3"/>
      <c r="F159" s="3"/>
      <c r="G159" s="5"/>
      <c r="I159" s="3"/>
      <c r="J159" s="3"/>
      <c r="K159" s="3"/>
      <c r="L159" s="103"/>
      <c r="M159" s="108"/>
      <c r="N159" s="9"/>
    </row>
    <row r="160" spans="1:14" ht="13.95" customHeight="1">
      <c r="A160" s="1">
        <v>25</v>
      </c>
      <c r="B160" s="1"/>
      <c r="C160" s="33" t="s">
        <v>62</v>
      </c>
      <c r="D160" s="1" t="s">
        <v>51</v>
      </c>
      <c r="E160" s="3">
        <f>SUM(I160:N160)</f>
        <v>9.25</v>
      </c>
      <c r="F160" s="3">
        <v>3350</v>
      </c>
      <c r="G160" s="5">
        <f t="shared" ref="G160" si="34">+E160*F160</f>
        <v>30987.5</v>
      </c>
      <c r="I160" s="3"/>
      <c r="J160" s="3">
        <v>8</v>
      </c>
      <c r="K160" s="3"/>
      <c r="L160" s="103"/>
      <c r="M160" s="108">
        <v>1.25</v>
      </c>
      <c r="N160" s="9"/>
    </row>
    <row r="161" spans="1:14" ht="13.95" customHeight="1">
      <c r="A161" s="1"/>
      <c r="B161" s="1"/>
      <c r="C161" s="33"/>
      <c r="D161" s="1"/>
      <c r="E161" s="3"/>
      <c r="F161" s="3"/>
      <c r="G161" s="5"/>
      <c r="I161" s="3"/>
      <c r="J161" s="3"/>
      <c r="K161" s="3"/>
      <c r="L161" s="103"/>
      <c r="M161" s="108"/>
      <c r="N161" s="9"/>
    </row>
    <row r="162" spans="1:14" ht="13.95" customHeight="1">
      <c r="A162" s="1">
        <v>26</v>
      </c>
      <c r="B162" s="1"/>
      <c r="C162" s="33" t="s">
        <v>27</v>
      </c>
      <c r="D162" s="1" t="s">
        <v>51</v>
      </c>
      <c r="E162" s="3">
        <f>SUM(I162:N162)</f>
        <v>12</v>
      </c>
      <c r="F162" s="3">
        <v>3200</v>
      </c>
      <c r="G162" s="5">
        <f t="shared" ref="G162" si="35">+E162*F162</f>
        <v>38400</v>
      </c>
      <c r="I162" s="3">
        <v>12</v>
      </c>
      <c r="J162" s="3"/>
      <c r="K162" s="3"/>
      <c r="L162" s="103"/>
      <c r="M162" s="108"/>
      <c r="N162" s="9"/>
    </row>
    <row r="163" spans="1:14" ht="13.95" customHeight="1">
      <c r="A163" s="1"/>
      <c r="B163" s="1"/>
      <c r="C163" s="33"/>
      <c r="D163" s="1"/>
      <c r="E163" s="3"/>
      <c r="F163" s="3"/>
      <c r="G163" s="5"/>
      <c r="I163" s="3"/>
      <c r="J163" s="3"/>
      <c r="K163" s="3"/>
      <c r="L163" s="103"/>
      <c r="M163" s="108"/>
      <c r="N163" s="9"/>
    </row>
    <row r="164" spans="1:14" ht="13.95" customHeight="1">
      <c r="A164" s="1">
        <f>A162+1</f>
        <v>27</v>
      </c>
      <c r="B164" s="1"/>
      <c r="C164" s="33" t="s">
        <v>250</v>
      </c>
      <c r="D164" s="1" t="s">
        <v>51</v>
      </c>
      <c r="E164" s="3">
        <f>SUM(I164:N164)</f>
        <v>0</v>
      </c>
      <c r="F164" s="3">
        <v>3650</v>
      </c>
      <c r="G164" s="5">
        <f t="shared" ref="G164" si="36">+E164*F164</f>
        <v>0</v>
      </c>
      <c r="I164" s="3"/>
      <c r="J164" s="3"/>
      <c r="K164" s="3"/>
      <c r="L164" s="103"/>
      <c r="M164" s="108"/>
      <c r="N164" s="9"/>
    </row>
    <row r="165" spans="1:14" ht="13.95" customHeight="1">
      <c r="A165" s="1"/>
      <c r="B165" s="1"/>
      <c r="C165" s="33"/>
      <c r="D165" s="1"/>
      <c r="E165" s="3"/>
      <c r="F165" s="4"/>
      <c r="G165" s="5"/>
      <c r="I165" s="3"/>
      <c r="J165" s="3"/>
      <c r="K165" s="3"/>
      <c r="L165" s="103"/>
      <c r="M165" s="108"/>
      <c r="N165" s="9"/>
    </row>
    <row r="166" spans="1:14" ht="13.95" customHeight="1">
      <c r="A166" s="1"/>
      <c r="B166" s="1" t="s">
        <v>96</v>
      </c>
      <c r="C166" s="32" t="s">
        <v>159</v>
      </c>
      <c r="D166" s="1"/>
      <c r="E166" s="3"/>
      <c r="F166" s="4"/>
      <c r="G166" s="5"/>
      <c r="I166" s="9"/>
      <c r="J166" s="9"/>
      <c r="K166" s="9"/>
      <c r="L166" s="103"/>
      <c r="M166" s="108"/>
      <c r="N166" s="9"/>
    </row>
    <row r="167" spans="1:14" ht="13.95" customHeight="1">
      <c r="A167" s="1"/>
      <c r="B167" s="1"/>
      <c r="C167" s="33"/>
      <c r="D167" s="1"/>
      <c r="E167" s="3"/>
      <c r="F167" s="4"/>
      <c r="G167" s="5"/>
      <c r="I167" s="9"/>
      <c r="J167" s="9"/>
      <c r="K167" s="9"/>
      <c r="L167" s="103"/>
      <c r="M167" s="108"/>
      <c r="N167" s="9"/>
    </row>
    <row r="168" spans="1:14" ht="13.95" customHeight="1">
      <c r="A168" s="1"/>
      <c r="B168" s="1"/>
      <c r="C168" s="33" t="s">
        <v>160</v>
      </c>
      <c r="D168" s="1"/>
      <c r="E168" s="3"/>
      <c r="F168" s="4"/>
      <c r="G168" s="5"/>
      <c r="I168" s="9"/>
      <c r="J168" s="9"/>
      <c r="K168" s="9"/>
      <c r="L168" s="103"/>
      <c r="M168" s="108"/>
      <c r="N168" s="9"/>
    </row>
    <row r="169" spans="1:14" ht="13.95" customHeight="1">
      <c r="A169" s="1"/>
      <c r="B169" s="1"/>
      <c r="C169" s="33"/>
      <c r="D169" s="1"/>
      <c r="E169" s="3"/>
      <c r="F169" s="4"/>
      <c r="G169" s="5"/>
      <c r="I169" s="9"/>
      <c r="J169" s="9"/>
      <c r="K169" s="9"/>
      <c r="L169" s="103"/>
      <c r="M169" s="108"/>
      <c r="N169" s="9"/>
    </row>
    <row r="170" spans="1:14" ht="13.95" customHeight="1">
      <c r="A170" s="1">
        <f>A164+1</f>
        <v>28</v>
      </c>
      <c r="B170" s="1"/>
      <c r="C170" s="33" t="s">
        <v>28</v>
      </c>
      <c r="D170" s="1" t="s">
        <v>60</v>
      </c>
      <c r="E170" s="3">
        <f>SUM(I170:N170)</f>
        <v>37.29</v>
      </c>
      <c r="F170" s="3">
        <v>46</v>
      </c>
      <c r="G170" s="5">
        <f t="shared" ref="G170" si="37">+E170*F170</f>
        <v>1715.34</v>
      </c>
      <c r="I170" s="3"/>
      <c r="J170" s="3">
        <v>32</v>
      </c>
      <c r="K170" s="3"/>
      <c r="L170" s="103"/>
      <c r="M170" s="108">
        <v>5.29</v>
      </c>
      <c r="N170" s="9"/>
    </row>
    <row r="171" spans="1:14" ht="13.95" customHeight="1">
      <c r="A171" s="1"/>
      <c r="B171" s="1"/>
      <c r="C171" s="33"/>
      <c r="D171" s="1"/>
      <c r="E171" s="3"/>
      <c r="F171" s="3"/>
      <c r="G171" s="5"/>
      <c r="I171" s="3"/>
      <c r="J171" s="3"/>
      <c r="K171" s="3"/>
      <c r="L171" s="103"/>
      <c r="M171" s="108"/>
      <c r="N171" s="9"/>
    </row>
    <row r="172" spans="1:14" ht="13.95" customHeight="1">
      <c r="A172" s="1"/>
      <c r="B172" s="1"/>
      <c r="C172" s="33" t="s">
        <v>196</v>
      </c>
      <c r="D172" s="1"/>
      <c r="E172" s="3"/>
      <c r="F172" s="3"/>
      <c r="G172" s="5"/>
      <c r="I172" s="3"/>
      <c r="J172" s="3"/>
      <c r="K172" s="3"/>
      <c r="L172" s="103"/>
      <c r="M172" s="108"/>
      <c r="N172" s="9"/>
    </row>
    <row r="173" spans="1:14" ht="13.95" customHeight="1">
      <c r="A173" s="1"/>
      <c r="B173" s="1"/>
      <c r="C173" s="33"/>
      <c r="D173" s="1"/>
      <c r="E173" s="3"/>
      <c r="F173" s="3"/>
      <c r="G173" s="5"/>
      <c r="I173" s="3"/>
      <c r="J173" s="3"/>
      <c r="K173" s="3"/>
      <c r="L173" s="103"/>
      <c r="M173" s="108"/>
      <c r="N173" s="9"/>
    </row>
    <row r="174" spans="1:14" ht="13.95" customHeight="1">
      <c r="A174" s="1">
        <f>A170+1</f>
        <v>29</v>
      </c>
      <c r="B174" s="1"/>
      <c r="C174" s="33" t="s">
        <v>29</v>
      </c>
      <c r="D174" s="1" t="s">
        <v>60</v>
      </c>
      <c r="E174" s="3">
        <f>SUM(I174:N174)</f>
        <v>60</v>
      </c>
      <c r="F174" s="3">
        <v>75</v>
      </c>
      <c r="G174" s="5">
        <f t="shared" ref="G174" si="38">+E174*F174</f>
        <v>4500</v>
      </c>
      <c r="I174" s="3">
        <v>60</v>
      </c>
      <c r="J174" s="3"/>
      <c r="K174" s="3"/>
      <c r="L174" s="103"/>
      <c r="M174" s="108"/>
      <c r="N174" s="9"/>
    </row>
    <row r="175" spans="1:14" ht="13.95" customHeight="1">
      <c r="A175" s="1"/>
      <c r="B175" s="1"/>
      <c r="C175" s="33"/>
      <c r="D175" s="1"/>
      <c r="E175" s="3"/>
      <c r="F175" s="4"/>
      <c r="G175" s="5"/>
      <c r="I175" s="3"/>
      <c r="J175" s="3"/>
      <c r="K175" s="3"/>
      <c r="L175" s="103"/>
      <c r="M175" s="108"/>
      <c r="N175" s="9"/>
    </row>
    <row r="176" spans="1:14" ht="13.95" customHeight="1">
      <c r="A176" s="1"/>
      <c r="B176" s="1" t="s">
        <v>97</v>
      </c>
      <c r="C176" s="34" t="s">
        <v>20</v>
      </c>
      <c r="D176" s="1"/>
      <c r="E176" s="3"/>
      <c r="F176" s="4"/>
      <c r="G176" s="5"/>
      <c r="I176" s="3"/>
      <c r="J176" s="3"/>
      <c r="K176" s="3"/>
      <c r="L176" s="103"/>
      <c r="M176" s="108"/>
      <c r="N176" s="9"/>
    </row>
    <row r="177" spans="1:14" ht="13.95" customHeight="1">
      <c r="A177" s="1"/>
      <c r="B177" s="1"/>
      <c r="C177" s="34"/>
      <c r="D177" s="1"/>
      <c r="E177" s="3"/>
      <c r="F177" s="4"/>
      <c r="G177" s="5"/>
      <c r="I177" s="3"/>
      <c r="J177" s="3"/>
      <c r="K177" s="3"/>
      <c r="L177" s="103"/>
      <c r="M177" s="108"/>
      <c r="N177" s="9"/>
    </row>
    <row r="178" spans="1:14" ht="13.95" customHeight="1">
      <c r="A178" s="1"/>
      <c r="B178" s="1"/>
      <c r="C178" s="32" t="s">
        <v>213</v>
      </c>
      <c r="D178" s="1"/>
      <c r="E178" s="3"/>
      <c r="F178" s="4"/>
      <c r="G178" s="5"/>
      <c r="I178" s="3"/>
      <c r="J178" s="3"/>
      <c r="K178" s="3"/>
      <c r="L178" s="103"/>
      <c r="M178" s="108"/>
      <c r="N178" s="9"/>
    </row>
    <row r="179" spans="1:14" ht="13.95" customHeight="1">
      <c r="A179" s="1"/>
      <c r="B179" s="1"/>
      <c r="C179" s="34"/>
      <c r="D179" s="1"/>
      <c r="E179" s="3"/>
      <c r="F179" s="4"/>
      <c r="G179" s="5"/>
      <c r="I179" s="3"/>
      <c r="J179" s="3"/>
      <c r="K179" s="3"/>
      <c r="L179" s="103"/>
      <c r="M179" s="108"/>
      <c r="N179" s="9"/>
    </row>
    <row r="180" spans="1:14" ht="27" customHeight="1">
      <c r="A180" s="1">
        <f>A174+1</f>
        <v>30</v>
      </c>
      <c r="B180" s="1"/>
      <c r="C180" s="33" t="s">
        <v>237</v>
      </c>
      <c r="D180" s="1" t="s">
        <v>1</v>
      </c>
      <c r="E180" s="3">
        <f>SUM(I180:N180)</f>
        <v>0</v>
      </c>
      <c r="F180" s="3">
        <v>375</v>
      </c>
      <c r="G180" s="5">
        <f t="shared" ref="G180" si="39">+E180*F180</f>
        <v>0</v>
      </c>
      <c r="I180" s="3"/>
      <c r="J180" s="3"/>
      <c r="K180" s="3"/>
      <c r="L180" s="103"/>
      <c r="M180" s="108"/>
      <c r="N180" s="9"/>
    </row>
    <row r="181" spans="1:14" ht="13.95" customHeight="1">
      <c r="A181" s="1"/>
      <c r="B181" s="1"/>
      <c r="C181" s="33"/>
      <c r="D181" s="1"/>
      <c r="E181" s="3"/>
      <c r="F181" s="3"/>
      <c r="G181" s="5"/>
      <c r="I181" s="3"/>
      <c r="J181" s="3"/>
      <c r="K181" s="3"/>
      <c r="L181" s="103"/>
      <c r="M181" s="108"/>
      <c r="N181" s="9"/>
    </row>
    <row r="182" spans="1:14" ht="24.6" customHeight="1">
      <c r="A182" s="1">
        <f>A180+1</f>
        <v>31</v>
      </c>
      <c r="B182" s="1"/>
      <c r="C182" s="33" t="s">
        <v>285</v>
      </c>
      <c r="D182" s="1" t="s">
        <v>1</v>
      </c>
      <c r="E182" s="3">
        <f>SUM(I182:N182)</f>
        <v>20</v>
      </c>
      <c r="F182" s="3">
        <v>355</v>
      </c>
      <c r="G182" s="5">
        <f t="shared" ref="G182" si="40">+E182*F182</f>
        <v>7100</v>
      </c>
      <c r="I182" s="3">
        <v>20</v>
      </c>
      <c r="J182" s="3"/>
      <c r="K182" s="3"/>
      <c r="L182" s="104"/>
      <c r="M182" s="108"/>
      <c r="N182" s="9"/>
    </row>
    <row r="183" spans="1:14" ht="13.95" customHeight="1">
      <c r="A183" s="1"/>
      <c r="B183" s="1"/>
      <c r="C183" s="33"/>
      <c r="D183" s="1"/>
      <c r="E183" s="3"/>
      <c r="F183" s="3"/>
      <c r="G183" s="5"/>
      <c r="I183" s="3"/>
      <c r="J183" s="3"/>
      <c r="K183" s="3"/>
      <c r="L183" s="103"/>
      <c r="M183" s="108"/>
      <c r="N183" s="9"/>
    </row>
    <row r="184" spans="1:14" ht="23.4" customHeight="1">
      <c r="A184" s="1">
        <f>A182+1</f>
        <v>32</v>
      </c>
      <c r="B184" s="1"/>
      <c r="C184" s="33" t="s">
        <v>243</v>
      </c>
      <c r="D184" s="1" t="s">
        <v>1</v>
      </c>
      <c r="E184" s="3">
        <f>SUM(I184:N184)</f>
        <v>54</v>
      </c>
      <c r="F184" s="3">
        <v>195</v>
      </c>
      <c r="G184" s="5">
        <f t="shared" ref="G184" si="41">+E184*F184</f>
        <v>10530</v>
      </c>
      <c r="I184" s="3">
        <v>32</v>
      </c>
      <c r="J184" s="3"/>
      <c r="K184" s="3">
        <v>10</v>
      </c>
      <c r="L184" s="103">
        <v>12</v>
      </c>
      <c r="M184" s="108"/>
      <c r="N184" s="9"/>
    </row>
    <row r="185" spans="1:14" ht="13.95" customHeight="1">
      <c r="A185" s="1"/>
      <c r="B185" s="1"/>
      <c r="C185" s="33"/>
      <c r="D185" s="1"/>
      <c r="E185" s="3"/>
      <c r="F185" s="3"/>
      <c r="G185" s="5"/>
      <c r="I185" s="3"/>
      <c r="J185" s="3"/>
      <c r="K185" s="3"/>
      <c r="L185" s="103"/>
      <c r="M185" s="108"/>
      <c r="N185" s="9"/>
    </row>
    <row r="186" spans="1:14" ht="13.95" customHeight="1">
      <c r="A186" s="1"/>
      <c r="B186" s="1"/>
      <c r="C186" s="33" t="s">
        <v>239</v>
      </c>
      <c r="D186" s="1" t="s">
        <v>1</v>
      </c>
      <c r="E186" s="3">
        <f>SUM(I186:N186)</f>
        <v>6</v>
      </c>
      <c r="F186" s="3">
        <v>155</v>
      </c>
      <c r="G186" s="5">
        <f t="shared" ref="G186" si="42">+E186*F186</f>
        <v>930</v>
      </c>
      <c r="I186" s="3">
        <v>6</v>
      </c>
      <c r="J186" s="3"/>
      <c r="K186" s="3"/>
      <c r="L186" s="103"/>
      <c r="M186" s="108"/>
      <c r="N186" s="9"/>
    </row>
    <row r="187" spans="1:14" ht="13.95" customHeight="1">
      <c r="A187" s="1"/>
      <c r="B187" s="1"/>
      <c r="C187" s="33"/>
      <c r="D187" s="1"/>
      <c r="E187" s="3"/>
      <c r="F187" s="4"/>
      <c r="G187" s="5"/>
      <c r="I187" s="3"/>
      <c r="J187" s="3"/>
      <c r="K187" s="3"/>
      <c r="L187" s="103"/>
      <c r="M187" s="108"/>
      <c r="N187" s="9"/>
    </row>
    <row r="188" spans="1:14" ht="13.95" customHeight="1">
      <c r="A188" s="1"/>
      <c r="B188" s="1"/>
      <c r="C188" s="32" t="s">
        <v>198</v>
      </c>
      <c r="D188" s="1"/>
      <c r="E188" s="3"/>
      <c r="F188" s="4"/>
      <c r="G188" s="5"/>
      <c r="I188" s="3"/>
      <c r="J188" s="3"/>
      <c r="K188" s="3"/>
      <c r="L188" s="103"/>
      <c r="M188" s="108"/>
      <c r="N188" s="9"/>
    </row>
    <row r="189" spans="1:14" ht="13.95" customHeight="1">
      <c r="A189" s="1"/>
      <c r="B189" s="1"/>
      <c r="C189" s="33"/>
      <c r="D189" s="1"/>
      <c r="E189" s="3"/>
      <c r="F189" s="4"/>
      <c r="G189" s="5"/>
      <c r="I189" s="3"/>
      <c r="J189" s="3"/>
      <c r="K189" s="3"/>
      <c r="L189" s="103"/>
      <c r="M189" s="108"/>
      <c r="N189" s="9"/>
    </row>
    <row r="190" spans="1:14" ht="13.95" customHeight="1">
      <c r="A190" s="1">
        <f>A184+1</f>
        <v>33</v>
      </c>
      <c r="B190" s="1"/>
      <c r="C190" s="33" t="s">
        <v>199</v>
      </c>
      <c r="D190" s="1" t="s">
        <v>1</v>
      </c>
      <c r="E190" s="3">
        <f>SUM(I190:N190)</f>
        <v>8</v>
      </c>
      <c r="F190" s="3">
        <f>F180</f>
        <v>375</v>
      </c>
      <c r="G190" s="5">
        <f t="shared" ref="G190" si="43">+E190*F190</f>
        <v>3000</v>
      </c>
      <c r="I190" s="3"/>
      <c r="J190" s="3">
        <v>8</v>
      </c>
      <c r="K190" s="3"/>
      <c r="L190" s="103"/>
      <c r="M190" s="108"/>
      <c r="N190" s="9"/>
    </row>
    <row r="191" spans="1:14" ht="13.95" customHeight="1">
      <c r="A191" s="1"/>
      <c r="B191" s="1"/>
      <c r="C191" s="33"/>
      <c r="D191" s="1"/>
      <c r="E191" s="3"/>
      <c r="F191" s="3"/>
      <c r="G191" s="5"/>
      <c r="I191" s="3"/>
      <c r="J191" s="3"/>
      <c r="K191" s="3"/>
      <c r="L191" s="103"/>
      <c r="M191" s="108"/>
      <c r="N191" s="9"/>
    </row>
    <row r="192" spans="1:14" ht="13.95" customHeight="1">
      <c r="A192" s="1">
        <f>A190+1</f>
        <v>34</v>
      </c>
      <c r="B192" s="1"/>
      <c r="C192" s="33" t="s">
        <v>200</v>
      </c>
      <c r="D192" s="1" t="s">
        <v>1</v>
      </c>
      <c r="E192" s="3">
        <f>SUM(I192:N192)</f>
        <v>6</v>
      </c>
      <c r="F192" s="3">
        <v>395</v>
      </c>
      <c r="G192" s="5">
        <f t="shared" ref="G192" si="44">+E192*F192</f>
        <v>2370</v>
      </c>
      <c r="I192" s="3"/>
      <c r="J192" s="3">
        <v>6</v>
      </c>
      <c r="K192" s="3"/>
      <c r="L192" s="103"/>
      <c r="M192" s="108"/>
      <c r="N192" s="9"/>
    </row>
    <row r="193" spans="1:14" ht="13.95" customHeight="1">
      <c r="A193" s="1"/>
      <c r="B193" s="1"/>
      <c r="C193" s="33"/>
      <c r="D193" s="1"/>
      <c r="E193" s="3"/>
      <c r="F193" s="3"/>
      <c r="G193" s="5"/>
      <c r="I193" s="3"/>
      <c r="J193" s="3"/>
      <c r="K193" s="3"/>
      <c r="L193" s="103"/>
      <c r="M193" s="108"/>
      <c r="N193" s="9"/>
    </row>
    <row r="194" spans="1:14" ht="13.95" customHeight="1">
      <c r="A194" s="1">
        <f>A192+1</f>
        <v>35</v>
      </c>
      <c r="B194" s="1"/>
      <c r="C194" s="33" t="s">
        <v>214</v>
      </c>
      <c r="D194" s="1" t="s">
        <v>1</v>
      </c>
      <c r="E194" s="3">
        <f>SUM(I194:N194)</f>
        <v>4</v>
      </c>
      <c r="F194" s="3">
        <v>395</v>
      </c>
      <c r="G194" s="5">
        <f t="shared" ref="G194" si="45">+E194*F194</f>
        <v>1580</v>
      </c>
      <c r="I194" s="3"/>
      <c r="J194" s="3">
        <v>4</v>
      </c>
      <c r="K194" s="3"/>
      <c r="L194" s="103"/>
      <c r="M194" s="108"/>
      <c r="N194" s="9"/>
    </row>
    <row r="195" spans="1:14" ht="13.95" customHeight="1">
      <c r="A195" s="1"/>
      <c r="B195" s="1"/>
      <c r="C195" s="33"/>
      <c r="D195" s="1"/>
      <c r="E195" s="3"/>
      <c r="F195" s="3"/>
      <c r="G195" s="5"/>
      <c r="I195" s="3"/>
      <c r="J195" s="3"/>
      <c r="K195" s="3"/>
      <c r="L195" s="103"/>
      <c r="M195" s="108"/>
      <c r="N195" s="9"/>
    </row>
    <row r="196" spans="1:14" ht="13.95" customHeight="1">
      <c r="A196" s="1"/>
      <c r="B196" s="1"/>
      <c r="C196" s="33"/>
      <c r="D196" s="1"/>
      <c r="E196" s="3"/>
      <c r="F196" s="4"/>
      <c r="G196" s="5"/>
      <c r="I196" s="3"/>
      <c r="J196" s="3"/>
      <c r="K196" s="3"/>
      <c r="L196" s="103"/>
      <c r="M196" s="108"/>
      <c r="N196" s="9"/>
    </row>
    <row r="197" spans="1:14" ht="13.95" customHeight="1">
      <c r="A197" s="1"/>
      <c r="B197" s="1"/>
      <c r="C197" s="33"/>
      <c r="D197" s="1"/>
      <c r="E197" s="3"/>
      <c r="F197" s="4"/>
      <c r="G197" s="5"/>
      <c r="I197" s="3"/>
      <c r="J197" s="3"/>
      <c r="K197" s="3"/>
      <c r="L197" s="103"/>
      <c r="M197" s="108"/>
      <c r="N197" s="9"/>
    </row>
    <row r="198" spans="1:14" ht="20.100000000000001" customHeight="1">
      <c r="A198" s="149" t="s">
        <v>66</v>
      </c>
      <c r="B198" s="150"/>
      <c r="C198" s="150"/>
      <c r="D198" s="150"/>
      <c r="E198" s="150"/>
      <c r="F198" s="151"/>
      <c r="G198" s="116">
        <f>SUM(G152:G197)</f>
        <v>408717.34</v>
      </c>
      <c r="I198" s="9"/>
      <c r="J198" s="9"/>
      <c r="K198" s="9"/>
      <c r="L198" s="103"/>
      <c r="M198" s="108"/>
      <c r="N198" s="9"/>
    </row>
    <row r="199" spans="1:14" ht="13.95" customHeight="1">
      <c r="A199" s="39"/>
      <c r="B199" s="39"/>
      <c r="C199" s="39"/>
      <c r="D199" s="39"/>
      <c r="E199" s="39"/>
      <c r="F199" s="39"/>
      <c r="G199" s="113"/>
      <c r="I199" s="9"/>
      <c r="J199" s="9"/>
      <c r="K199" s="9"/>
      <c r="L199" s="103"/>
      <c r="M199" s="108"/>
      <c r="N199" s="9"/>
    </row>
    <row r="200" spans="1:14" ht="13.95" customHeight="1">
      <c r="A200" s="39"/>
      <c r="B200" s="39"/>
      <c r="C200" s="39"/>
      <c r="D200" s="39"/>
      <c r="E200" s="39"/>
      <c r="F200" s="39"/>
      <c r="G200" s="113"/>
      <c r="I200" s="9"/>
      <c r="J200" s="9"/>
      <c r="K200" s="9"/>
      <c r="L200" s="103"/>
      <c r="M200" s="108"/>
      <c r="N200" s="9"/>
    </row>
    <row r="201" spans="1:14" ht="22.2" customHeight="1">
      <c r="A201" s="44" t="s">
        <v>8</v>
      </c>
      <c r="B201" s="48" t="s">
        <v>9</v>
      </c>
      <c r="C201" s="44" t="s">
        <v>10</v>
      </c>
      <c r="D201" s="48" t="s">
        <v>11</v>
      </c>
      <c r="E201" s="48" t="s">
        <v>59</v>
      </c>
      <c r="F201" s="49" t="s">
        <v>12</v>
      </c>
      <c r="G201" s="111" t="s">
        <v>13</v>
      </c>
      <c r="I201" s="9"/>
      <c r="J201" s="9"/>
      <c r="K201" s="9"/>
      <c r="L201" s="103"/>
      <c r="M201" s="108"/>
      <c r="N201" s="9"/>
    </row>
    <row r="202" spans="1:14" ht="20.100000000000001" customHeight="1">
      <c r="A202" s="149" t="s">
        <v>67</v>
      </c>
      <c r="B202" s="150"/>
      <c r="C202" s="150"/>
      <c r="D202" s="150"/>
      <c r="E202" s="150"/>
      <c r="F202" s="151"/>
      <c r="G202" s="116">
        <f>+G198</f>
        <v>408717.34</v>
      </c>
      <c r="I202" s="9"/>
      <c r="J202" s="9"/>
      <c r="K202" s="9"/>
      <c r="L202" s="103"/>
      <c r="M202" s="108"/>
      <c r="N202" s="9"/>
    </row>
    <row r="203" spans="1:14" ht="13.95" customHeight="1">
      <c r="A203" s="1"/>
      <c r="B203" s="1"/>
      <c r="C203" s="33"/>
      <c r="D203" s="1"/>
      <c r="E203" s="3"/>
      <c r="F203" s="4"/>
      <c r="G203" s="5"/>
      <c r="I203" s="3"/>
      <c r="J203" s="3"/>
      <c r="K203" s="3"/>
      <c r="L203" s="103"/>
      <c r="M203" s="108"/>
      <c r="N203" s="9"/>
    </row>
    <row r="204" spans="1:14" ht="13.95" customHeight="1">
      <c r="A204" s="9"/>
      <c r="B204" s="1" t="s">
        <v>98</v>
      </c>
      <c r="C204" s="34" t="s">
        <v>30</v>
      </c>
      <c r="D204" s="1"/>
      <c r="E204" s="3"/>
      <c r="F204" s="4"/>
      <c r="G204" s="5"/>
      <c r="I204" s="3"/>
      <c r="J204" s="3"/>
      <c r="K204" s="3"/>
      <c r="L204" s="103"/>
      <c r="M204" s="108"/>
      <c r="N204" s="9"/>
    </row>
    <row r="205" spans="1:14" ht="13.95" customHeight="1">
      <c r="A205" s="9"/>
      <c r="B205" s="1"/>
      <c r="C205" s="33"/>
      <c r="D205" s="1"/>
      <c r="E205" s="3"/>
      <c r="F205" s="4"/>
      <c r="G205" s="5"/>
      <c r="I205" s="3"/>
      <c r="J205" s="3"/>
      <c r="K205" s="3"/>
      <c r="L205" s="103"/>
      <c r="M205" s="108"/>
      <c r="N205" s="9"/>
    </row>
    <row r="206" spans="1:14" ht="13.95" customHeight="1">
      <c r="A206" s="9"/>
      <c r="B206" s="1"/>
      <c r="C206" s="33" t="s">
        <v>31</v>
      </c>
      <c r="D206" s="1"/>
      <c r="E206" s="3"/>
      <c r="F206" s="4"/>
      <c r="G206" s="5"/>
      <c r="I206" s="3"/>
      <c r="J206" s="3"/>
      <c r="K206" s="3"/>
      <c r="L206" s="103"/>
      <c r="M206" s="108"/>
      <c r="N206" s="9"/>
    </row>
    <row r="207" spans="1:14" ht="13.95" customHeight="1">
      <c r="A207" s="9"/>
      <c r="B207" s="1"/>
      <c r="C207" s="33"/>
      <c r="D207" s="1"/>
      <c r="E207" s="3"/>
      <c r="F207" s="4"/>
      <c r="G207" s="5"/>
      <c r="I207" s="3"/>
      <c r="J207" s="3"/>
      <c r="K207" s="3"/>
      <c r="L207" s="103"/>
      <c r="M207" s="108"/>
      <c r="N207" s="9"/>
    </row>
    <row r="208" spans="1:14" ht="13.95" customHeight="1">
      <c r="A208" s="9">
        <f>A194+1</f>
        <v>36</v>
      </c>
      <c r="B208" s="1"/>
      <c r="C208" s="33" t="s">
        <v>32</v>
      </c>
      <c r="D208" s="1" t="s">
        <v>51</v>
      </c>
      <c r="E208" s="3">
        <f>SUM(I208:N208)</f>
        <v>1.19</v>
      </c>
      <c r="F208" s="3">
        <v>35000</v>
      </c>
      <c r="G208" s="5">
        <f t="shared" ref="G208" si="46">+E208*F208</f>
        <v>41650</v>
      </c>
      <c r="I208" s="4"/>
      <c r="J208" s="4"/>
      <c r="K208" s="4">
        <v>1</v>
      </c>
      <c r="L208" s="103">
        <v>0.19</v>
      </c>
      <c r="M208" s="108"/>
      <c r="N208" s="9"/>
    </row>
    <row r="209" spans="1:14" ht="13.95" customHeight="1">
      <c r="A209" s="9"/>
      <c r="B209" s="1"/>
      <c r="C209" s="33"/>
      <c r="D209" s="1"/>
      <c r="E209" s="4"/>
      <c r="F209" s="3"/>
      <c r="G209" s="5"/>
      <c r="I209" s="4"/>
      <c r="J209" s="4"/>
      <c r="K209" s="4"/>
      <c r="L209" s="103"/>
      <c r="M209" s="108"/>
      <c r="N209" s="9"/>
    </row>
    <row r="210" spans="1:14" ht="13.95" customHeight="1">
      <c r="A210" s="9"/>
      <c r="B210" s="1"/>
      <c r="C210" s="37" t="s">
        <v>40</v>
      </c>
      <c r="D210" s="1"/>
      <c r="E210" s="4"/>
      <c r="F210" s="3"/>
      <c r="G210" s="5"/>
      <c r="I210" s="4"/>
      <c r="J210" s="4"/>
      <c r="K210" s="4"/>
      <c r="L210" s="103"/>
      <c r="M210" s="108"/>
      <c r="N210" s="9"/>
    </row>
    <row r="211" spans="1:14" ht="13.95" customHeight="1">
      <c r="A211" s="9"/>
      <c r="B211" s="1"/>
      <c r="C211" s="33"/>
      <c r="D211" s="1"/>
      <c r="E211" s="4"/>
      <c r="F211" s="3"/>
      <c r="G211" s="5"/>
      <c r="I211" s="4"/>
      <c r="J211" s="4"/>
      <c r="K211" s="4"/>
      <c r="L211" s="103"/>
      <c r="M211" s="108"/>
      <c r="N211" s="9"/>
    </row>
    <row r="212" spans="1:14" ht="13.95" customHeight="1">
      <c r="A212" s="9">
        <f>A208+1</f>
        <v>37</v>
      </c>
      <c r="B212" s="1"/>
      <c r="C212" s="33" t="s">
        <v>32</v>
      </c>
      <c r="D212" s="1" t="s">
        <v>51</v>
      </c>
      <c r="E212" s="3">
        <f>SUM(I212:N212)</f>
        <v>7.0000000000000007E-2</v>
      </c>
      <c r="F212" s="3">
        <f>F208</f>
        <v>35000</v>
      </c>
      <c r="G212" s="5">
        <f t="shared" ref="G212" si="47">+E212*F212</f>
        <v>2450.0000000000005</v>
      </c>
      <c r="I212" s="4"/>
      <c r="J212" s="4"/>
      <c r="K212" s="4"/>
      <c r="L212" s="103">
        <v>7.0000000000000007E-2</v>
      </c>
      <c r="M212" s="108"/>
      <c r="N212" s="9"/>
    </row>
    <row r="213" spans="1:14" ht="13.95" customHeight="1">
      <c r="A213" s="1"/>
      <c r="B213" s="1"/>
      <c r="C213" s="33"/>
      <c r="D213" s="1"/>
      <c r="E213" s="3"/>
      <c r="F213" s="4"/>
      <c r="G213" s="5"/>
      <c r="I213" s="3"/>
      <c r="J213" s="3"/>
      <c r="K213" s="3"/>
      <c r="L213" s="103"/>
      <c r="M213" s="108"/>
      <c r="N213" s="9"/>
    </row>
    <row r="214" spans="1:14" ht="24.6" customHeight="1">
      <c r="A214" s="9"/>
      <c r="B214" s="1" t="s">
        <v>99</v>
      </c>
      <c r="C214" s="34" t="s">
        <v>63</v>
      </c>
      <c r="D214" s="1"/>
      <c r="E214" s="3"/>
      <c r="F214" s="4"/>
      <c r="G214" s="5"/>
      <c r="I214" s="9"/>
      <c r="J214" s="9"/>
      <c r="K214" s="9"/>
      <c r="L214" s="103"/>
      <c r="M214" s="108"/>
      <c r="N214" s="9"/>
    </row>
    <row r="215" spans="1:14" ht="13.95" customHeight="1">
      <c r="A215" s="9"/>
      <c r="B215" s="1"/>
      <c r="C215" s="34"/>
      <c r="D215" s="1"/>
      <c r="E215" s="3"/>
      <c r="F215" s="4"/>
      <c r="G215" s="5"/>
      <c r="I215" s="9"/>
      <c r="J215" s="9"/>
      <c r="K215" s="9"/>
      <c r="L215" s="103"/>
      <c r="M215" s="108"/>
      <c r="N215" s="9"/>
    </row>
    <row r="216" spans="1:14" ht="22.95" customHeight="1">
      <c r="A216" s="9"/>
      <c r="B216" s="1"/>
      <c r="C216" s="34" t="s">
        <v>58</v>
      </c>
      <c r="D216" s="1"/>
      <c r="E216" s="3"/>
      <c r="F216" s="4"/>
      <c r="G216" s="5"/>
      <c r="I216" s="9"/>
      <c r="J216" s="9"/>
      <c r="K216" s="9"/>
      <c r="L216" s="103"/>
      <c r="M216" s="108"/>
      <c r="N216" s="9"/>
    </row>
    <row r="217" spans="1:14" ht="13.95" customHeight="1">
      <c r="A217" s="9"/>
      <c r="B217" s="1"/>
      <c r="C217" s="33"/>
      <c r="D217" s="1"/>
      <c r="E217" s="3"/>
      <c r="F217" s="4"/>
      <c r="G217" s="5"/>
      <c r="I217" s="9"/>
      <c r="J217" s="9"/>
      <c r="K217" s="9"/>
      <c r="L217" s="103"/>
      <c r="M217" s="108"/>
      <c r="N217" s="9"/>
    </row>
    <row r="218" spans="1:14" ht="46.2" customHeight="1">
      <c r="A218" s="9">
        <f>A212+1</f>
        <v>38</v>
      </c>
      <c r="B218" s="1"/>
      <c r="C218" s="33" t="s">
        <v>240</v>
      </c>
      <c r="D218" s="1" t="s">
        <v>6</v>
      </c>
      <c r="E218" s="3">
        <f>SUM(I218:N218)</f>
        <v>16</v>
      </c>
      <c r="F218" s="3">
        <v>275</v>
      </c>
      <c r="G218" s="5">
        <f t="shared" ref="G218" si="48">+E218*F218</f>
        <v>4400</v>
      </c>
      <c r="I218" s="9"/>
      <c r="J218" s="9"/>
      <c r="K218" s="9"/>
      <c r="L218" s="103">
        <v>16</v>
      </c>
      <c r="M218" s="108"/>
      <c r="N218" s="9"/>
    </row>
    <row r="219" spans="1:14" ht="13.95" customHeight="1">
      <c r="A219" s="9"/>
      <c r="B219" s="1"/>
      <c r="C219" s="33"/>
      <c r="D219" s="1"/>
      <c r="E219" s="3"/>
      <c r="F219" s="3"/>
      <c r="G219" s="5"/>
      <c r="I219" s="9"/>
      <c r="J219" s="9"/>
      <c r="K219" s="9"/>
      <c r="L219" s="103"/>
      <c r="M219" s="108"/>
      <c r="N219" s="9"/>
    </row>
    <row r="220" spans="1:14" ht="48" customHeight="1">
      <c r="A220" s="9">
        <f>A218+1</f>
        <v>39</v>
      </c>
      <c r="B220" s="1"/>
      <c r="C220" s="33" t="s">
        <v>227</v>
      </c>
      <c r="D220" s="1" t="s">
        <v>6</v>
      </c>
      <c r="E220" s="3">
        <f>SUM(I220:N220)</f>
        <v>0</v>
      </c>
      <c r="F220" s="3">
        <v>975</v>
      </c>
      <c r="G220" s="5">
        <f t="shared" ref="G220" si="49">+E220*F220</f>
        <v>0</v>
      </c>
      <c r="I220" s="45"/>
      <c r="J220" s="45"/>
      <c r="K220" s="45"/>
      <c r="L220" s="103"/>
      <c r="M220" s="108"/>
      <c r="N220" s="9"/>
    </row>
    <row r="221" spans="1:14" ht="12.6" customHeight="1">
      <c r="A221" s="9"/>
      <c r="B221" s="1"/>
      <c r="C221" s="33"/>
      <c r="D221" s="1"/>
      <c r="E221" s="3"/>
      <c r="F221" s="4"/>
      <c r="G221" s="5"/>
      <c r="I221" s="9"/>
      <c r="J221" s="9"/>
      <c r="K221" s="9"/>
      <c r="L221" s="103"/>
      <c r="M221" s="108"/>
      <c r="N221" s="9"/>
    </row>
    <row r="222" spans="1:14" ht="13.95" customHeight="1">
      <c r="A222" s="1"/>
      <c r="B222" s="1" t="s">
        <v>103</v>
      </c>
      <c r="C222" s="34" t="s">
        <v>7</v>
      </c>
      <c r="D222" s="1"/>
      <c r="E222" s="3"/>
      <c r="F222" s="4"/>
      <c r="G222" s="5"/>
      <c r="I222" s="9"/>
      <c r="J222" s="9"/>
      <c r="K222" s="9"/>
      <c r="L222" s="103"/>
      <c r="M222" s="108"/>
      <c r="N222" s="9"/>
    </row>
    <row r="223" spans="1:14" ht="13.95" customHeight="1">
      <c r="A223" s="1"/>
      <c r="B223" s="1"/>
      <c r="C223" s="33"/>
      <c r="D223" s="1"/>
      <c r="E223" s="3"/>
      <c r="F223" s="4"/>
      <c r="G223" s="5"/>
      <c r="I223" s="9"/>
      <c r="J223" s="9"/>
      <c r="K223" s="9"/>
      <c r="L223" s="103"/>
      <c r="M223" s="108"/>
      <c r="N223" s="9"/>
    </row>
    <row r="224" spans="1:14" ht="13.95" customHeight="1">
      <c r="A224" s="1"/>
      <c r="B224" s="1"/>
      <c r="C224" s="33" t="s">
        <v>68</v>
      </c>
      <c r="D224" s="1"/>
      <c r="E224" s="3"/>
      <c r="F224" s="4"/>
      <c r="G224" s="5"/>
      <c r="I224" s="9"/>
      <c r="J224" s="9"/>
      <c r="K224" s="9"/>
      <c r="L224" s="103"/>
      <c r="M224" s="108"/>
      <c r="N224" s="9"/>
    </row>
    <row r="225" spans="1:14" ht="13.95" customHeight="1">
      <c r="A225" s="1"/>
      <c r="B225" s="1"/>
      <c r="C225" s="33"/>
      <c r="D225" s="1"/>
      <c r="E225" s="3"/>
      <c r="F225" s="4"/>
      <c r="G225" s="5"/>
      <c r="I225" s="9"/>
      <c r="J225" s="9"/>
      <c r="K225" s="9"/>
      <c r="L225" s="103"/>
      <c r="M225" s="108"/>
      <c r="N225" s="9"/>
    </row>
    <row r="226" spans="1:14" ht="22.95" customHeight="1">
      <c r="A226" s="1">
        <f>A220+1</f>
        <v>40</v>
      </c>
      <c r="B226" s="1"/>
      <c r="C226" s="33" t="s">
        <v>197</v>
      </c>
      <c r="D226" s="1" t="s">
        <v>60</v>
      </c>
      <c r="E226" s="3">
        <f>SUM(I226:N226)</f>
        <v>60</v>
      </c>
      <c r="F226" s="13">
        <v>165</v>
      </c>
      <c r="G226" s="5">
        <f t="shared" ref="G226" si="50">+E226*F226</f>
        <v>9900</v>
      </c>
      <c r="I226" s="9">
        <v>60</v>
      </c>
      <c r="J226" s="9"/>
      <c r="K226" s="9"/>
      <c r="L226" s="103"/>
      <c r="M226" s="108"/>
      <c r="N226" s="9"/>
    </row>
    <row r="227" spans="1:14" ht="13.95" customHeight="1">
      <c r="A227" s="1"/>
      <c r="B227" s="1"/>
      <c r="C227" s="33"/>
      <c r="D227" s="35"/>
      <c r="E227" s="3"/>
      <c r="F227" s="4"/>
      <c r="G227" s="5"/>
      <c r="I227" s="9"/>
      <c r="J227" s="9"/>
      <c r="K227" s="9"/>
      <c r="L227" s="103"/>
      <c r="M227" s="108"/>
      <c r="N227" s="9"/>
    </row>
    <row r="228" spans="1:14" ht="13.95" customHeight="1">
      <c r="A228" s="1"/>
      <c r="B228" s="1"/>
      <c r="C228" s="46" t="s">
        <v>231</v>
      </c>
      <c r="D228" s="1"/>
      <c r="E228" s="3"/>
      <c r="F228" s="4"/>
      <c r="G228" s="5"/>
      <c r="I228" s="9"/>
      <c r="J228" s="9"/>
      <c r="K228" s="9"/>
      <c r="L228" s="103"/>
      <c r="M228" s="108"/>
      <c r="N228" s="9"/>
    </row>
    <row r="229" spans="1:14" ht="13.95" customHeight="1">
      <c r="A229" s="1"/>
      <c r="B229" s="1"/>
      <c r="C229" s="47"/>
      <c r="D229" s="35"/>
      <c r="E229" s="3"/>
      <c r="F229" s="4"/>
      <c r="G229" s="5"/>
      <c r="I229" s="9"/>
      <c r="J229" s="9"/>
      <c r="K229" s="9"/>
      <c r="L229" s="103"/>
      <c r="M229" s="108"/>
      <c r="N229" s="9"/>
    </row>
    <row r="230" spans="1:14" ht="48.6" customHeight="1">
      <c r="A230" s="1">
        <f>A226+1</f>
        <v>41</v>
      </c>
      <c r="B230" s="1"/>
      <c r="C230" s="55" t="s">
        <v>75</v>
      </c>
      <c r="D230" s="1" t="s">
        <v>51</v>
      </c>
      <c r="E230" s="3">
        <f>SUM(I230:N230)</f>
        <v>0</v>
      </c>
      <c r="F230" s="3">
        <v>1185</v>
      </c>
      <c r="G230" s="5">
        <f t="shared" ref="G230" si="51">+E230*F230</f>
        <v>0</v>
      </c>
      <c r="I230" s="9"/>
      <c r="J230" s="9"/>
      <c r="K230" s="9"/>
      <c r="L230" s="103"/>
      <c r="M230" s="108"/>
      <c r="N230" s="9"/>
    </row>
    <row r="231" spans="1:14">
      <c r="A231" s="1"/>
      <c r="B231" s="1"/>
      <c r="C231" s="55"/>
      <c r="D231" s="35"/>
      <c r="E231" s="3"/>
      <c r="F231" s="3"/>
      <c r="G231" s="5"/>
      <c r="I231" s="9"/>
      <c r="J231" s="9"/>
      <c r="K231" s="9"/>
      <c r="L231" s="103"/>
      <c r="M231" s="108"/>
      <c r="N231" s="9"/>
    </row>
    <row r="232" spans="1:14">
      <c r="A232" s="1"/>
      <c r="B232" s="1"/>
      <c r="C232" s="55"/>
      <c r="D232" s="35"/>
      <c r="E232" s="3"/>
      <c r="F232" s="3"/>
      <c r="G232" s="5"/>
      <c r="I232" s="9"/>
      <c r="J232" s="9"/>
      <c r="K232" s="9"/>
      <c r="L232" s="103"/>
      <c r="M232" s="108"/>
      <c r="N232" s="9"/>
    </row>
    <row r="233" spans="1:14">
      <c r="A233" s="1"/>
      <c r="B233" s="1"/>
      <c r="C233" s="55"/>
      <c r="D233" s="35"/>
      <c r="E233" s="3"/>
      <c r="F233" s="3"/>
      <c r="G233" s="5"/>
      <c r="I233" s="9"/>
      <c r="J233" s="9"/>
      <c r="K233" s="9"/>
      <c r="L233" s="103"/>
      <c r="M233" s="108"/>
      <c r="N233" s="9"/>
    </row>
    <row r="234" spans="1:14">
      <c r="A234" s="1"/>
      <c r="B234" s="1"/>
      <c r="C234" s="55"/>
      <c r="D234" s="35"/>
      <c r="E234" s="3"/>
      <c r="F234" s="3"/>
      <c r="G234" s="5"/>
      <c r="I234" s="9"/>
      <c r="J234" s="9"/>
      <c r="K234" s="9"/>
      <c r="L234" s="103"/>
      <c r="M234" s="108"/>
      <c r="N234" s="9"/>
    </row>
    <row r="235" spans="1:14">
      <c r="A235" s="1"/>
      <c r="B235" s="1"/>
      <c r="C235" s="55"/>
      <c r="D235" s="35"/>
      <c r="E235" s="3"/>
      <c r="F235" s="3"/>
      <c r="G235" s="5"/>
      <c r="I235" s="9"/>
      <c r="J235" s="9"/>
      <c r="K235" s="9"/>
      <c r="L235" s="103"/>
      <c r="M235" s="108"/>
      <c r="N235" s="9"/>
    </row>
    <row r="236" spans="1:14">
      <c r="A236" s="1"/>
      <c r="B236" s="1"/>
      <c r="C236" s="55"/>
      <c r="D236" s="35"/>
      <c r="E236" s="3"/>
      <c r="F236" s="3"/>
      <c r="G236" s="5"/>
      <c r="I236" s="9"/>
      <c r="J236" s="9"/>
      <c r="K236" s="9"/>
      <c r="L236" s="103"/>
      <c r="M236" s="108"/>
      <c r="N236" s="9"/>
    </row>
    <row r="237" spans="1:14" ht="13.95" customHeight="1">
      <c r="A237" s="1"/>
      <c r="B237" s="1"/>
      <c r="C237" s="55"/>
      <c r="D237" s="35"/>
      <c r="E237" s="3"/>
      <c r="F237" s="4"/>
      <c r="G237" s="5"/>
      <c r="I237" s="9"/>
      <c r="J237" s="9"/>
      <c r="K237" s="9"/>
      <c r="L237" s="103"/>
      <c r="M237" s="108"/>
      <c r="N237" s="9"/>
    </row>
    <row r="238" spans="1:14" ht="13.95" customHeight="1">
      <c r="A238" s="1"/>
      <c r="B238" s="1"/>
      <c r="C238" s="55"/>
      <c r="D238" s="35"/>
      <c r="E238" s="3"/>
      <c r="F238" s="4"/>
      <c r="G238" s="5"/>
      <c r="I238" s="9"/>
      <c r="J238" s="9"/>
      <c r="K238" s="9"/>
      <c r="L238" s="103"/>
      <c r="M238" s="108"/>
      <c r="N238" s="9"/>
    </row>
    <row r="239" spans="1:14" ht="13.95" customHeight="1">
      <c r="A239" s="1"/>
      <c r="B239" s="1"/>
      <c r="C239" s="55"/>
      <c r="D239" s="35"/>
      <c r="E239" s="3"/>
      <c r="F239" s="4"/>
      <c r="G239" s="5"/>
      <c r="I239" s="9"/>
      <c r="J239" s="9"/>
      <c r="K239" s="9"/>
      <c r="L239" s="103"/>
      <c r="M239" s="108"/>
      <c r="N239" s="9"/>
    </row>
    <row r="240" spans="1:14" ht="13.95" customHeight="1">
      <c r="A240" s="1"/>
      <c r="B240" s="1"/>
      <c r="C240" s="55"/>
      <c r="D240" s="35"/>
      <c r="E240" s="3"/>
      <c r="F240" s="4"/>
      <c r="G240" s="5"/>
      <c r="I240" s="9"/>
      <c r="J240" s="9"/>
      <c r="K240" s="9"/>
      <c r="L240" s="103"/>
      <c r="M240" s="108"/>
      <c r="N240" s="9"/>
    </row>
    <row r="241" spans="1:14" ht="13.95" customHeight="1">
      <c r="A241" s="1"/>
      <c r="B241" s="1"/>
      <c r="C241" s="55"/>
      <c r="D241" s="35"/>
      <c r="E241" s="3"/>
      <c r="F241" s="4"/>
      <c r="G241" s="5"/>
      <c r="I241" s="9"/>
      <c r="J241" s="9"/>
      <c r="K241" s="9"/>
      <c r="L241" s="103"/>
      <c r="M241" s="108"/>
      <c r="N241" s="9"/>
    </row>
    <row r="242" spans="1:14" ht="20.100000000000001" customHeight="1">
      <c r="A242" s="149" t="s">
        <v>66</v>
      </c>
      <c r="B242" s="150"/>
      <c r="C242" s="150"/>
      <c r="D242" s="150"/>
      <c r="E242" s="150"/>
      <c r="F242" s="151"/>
      <c r="G242" s="116">
        <f>SUM(G202:G241)</f>
        <v>467117.34</v>
      </c>
      <c r="I242" s="9"/>
      <c r="J242" s="9"/>
      <c r="K242" s="9"/>
      <c r="L242" s="103"/>
      <c r="M242" s="108"/>
      <c r="N242" s="9"/>
    </row>
    <row r="243" spans="1:14" ht="13.95" customHeight="1">
      <c r="A243" s="39"/>
      <c r="B243" s="39"/>
      <c r="C243" s="39"/>
      <c r="D243" s="39"/>
      <c r="E243" s="39"/>
      <c r="F243" s="39"/>
      <c r="G243" s="113"/>
      <c r="I243" s="9"/>
      <c r="J243" s="9"/>
      <c r="K243" s="9"/>
      <c r="L243" s="103"/>
      <c r="M243" s="108"/>
      <c r="N243" s="9"/>
    </row>
    <row r="244" spans="1:14" ht="13.95" customHeight="1">
      <c r="A244" s="39"/>
      <c r="B244" s="39"/>
      <c r="C244" s="39"/>
      <c r="D244" s="39"/>
      <c r="E244" s="39"/>
      <c r="F244" s="39"/>
      <c r="G244" s="113"/>
      <c r="I244" s="9"/>
      <c r="J244" s="9"/>
      <c r="K244" s="9"/>
      <c r="L244" s="103"/>
      <c r="M244" s="108"/>
      <c r="N244" s="9"/>
    </row>
    <row r="245" spans="1:14" ht="22.2" customHeight="1">
      <c r="A245" s="44" t="s">
        <v>8</v>
      </c>
      <c r="B245" s="48" t="s">
        <v>9</v>
      </c>
      <c r="C245" s="44" t="s">
        <v>10</v>
      </c>
      <c r="D245" s="48" t="s">
        <v>11</v>
      </c>
      <c r="E245" s="48" t="s">
        <v>59</v>
      </c>
      <c r="F245" s="49" t="s">
        <v>12</v>
      </c>
      <c r="G245" s="111" t="s">
        <v>13</v>
      </c>
      <c r="I245" s="9"/>
      <c r="J245" s="9"/>
      <c r="K245" s="9"/>
      <c r="L245" s="103"/>
      <c r="M245" s="108"/>
      <c r="N245" s="9"/>
    </row>
    <row r="246" spans="1:14" ht="20.100000000000001" customHeight="1">
      <c r="A246" s="149" t="s">
        <v>67</v>
      </c>
      <c r="B246" s="150"/>
      <c r="C246" s="150"/>
      <c r="D246" s="150"/>
      <c r="E246" s="150"/>
      <c r="F246" s="151"/>
      <c r="G246" s="116">
        <f>+G242</f>
        <v>467117.34</v>
      </c>
      <c r="I246" s="9"/>
      <c r="J246" s="9"/>
      <c r="K246" s="9"/>
      <c r="L246" s="103"/>
      <c r="M246" s="108"/>
      <c r="N246" s="9"/>
    </row>
    <row r="247" spans="1:14" ht="13.95" customHeight="1">
      <c r="A247" s="1"/>
      <c r="B247" s="1"/>
      <c r="C247" s="55"/>
      <c r="D247" s="35"/>
      <c r="E247" s="3"/>
      <c r="F247" s="4"/>
      <c r="G247" s="5"/>
      <c r="I247" s="9"/>
      <c r="J247" s="9"/>
      <c r="K247" s="9"/>
      <c r="L247" s="103"/>
      <c r="M247" s="108"/>
      <c r="N247" s="9"/>
    </row>
    <row r="248" spans="1:14" ht="13.95" customHeight="1">
      <c r="A248" s="1"/>
      <c r="B248" s="1"/>
      <c r="C248" s="56" t="s">
        <v>230</v>
      </c>
      <c r="D248" s="9"/>
      <c r="E248" s="9"/>
      <c r="F248" s="122"/>
      <c r="G248" s="5"/>
      <c r="I248" s="9"/>
      <c r="J248" s="9"/>
      <c r="K248" s="9"/>
      <c r="L248" s="103"/>
      <c r="M248" s="108"/>
      <c r="N248" s="9"/>
    </row>
    <row r="249" spans="1:14" ht="13.95" customHeight="1">
      <c r="A249" s="1"/>
      <c r="B249" s="1"/>
      <c r="C249" s="57"/>
      <c r="D249" s="9"/>
      <c r="E249" s="9"/>
      <c r="F249" s="122"/>
      <c r="G249" s="5"/>
      <c r="I249" s="9"/>
      <c r="J249" s="9"/>
      <c r="K249" s="9"/>
      <c r="L249" s="103"/>
      <c r="M249" s="108"/>
      <c r="N249" s="9"/>
    </row>
    <row r="250" spans="1:14" ht="48" customHeight="1">
      <c r="A250" s="1"/>
      <c r="B250" s="1"/>
      <c r="C250" s="33" t="s">
        <v>242</v>
      </c>
      <c r="D250" s="57"/>
      <c r="E250" s="57"/>
      <c r="F250" s="57"/>
      <c r="G250" s="5"/>
      <c r="I250" s="9"/>
      <c r="J250" s="9"/>
      <c r="K250" s="9"/>
      <c r="L250" s="103"/>
      <c r="M250" s="108"/>
      <c r="N250" s="9"/>
    </row>
    <row r="251" spans="1:14" ht="13.95" customHeight="1">
      <c r="A251" s="1"/>
      <c r="B251" s="1"/>
      <c r="C251" s="33"/>
      <c r="D251" s="9"/>
      <c r="E251" s="9"/>
      <c r="F251" s="122"/>
      <c r="G251" s="5"/>
      <c r="I251" s="9"/>
      <c r="J251" s="9"/>
      <c r="K251" s="9"/>
      <c r="L251" s="103"/>
      <c r="M251" s="108"/>
      <c r="N251" s="9"/>
    </row>
    <row r="252" spans="1:14" ht="25.95" customHeight="1">
      <c r="A252" s="1"/>
      <c r="B252" s="1"/>
      <c r="C252" s="33" t="s">
        <v>232</v>
      </c>
      <c r="D252" s="9"/>
      <c r="E252" s="9"/>
      <c r="F252" s="122"/>
      <c r="G252" s="5"/>
      <c r="I252" s="9"/>
      <c r="J252" s="9"/>
      <c r="K252" s="9"/>
      <c r="L252" s="103"/>
      <c r="M252" s="108"/>
      <c r="N252" s="9"/>
    </row>
    <row r="253" spans="1:14" ht="13.95" customHeight="1">
      <c r="A253" s="1"/>
      <c r="B253" s="1"/>
      <c r="C253" s="33"/>
      <c r="D253" s="9"/>
      <c r="E253" s="9"/>
      <c r="F253" s="122"/>
      <c r="G253" s="5"/>
      <c r="I253" s="9"/>
      <c r="J253" s="9"/>
      <c r="K253" s="9"/>
      <c r="L253" s="103"/>
      <c r="M253" s="108"/>
      <c r="N253" s="9"/>
    </row>
    <row r="254" spans="1:14" ht="38.4" customHeight="1">
      <c r="A254" s="1">
        <f>A230+1</f>
        <v>42</v>
      </c>
      <c r="B254" s="1"/>
      <c r="C254" s="33" t="s">
        <v>233</v>
      </c>
      <c r="D254" s="9" t="s">
        <v>1</v>
      </c>
      <c r="E254" s="3">
        <f>SUM(I254:N254)</f>
        <v>4</v>
      </c>
      <c r="F254" s="144">
        <v>775</v>
      </c>
      <c r="G254" s="5">
        <f t="shared" ref="G254" si="52">+E254*F254</f>
        <v>3100</v>
      </c>
      <c r="I254" s="9"/>
      <c r="J254" s="9"/>
      <c r="K254" s="9"/>
      <c r="L254" s="103"/>
      <c r="M254" s="108">
        <v>4</v>
      </c>
      <c r="N254" s="9"/>
    </row>
    <row r="255" spans="1:14" ht="13.95" customHeight="1">
      <c r="A255" s="1"/>
      <c r="B255" s="1"/>
      <c r="C255" s="33"/>
      <c r="D255" s="9"/>
      <c r="E255" s="9"/>
      <c r="F255" s="144"/>
      <c r="G255" s="5"/>
      <c r="I255" s="9"/>
      <c r="J255" s="9"/>
      <c r="K255" s="9"/>
      <c r="L255" s="103"/>
      <c r="M255" s="108"/>
      <c r="N255" s="9"/>
    </row>
    <row r="256" spans="1:14" ht="25.95" customHeight="1">
      <c r="A256" s="1">
        <f>A254+1</f>
        <v>43</v>
      </c>
      <c r="B256" s="1"/>
      <c r="C256" s="33" t="s">
        <v>228</v>
      </c>
      <c r="D256" s="9" t="s">
        <v>6</v>
      </c>
      <c r="E256" s="3">
        <f>SUM(I256:N256)</f>
        <v>0</v>
      </c>
      <c r="F256" s="144">
        <v>275</v>
      </c>
      <c r="G256" s="5">
        <f t="shared" ref="G256" si="53">+E256*F256</f>
        <v>0</v>
      </c>
      <c r="I256" s="9"/>
      <c r="J256" s="9"/>
      <c r="K256" s="9"/>
      <c r="L256" s="103"/>
      <c r="M256" s="108"/>
      <c r="N256" s="9"/>
    </row>
    <row r="257" spans="1:14" ht="13.95" customHeight="1">
      <c r="A257" s="1"/>
      <c r="B257" s="1"/>
      <c r="C257" s="33"/>
      <c r="D257" s="9"/>
      <c r="E257" s="9"/>
      <c r="F257" s="144"/>
      <c r="G257" s="5"/>
      <c r="I257" s="9"/>
      <c r="J257" s="9"/>
      <c r="K257" s="9"/>
      <c r="L257" s="103"/>
      <c r="M257" s="108"/>
      <c r="N257" s="9"/>
    </row>
    <row r="258" spans="1:14" ht="13.95" customHeight="1">
      <c r="A258" s="1">
        <f>A256+1</f>
        <v>44</v>
      </c>
      <c r="B258" s="1"/>
      <c r="C258" s="33" t="s">
        <v>229</v>
      </c>
      <c r="D258" s="9" t="s">
        <v>6</v>
      </c>
      <c r="E258" s="3">
        <f>SUM(I258:N258)</f>
        <v>0</v>
      </c>
      <c r="F258" s="144">
        <v>650</v>
      </c>
      <c r="G258" s="5">
        <f t="shared" ref="G258" si="54">+E258*F258</f>
        <v>0</v>
      </c>
      <c r="I258" s="9"/>
      <c r="J258" s="9"/>
      <c r="K258" s="9"/>
      <c r="L258" s="103"/>
      <c r="M258" s="108"/>
      <c r="N258" s="9"/>
    </row>
    <row r="259" spans="1:14" ht="13.95" customHeight="1">
      <c r="A259" s="1"/>
      <c r="B259" s="1"/>
      <c r="C259" s="17"/>
      <c r="D259" s="35"/>
      <c r="E259" s="3"/>
      <c r="F259" s="14"/>
      <c r="G259" s="5"/>
      <c r="I259" s="9"/>
      <c r="J259" s="9"/>
      <c r="K259" s="9"/>
      <c r="L259" s="103"/>
      <c r="M259" s="108"/>
      <c r="N259" s="9"/>
    </row>
    <row r="260" spans="1:14">
      <c r="A260" s="16">
        <f>+A258+1</f>
        <v>45</v>
      </c>
      <c r="B260" s="16"/>
      <c r="C260" s="47" t="s">
        <v>241</v>
      </c>
      <c r="D260" s="58" t="s">
        <v>1</v>
      </c>
      <c r="E260" s="3">
        <f>SUM(I260:N260)</f>
        <v>0</v>
      </c>
      <c r="F260" s="13">
        <v>425</v>
      </c>
      <c r="G260" s="15">
        <f t="shared" ref="G260" si="55">+E260*F260</f>
        <v>0</v>
      </c>
      <c r="I260" s="9"/>
      <c r="J260" s="9"/>
      <c r="K260" s="9"/>
      <c r="L260" s="103"/>
      <c r="M260" s="108"/>
      <c r="N260" s="9"/>
    </row>
    <row r="261" spans="1:14" ht="13.95" customHeight="1">
      <c r="A261" s="1"/>
      <c r="B261" s="1"/>
      <c r="C261" s="17"/>
      <c r="D261" s="35"/>
      <c r="E261" s="3"/>
      <c r="F261" s="4"/>
      <c r="G261" s="5"/>
      <c r="I261" s="9"/>
      <c r="J261" s="9"/>
      <c r="K261" s="9"/>
      <c r="L261" s="103"/>
      <c r="M261" s="108"/>
      <c r="N261" s="9"/>
    </row>
    <row r="262" spans="1:14" ht="22.2" customHeight="1">
      <c r="A262" s="1"/>
      <c r="B262" s="51" t="s">
        <v>105</v>
      </c>
      <c r="C262" s="11" t="s">
        <v>204</v>
      </c>
      <c r="D262" s="40"/>
      <c r="E262" s="3"/>
      <c r="F262" s="4"/>
      <c r="G262" s="5"/>
      <c r="I262" s="9"/>
      <c r="J262" s="9"/>
      <c r="K262" s="9"/>
      <c r="L262" s="103"/>
      <c r="M262" s="108"/>
      <c r="N262" s="9"/>
    </row>
    <row r="263" spans="1:14" ht="13.95" customHeight="1">
      <c r="A263" s="1"/>
      <c r="B263" s="51"/>
      <c r="C263" s="6"/>
      <c r="D263" s="9"/>
      <c r="E263" s="3"/>
      <c r="F263" s="4"/>
      <c r="G263" s="5"/>
      <c r="I263" s="9"/>
      <c r="J263" s="9"/>
      <c r="K263" s="9"/>
      <c r="L263" s="103"/>
      <c r="M263" s="108"/>
      <c r="N263" s="9"/>
    </row>
    <row r="264" spans="1:14" ht="13.95" customHeight="1">
      <c r="A264" s="1"/>
      <c r="B264" s="51" t="s">
        <v>92</v>
      </c>
      <c r="C264" s="52" t="s">
        <v>205</v>
      </c>
      <c r="D264" s="9"/>
      <c r="E264" s="3"/>
      <c r="F264" s="4"/>
      <c r="G264" s="5"/>
      <c r="I264" s="9"/>
      <c r="J264" s="9"/>
      <c r="K264" s="9"/>
      <c r="L264" s="103"/>
      <c r="M264" s="108"/>
      <c r="N264" s="9"/>
    </row>
    <row r="265" spans="1:14" ht="13.95" customHeight="1">
      <c r="A265" s="1"/>
      <c r="B265" s="51"/>
      <c r="C265" s="6"/>
      <c r="D265" s="9"/>
      <c r="E265" s="3"/>
      <c r="F265" s="4"/>
      <c r="G265" s="5"/>
      <c r="I265" s="9"/>
      <c r="J265" s="9"/>
      <c r="K265" s="9"/>
      <c r="L265" s="103"/>
      <c r="M265" s="108"/>
      <c r="N265" s="9"/>
    </row>
    <row r="266" spans="1:14" ht="24" customHeight="1">
      <c r="A266" s="1"/>
      <c r="B266" s="51" t="s">
        <v>206</v>
      </c>
      <c r="C266" s="21" t="s">
        <v>207</v>
      </c>
      <c r="D266" s="9"/>
      <c r="E266" s="3"/>
      <c r="F266" s="4"/>
      <c r="G266" s="5"/>
      <c r="I266" s="9"/>
      <c r="J266" s="9"/>
      <c r="K266" s="9"/>
      <c r="L266" s="103"/>
      <c r="M266" s="108"/>
      <c r="N266" s="9"/>
    </row>
    <row r="267" spans="1:14" ht="13.95" customHeight="1">
      <c r="A267" s="1"/>
      <c r="B267" s="51"/>
      <c r="C267" s="6"/>
      <c r="D267" s="9"/>
      <c r="E267" s="3"/>
      <c r="F267" s="4"/>
      <c r="G267" s="5"/>
      <c r="I267" s="9"/>
      <c r="J267" s="9"/>
      <c r="K267" s="9"/>
      <c r="L267" s="103"/>
      <c r="M267" s="108"/>
      <c r="N267" s="9"/>
    </row>
    <row r="268" spans="1:14" ht="13.95" customHeight="1">
      <c r="A268" s="1">
        <f>A260+1</f>
        <v>46</v>
      </c>
      <c r="B268" s="51" t="s">
        <v>208</v>
      </c>
      <c r="C268" s="6" t="s">
        <v>21</v>
      </c>
      <c r="D268" s="9" t="s">
        <v>1</v>
      </c>
      <c r="E268" s="3">
        <f>SUM(I268:N268)</f>
        <v>0</v>
      </c>
      <c r="F268" s="13">
        <v>1950</v>
      </c>
      <c r="G268" s="5">
        <f t="shared" ref="G268" si="56">+E268*F268</f>
        <v>0</v>
      </c>
      <c r="I268" s="9"/>
      <c r="J268" s="9"/>
      <c r="K268" s="9"/>
      <c r="L268" s="103"/>
      <c r="M268" s="108"/>
      <c r="N268" s="9"/>
    </row>
    <row r="269" spans="1:14" ht="13.95" customHeight="1">
      <c r="A269" s="1"/>
      <c r="B269" s="51"/>
      <c r="C269" s="6"/>
      <c r="D269" s="9"/>
      <c r="E269" s="3"/>
      <c r="F269" s="13"/>
      <c r="G269" s="5"/>
      <c r="I269" s="9"/>
      <c r="J269" s="9"/>
      <c r="K269" s="9"/>
      <c r="L269" s="103"/>
      <c r="M269" s="108"/>
      <c r="N269" s="9"/>
    </row>
    <row r="270" spans="1:14" ht="12.6" customHeight="1">
      <c r="A270" s="1">
        <f>A268+1</f>
        <v>47</v>
      </c>
      <c r="B270" s="51" t="s">
        <v>209</v>
      </c>
      <c r="C270" s="18" t="s">
        <v>210</v>
      </c>
      <c r="D270" s="9" t="s">
        <v>6</v>
      </c>
      <c r="E270" s="3">
        <f>SUM(I270:N270)</f>
        <v>0</v>
      </c>
      <c r="F270" s="13">
        <v>350</v>
      </c>
      <c r="G270" s="5">
        <f t="shared" ref="G270" si="57">+E270*F270</f>
        <v>0</v>
      </c>
      <c r="I270" s="9"/>
      <c r="J270" s="9"/>
      <c r="K270" s="9"/>
      <c r="L270" s="103"/>
      <c r="M270" s="108"/>
      <c r="N270" s="9"/>
    </row>
    <row r="271" spans="1:14" ht="12.6" customHeight="1">
      <c r="A271" s="1"/>
      <c r="B271" s="1"/>
      <c r="C271" s="33"/>
      <c r="D271" s="35"/>
      <c r="E271" s="3"/>
      <c r="F271" s="13"/>
      <c r="G271" s="5"/>
      <c r="I271" s="9"/>
      <c r="J271" s="9"/>
      <c r="K271" s="9"/>
      <c r="L271" s="103"/>
      <c r="M271" s="108"/>
      <c r="N271" s="9"/>
    </row>
    <row r="272" spans="1:14" ht="12.6" customHeight="1">
      <c r="A272" s="1"/>
      <c r="B272" s="1"/>
      <c r="C272" s="123" t="s">
        <v>236</v>
      </c>
      <c r="D272" s="35"/>
      <c r="E272" s="3"/>
      <c r="F272" s="13"/>
      <c r="G272" s="5"/>
      <c r="I272" s="9"/>
      <c r="J272" s="9"/>
      <c r="K272" s="9"/>
      <c r="L272" s="103"/>
      <c r="M272" s="108"/>
      <c r="N272" s="9"/>
    </row>
    <row r="273" spans="1:14" ht="12.6" customHeight="1">
      <c r="A273" s="1"/>
      <c r="B273" s="1"/>
      <c r="C273" s="6"/>
      <c r="D273" s="35"/>
      <c r="E273" s="3"/>
      <c r="F273" s="13"/>
      <c r="G273" s="5"/>
      <c r="I273" s="9"/>
      <c r="J273" s="9"/>
      <c r="K273" s="9"/>
      <c r="L273" s="103"/>
      <c r="M273" s="108"/>
      <c r="N273" s="9"/>
    </row>
    <row r="274" spans="1:14" ht="12.6" customHeight="1">
      <c r="A274" s="1"/>
      <c r="B274" s="1"/>
      <c r="C274" s="124" t="s">
        <v>234</v>
      </c>
      <c r="D274" s="35"/>
      <c r="E274" s="3"/>
      <c r="F274" s="13"/>
      <c r="G274" s="5"/>
      <c r="I274" s="9"/>
      <c r="J274" s="9"/>
      <c r="K274" s="9"/>
      <c r="L274" s="103"/>
      <c r="M274" s="108"/>
      <c r="N274" s="9"/>
    </row>
    <row r="275" spans="1:14" ht="12.6" customHeight="1">
      <c r="A275" s="1"/>
      <c r="B275" s="1"/>
      <c r="C275" s="33"/>
      <c r="D275" s="35"/>
      <c r="E275" s="3"/>
      <c r="F275" s="13"/>
      <c r="G275" s="5"/>
      <c r="I275" s="9"/>
      <c r="J275" s="9"/>
      <c r="K275" s="9"/>
      <c r="L275" s="103"/>
      <c r="M275" s="108"/>
      <c r="N275" s="9"/>
    </row>
    <row r="276" spans="1:14" ht="38.4" customHeight="1">
      <c r="A276" s="1">
        <f>A270+1</f>
        <v>48</v>
      </c>
      <c r="B276" s="1"/>
      <c r="C276" s="125" t="s">
        <v>235</v>
      </c>
      <c r="D276" s="1" t="s">
        <v>60</v>
      </c>
      <c r="E276" s="3">
        <f>SUM(I276:N276)</f>
        <v>1</v>
      </c>
      <c r="F276" s="13">
        <v>3750</v>
      </c>
      <c r="G276" s="5">
        <f t="shared" ref="G276" si="58">+E276*F276</f>
        <v>3750</v>
      </c>
      <c r="I276" s="9"/>
      <c r="J276" s="9"/>
      <c r="K276" s="9"/>
      <c r="L276" s="103"/>
      <c r="M276" s="108">
        <v>1</v>
      </c>
      <c r="N276" s="9"/>
    </row>
    <row r="277" spans="1:14" ht="12.6" customHeight="1">
      <c r="A277" s="1"/>
      <c r="B277" s="1"/>
      <c r="C277" s="33"/>
      <c r="D277" s="35"/>
      <c r="E277" s="3"/>
      <c r="F277" s="13"/>
      <c r="G277" s="5"/>
      <c r="I277" s="9"/>
      <c r="J277" s="9"/>
      <c r="K277" s="9"/>
      <c r="L277" s="103"/>
      <c r="M277" s="108"/>
      <c r="N277" s="9"/>
    </row>
    <row r="278" spans="1:14" ht="13.95" customHeight="1">
      <c r="A278" s="1"/>
      <c r="B278" s="1"/>
      <c r="C278" s="34" t="s">
        <v>212</v>
      </c>
      <c r="D278" s="1" t="s">
        <v>64</v>
      </c>
      <c r="E278" s="3"/>
      <c r="F278" s="14"/>
      <c r="G278" s="5"/>
      <c r="I278" s="9"/>
      <c r="J278" s="9"/>
      <c r="K278" s="9"/>
      <c r="L278" s="103"/>
      <c r="M278" s="108"/>
      <c r="N278" s="9"/>
    </row>
    <row r="279" spans="1:14" ht="13.95" customHeight="1">
      <c r="A279" s="1"/>
      <c r="B279" s="1"/>
      <c r="C279" s="33" t="s">
        <v>64</v>
      </c>
      <c r="D279" s="1" t="s">
        <v>64</v>
      </c>
      <c r="E279" s="3"/>
      <c r="F279" s="4"/>
      <c r="G279" s="5"/>
      <c r="I279" s="9"/>
      <c r="J279" s="9"/>
      <c r="K279" s="9"/>
      <c r="L279" s="103"/>
      <c r="M279" s="108"/>
      <c r="N279" s="9"/>
    </row>
    <row r="280" spans="1:14" ht="22.2" customHeight="1">
      <c r="A280" s="1">
        <f>A276+1</f>
        <v>49</v>
      </c>
      <c r="B280" s="1"/>
      <c r="C280" s="33" t="s">
        <v>217</v>
      </c>
      <c r="D280" s="1" t="s">
        <v>60</v>
      </c>
      <c r="E280" s="3">
        <f>SUM(I280:N280)</f>
        <v>124</v>
      </c>
      <c r="F280" s="3">
        <v>885</v>
      </c>
      <c r="G280" s="5">
        <f t="shared" ref="G280" si="59">+E280*F280</f>
        <v>109740</v>
      </c>
      <c r="I280" s="9">
        <v>60</v>
      </c>
      <c r="J280" s="9">
        <v>64</v>
      </c>
      <c r="K280" s="9"/>
      <c r="L280" s="103"/>
      <c r="M280" s="108"/>
      <c r="N280" s="9"/>
    </row>
    <row r="281" spans="1:14">
      <c r="A281" s="1"/>
      <c r="B281" s="1"/>
      <c r="C281" s="33"/>
      <c r="D281" s="35"/>
      <c r="E281" s="3"/>
      <c r="F281" s="3"/>
      <c r="G281" s="5"/>
      <c r="I281" s="9"/>
      <c r="J281" s="9"/>
      <c r="K281" s="9"/>
      <c r="L281" s="103"/>
      <c r="M281" s="108"/>
      <c r="N281" s="9"/>
    </row>
    <row r="282" spans="1:14" ht="13.95" customHeight="1">
      <c r="A282" s="1"/>
      <c r="B282" s="1"/>
      <c r="C282" s="33"/>
      <c r="D282" s="35"/>
      <c r="E282" s="3"/>
      <c r="F282" s="4"/>
      <c r="G282" s="5"/>
      <c r="I282" s="9"/>
      <c r="J282" s="9"/>
      <c r="K282" s="9"/>
      <c r="L282" s="103"/>
      <c r="M282" s="108"/>
      <c r="N282" s="9"/>
    </row>
    <row r="283" spans="1:14" ht="13.95" customHeight="1">
      <c r="A283" s="1"/>
      <c r="B283" s="1"/>
      <c r="C283" s="33"/>
      <c r="D283" s="35"/>
      <c r="E283" s="3"/>
      <c r="F283" s="4"/>
      <c r="G283" s="5"/>
      <c r="I283" s="9"/>
      <c r="J283" s="9"/>
      <c r="K283" s="9"/>
      <c r="L283" s="103"/>
      <c r="M283" s="108"/>
      <c r="N283" s="9"/>
    </row>
    <row r="284" spans="1:14" ht="13.95" customHeight="1">
      <c r="A284" s="1"/>
      <c r="B284" s="1"/>
      <c r="C284" s="33"/>
      <c r="D284" s="35"/>
      <c r="E284" s="3"/>
      <c r="F284" s="4"/>
      <c r="G284" s="5"/>
      <c r="I284" s="9"/>
      <c r="J284" s="9"/>
      <c r="K284" s="9"/>
      <c r="L284" s="103"/>
      <c r="M284" s="108"/>
      <c r="N284" s="9"/>
    </row>
    <row r="285" spans="1:14" ht="20.100000000000001" customHeight="1">
      <c r="A285" s="149" t="s">
        <v>66</v>
      </c>
      <c r="B285" s="150"/>
      <c r="C285" s="150"/>
      <c r="D285" s="150"/>
      <c r="E285" s="150"/>
      <c r="F285" s="151"/>
      <c r="G285" s="116">
        <f>SUM(G246:G284)</f>
        <v>583707.34000000008</v>
      </c>
      <c r="I285" s="9"/>
      <c r="J285" s="9"/>
      <c r="K285" s="9"/>
      <c r="L285" s="103"/>
      <c r="M285" s="108"/>
      <c r="N285" s="9"/>
    </row>
    <row r="286" spans="1:14" ht="13.95" customHeight="1">
      <c r="A286" s="39"/>
      <c r="B286" s="39"/>
      <c r="C286" s="39"/>
      <c r="D286" s="39"/>
      <c r="E286" s="39"/>
      <c r="F286" s="39"/>
      <c r="G286" s="113"/>
      <c r="I286" s="9"/>
      <c r="J286" s="9"/>
      <c r="K286" s="9"/>
      <c r="L286" s="103"/>
      <c r="M286" s="108"/>
      <c r="N286" s="9"/>
    </row>
    <row r="287" spans="1:14" ht="13.95" customHeight="1">
      <c r="A287" s="39"/>
      <c r="B287" s="39"/>
      <c r="C287" s="39"/>
      <c r="D287" s="39"/>
      <c r="E287" s="39"/>
      <c r="F287" s="39"/>
      <c r="G287" s="113"/>
      <c r="I287" s="9"/>
      <c r="J287" s="9"/>
      <c r="K287" s="9"/>
      <c r="L287" s="103"/>
      <c r="M287" s="108"/>
      <c r="N287" s="9"/>
    </row>
    <row r="288" spans="1:14" ht="22.2" customHeight="1">
      <c r="A288" s="44" t="s">
        <v>8</v>
      </c>
      <c r="B288" s="48" t="s">
        <v>9</v>
      </c>
      <c r="C288" s="44" t="s">
        <v>10</v>
      </c>
      <c r="D288" s="48" t="s">
        <v>11</v>
      </c>
      <c r="E288" s="48" t="s">
        <v>59</v>
      </c>
      <c r="F288" s="49" t="s">
        <v>12</v>
      </c>
      <c r="G288" s="111" t="s">
        <v>13</v>
      </c>
      <c r="I288" s="9"/>
      <c r="J288" s="9"/>
      <c r="K288" s="9"/>
      <c r="L288" s="103"/>
      <c r="M288" s="108"/>
      <c r="N288" s="9"/>
    </row>
    <row r="289" spans="1:14" ht="20.100000000000001" customHeight="1">
      <c r="A289" s="149" t="s">
        <v>67</v>
      </c>
      <c r="B289" s="150"/>
      <c r="C289" s="150"/>
      <c r="D289" s="150"/>
      <c r="E289" s="150"/>
      <c r="F289" s="151"/>
      <c r="G289" s="116">
        <f>+G285</f>
        <v>583707.34000000008</v>
      </c>
      <c r="I289" s="9"/>
      <c r="J289" s="9"/>
      <c r="K289" s="9"/>
      <c r="L289" s="103"/>
      <c r="M289" s="108"/>
      <c r="N289" s="9"/>
    </row>
    <row r="290" spans="1:14" ht="13.95" customHeight="1">
      <c r="A290" s="1"/>
      <c r="B290" s="1"/>
      <c r="C290" s="33"/>
      <c r="D290" s="35"/>
      <c r="E290" s="3"/>
      <c r="F290" s="4"/>
      <c r="G290" s="5"/>
      <c r="I290" s="9"/>
      <c r="J290" s="9"/>
      <c r="K290" s="9"/>
      <c r="L290" s="103"/>
      <c r="M290" s="108"/>
      <c r="N290" s="9"/>
    </row>
    <row r="291" spans="1:14" ht="13.95" customHeight="1">
      <c r="A291" s="16"/>
      <c r="B291" s="76" t="s">
        <v>167</v>
      </c>
      <c r="C291" s="74" t="s">
        <v>168</v>
      </c>
      <c r="D291" s="93"/>
      <c r="E291" s="94"/>
      <c r="F291" s="14"/>
      <c r="G291" s="15"/>
      <c r="I291" s="9"/>
      <c r="J291" s="9"/>
      <c r="K291" s="9"/>
      <c r="L291" s="103"/>
      <c r="M291" s="108"/>
      <c r="N291" s="9"/>
    </row>
    <row r="292" spans="1:14" ht="13.95" customHeight="1">
      <c r="A292" s="16"/>
      <c r="B292" s="12"/>
      <c r="C292" s="75"/>
      <c r="D292" s="93"/>
      <c r="E292" s="94"/>
      <c r="F292" s="14"/>
      <c r="G292" s="15"/>
      <c r="I292" s="9"/>
      <c r="J292" s="9"/>
      <c r="K292" s="9"/>
      <c r="L292" s="103"/>
      <c r="M292" s="108"/>
      <c r="N292" s="9"/>
    </row>
    <row r="293" spans="1:14" ht="13.95" customHeight="1">
      <c r="A293" s="16"/>
      <c r="B293" s="12" t="s">
        <v>193</v>
      </c>
      <c r="C293" s="70" t="s">
        <v>164</v>
      </c>
      <c r="D293" s="12"/>
      <c r="E293" s="94"/>
      <c r="F293" s="14"/>
      <c r="G293" s="15"/>
      <c r="I293" s="9"/>
      <c r="J293" s="9"/>
      <c r="K293" s="9"/>
      <c r="L293" s="103"/>
      <c r="M293" s="108"/>
      <c r="N293" s="9"/>
    </row>
    <row r="294" spans="1:14" ht="13.95" customHeight="1">
      <c r="A294" s="16"/>
      <c r="B294" s="73"/>
      <c r="C294" s="62"/>
      <c r="D294" s="12"/>
      <c r="E294" s="94"/>
      <c r="F294" s="14"/>
      <c r="G294" s="15"/>
      <c r="I294" s="9"/>
      <c r="J294" s="9"/>
      <c r="K294" s="9"/>
      <c r="L294" s="103"/>
      <c r="M294" s="108"/>
      <c r="N294" s="9"/>
    </row>
    <row r="295" spans="1:14" ht="13.95" customHeight="1">
      <c r="A295" s="16">
        <v>50</v>
      </c>
      <c r="B295" s="73"/>
      <c r="C295" s="75" t="s">
        <v>112</v>
      </c>
      <c r="D295" s="12" t="s">
        <v>60</v>
      </c>
      <c r="E295" s="3">
        <f>SUM(I295:N295)</f>
        <v>0</v>
      </c>
      <c r="F295" s="13">
        <v>890</v>
      </c>
      <c r="G295" s="15">
        <f>+E295*F295</f>
        <v>0</v>
      </c>
      <c r="I295" s="9"/>
      <c r="J295" s="9"/>
      <c r="K295" s="9"/>
      <c r="L295" s="103"/>
      <c r="M295" s="108"/>
      <c r="N295" s="9"/>
    </row>
    <row r="296" spans="1:14" ht="13.95" customHeight="1">
      <c r="A296" s="16"/>
      <c r="B296" s="73"/>
      <c r="C296" s="62"/>
      <c r="D296" s="12"/>
      <c r="E296" s="94"/>
      <c r="F296" s="14"/>
      <c r="G296" s="15"/>
      <c r="I296" s="9"/>
      <c r="J296" s="9"/>
      <c r="K296" s="9"/>
      <c r="L296" s="103"/>
      <c r="M296" s="108"/>
      <c r="N296" s="9"/>
    </row>
    <row r="297" spans="1:14" ht="13.95" customHeight="1">
      <c r="A297" s="16"/>
      <c r="B297" s="12" t="s">
        <v>195</v>
      </c>
      <c r="C297" s="70" t="s">
        <v>194</v>
      </c>
      <c r="D297" s="12"/>
      <c r="E297" s="94"/>
      <c r="F297" s="14"/>
      <c r="G297" s="15"/>
      <c r="I297" s="9"/>
      <c r="J297" s="9"/>
      <c r="K297" s="9"/>
      <c r="L297" s="103"/>
      <c r="M297" s="108"/>
      <c r="N297" s="9"/>
    </row>
    <row r="298" spans="1:14" ht="13.95" customHeight="1">
      <c r="A298" s="16"/>
      <c r="B298" s="73"/>
      <c r="C298" s="62"/>
      <c r="D298" s="12"/>
      <c r="E298" s="94"/>
      <c r="F298" s="14"/>
      <c r="G298" s="15"/>
      <c r="I298" s="9"/>
      <c r="J298" s="9"/>
      <c r="K298" s="9"/>
      <c r="L298" s="103"/>
      <c r="M298" s="108"/>
      <c r="N298" s="9"/>
    </row>
    <row r="299" spans="1:14" ht="13.95" customHeight="1">
      <c r="A299" s="16">
        <v>51</v>
      </c>
      <c r="B299" s="73"/>
      <c r="C299" s="75" t="s">
        <v>165</v>
      </c>
      <c r="D299" s="12" t="s">
        <v>60</v>
      </c>
      <c r="E299" s="3">
        <f>SUM(I299:N299)</f>
        <v>0</v>
      </c>
      <c r="F299" s="14">
        <v>325</v>
      </c>
      <c r="G299" s="15">
        <f t="shared" ref="G299" si="60">+E299*F299</f>
        <v>0</v>
      </c>
      <c r="I299" s="9"/>
      <c r="J299" s="9"/>
      <c r="K299" s="9"/>
      <c r="L299" s="103"/>
      <c r="M299" s="108"/>
      <c r="N299" s="9"/>
    </row>
    <row r="300" spans="1:14" ht="13.95" customHeight="1">
      <c r="A300" s="16"/>
      <c r="B300" s="12"/>
      <c r="C300" s="75"/>
      <c r="D300" s="93"/>
      <c r="E300" s="94"/>
      <c r="F300" s="14"/>
      <c r="G300" s="15"/>
      <c r="I300" s="9"/>
      <c r="J300" s="9"/>
      <c r="K300" s="9"/>
      <c r="L300" s="103"/>
      <c r="M300" s="108"/>
      <c r="N300" s="9"/>
    </row>
    <row r="301" spans="1:14" ht="24">
      <c r="A301" s="16"/>
      <c r="B301" s="76" t="s">
        <v>169</v>
      </c>
      <c r="C301" s="46" t="s">
        <v>216</v>
      </c>
      <c r="D301" s="12"/>
      <c r="E301" s="12"/>
      <c r="F301" s="145"/>
      <c r="G301" s="15"/>
      <c r="I301" s="9"/>
      <c r="J301" s="9"/>
      <c r="K301" s="9"/>
      <c r="L301" s="103"/>
      <c r="M301" s="108"/>
      <c r="N301" s="9"/>
    </row>
    <row r="302" spans="1:14" ht="13.95" customHeight="1">
      <c r="A302" s="16"/>
      <c r="B302" s="76"/>
      <c r="C302" s="75"/>
      <c r="D302" s="12"/>
      <c r="E302" s="12"/>
      <c r="F302" s="145"/>
      <c r="G302" s="15"/>
      <c r="I302" s="9"/>
      <c r="J302" s="9"/>
      <c r="K302" s="9"/>
      <c r="L302" s="103"/>
      <c r="M302" s="108"/>
      <c r="N302" s="9"/>
    </row>
    <row r="303" spans="1:14" ht="13.95" customHeight="1">
      <c r="A303" s="16"/>
      <c r="B303" s="76" t="s">
        <v>169</v>
      </c>
      <c r="C303" s="75" t="s">
        <v>170</v>
      </c>
      <c r="D303" s="12"/>
      <c r="E303" s="12"/>
      <c r="F303" s="145"/>
      <c r="G303" s="15"/>
      <c r="I303" s="9"/>
      <c r="J303" s="9"/>
      <c r="K303" s="9"/>
      <c r="L303" s="103"/>
      <c r="M303" s="108"/>
      <c r="N303" s="9"/>
    </row>
    <row r="304" spans="1:14" ht="13.95" customHeight="1">
      <c r="A304" s="16"/>
      <c r="B304" s="76"/>
      <c r="C304" s="75"/>
      <c r="D304" s="12"/>
      <c r="E304" s="12"/>
      <c r="F304" s="145"/>
      <c r="G304" s="15"/>
      <c r="I304" s="9"/>
      <c r="J304" s="9"/>
      <c r="K304" s="9"/>
      <c r="L304" s="103"/>
      <c r="M304" s="108"/>
      <c r="N304" s="9"/>
    </row>
    <row r="305" spans="1:15" ht="13.95" customHeight="1">
      <c r="A305" s="16">
        <v>52</v>
      </c>
      <c r="B305" s="76" t="s">
        <v>171</v>
      </c>
      <c r="C305" s="75" t="s">
        <v>172</v>
      </c>
      <c r="D305" s="12" t="s">
        <v>60</v>
      </c>
      <c r="E305" s="3">
        <f>SUM(I305:N305)</f>
        <v>0</v>
      </c>
      <c r="F305" s="94">
        <v>275</v>
      </c>
      <c r="G305" s="15">
        <f t="shared" ref="G305:G313" si="61">+E305*F305</f>
        <v>0</v>
      </c>
      <c r="I305" s="9"/>
      <c r="J305" s="9"/>
      <c r="K305" s="9"/>
      <c r="L305" s="103"/>
      <c r="M305" s="108"/>
      <c r="N305" s="9"/>
    </row>
    <row r="306" spans="1:15" ht="13.95" customHeight="1">
      <c r="A306" s="16"/>
      <c r="B306" s="12"/>
      <c r="C306" s="75"/>
      <c r="D306" s="93"/>
      <c r="E306" s="94"/>
      <c r="F306" s="14"/>
      <c r="G306" s="15"/>
      <c r="I306" s="9"/>
      <c r="J306" s="9"/>
      <c r="K306" s="9"/>
      <c r="L306" s="103"/>
      <c r="M306" s="108"/>
      <c r="N306" s="9"/>
    </row>
    <row r="307" spans="1:15" ht="13.95" customHeight="1">
      <c r="A307" s="16"/>
      <c r="B307" s="12" t="s">
        <v>102</v>
      </c>
      <c r="C307" s="74" t="s">
        <v>166</v>
      </c>
      <c r="D307" s="12"/>
      <c r="E307" s="94"/>
      <c r="F307" s="14"/>
      <c r="G307" s="15"/>
      <c r="I307" s="9"/>
      <c r="J307" s="9"/>
      <c r="K307" s="9"/>
      <c r="L307" s="103"/>
      <c r="M307" s="108"/>
      <c r="N307" s="9"/>
    </row>
    <row r="308" spans="1:15" ht="13.95" customHeight="1">
      <c r="A308" s="16"/>
      <c r="B308" s="12"/>
      <c r="C308" s="95"/>
      <c r="D308" s="12"/>
      <c r="E308" s="94"/>
      <c r="F308" s="14"/>
      <c r="G308" s="15"/>
      <c r="I308" s="9"/>
      <c r="J308" s="9"/>
      <c r="K308" s="103"/>
      <c r="L308" s="103"/>
      <c r="M308" s="108"/>
      <c r="N308" s="9"/>
    </row>
    <row r="309" spans="1:15" ht="13.95" customHeight="1">
      <c r="A309" s="16"/>
      <c r="B309" s="12"/>
      <c r="C309" s="75" t="s">
        <v>78</v>
      </c>
      <c r="D309" s="12"/>
      <c r="E309" s="94"/>
      <c r="F309" s="14"/>
      <c r="G309" s="15"/>
      <c r="I309" s="103"/>
      <c r="J309" s="103"/>
      <c r="K309" s="103"/>
      <c r="L309" s="103"/>
      <c r="M309" s="134"/>
      <c r="N309" s="9"/>
    </row>
    <row r="310" spans="1:15" ht="13.95" customHeight="1">
      <c r="A310" s="16"/>
      <c r="B310" s="12"/>
      <c r="C310" s="75"/>
      <c r="D310" s="12"/>
      <c r="E310" s="94"/>
      <c r="F310" s="14"/>
      <c r="G310" s="15"/>
      <c r="I310" s="103"/>
      <c r="J310" s="103"/>
      <c r="K310" s="103"/>
      <c r="L310" s="103"/>
      <c r="M310" s="134"/>
      <c r="N310" s="9"/>
    </row>
    <row r="311" spans="1:15" ht="36">
      <c r="A311" s="16">
        <v>53</v>
      </c>
      <c r="B311" s="12"/>
      <c r="C311" s="47" t="s">
        <v>203</v>
      </c>
      <c r="D311" s="12" t="s">
        <v>6</v>
      </c>
      <c r="E311" s="3">
        <f>SUM(I311:N311)</f>
        <v>0</v>
      </c>
      <c r="F311" s="13">
        <v>16000</v>
      </c>
      <c r="G311" s="15">
        <f t="shared" si="61"/>
        <v>0</v>
      </c>
      <c r="I311" s="103"/>
      <c r="J311" s="103"/>
      <c r="K311" s="103"/>
      <c r="L311" s="103"/>
      <c r="M311" s="134"/>
      <c r="N311" s="103"/>
      <c r="O311" s="41"/>
    </row>
    <row r="312" spans="1:15" ht="13.95" customHeight="1">
      <c r="A312" s="16"/>
      <c r="B312" s="12"/>
      <c r="C312" s="75"/>
      <c r="D312" s="93"/>
      <c r="E312" s="94"/>
      <c r="F312" s="13"/>
      <c r="G312" s="15"/>
      <c r="I312" s="103"/>
      <c r="J312" s="103"/>
      <c r="K312" s="103"/>
      <c r="L312" s="103"/>
      <c r="M312" s="134"/>
      <c r="N312" s="103"/>
      <c r="O312" s="41"/>
    </row>
    <row r="313" spans="1:15" ht="36">
      <c r="A313" s="16">
        <v>54</v>
      </c>
      <c r="B313" s="12"/>
      <c r="C313" s="47" t="s">
        <v>286</v>
      </c>
      <c r="D313" s="12" t="s">
        <v>6</v>
      </c>
      <c r="E313" s="3">
        <f>SUM(I313:N313)</f>
        <v>0</v>
      </c>
      <c r="F313" s="13">
        <v>65000</v>
      </c>
      <c r="G313" s="15">
        <f t="shared" si="61"/>
        <v>0</v>
      </c>
      <c r="I313" s="103"/>
      <c r="J313" s="103"/>
      <c r="K313" s="103"/>
      <c r="L313" s="103"/>
      <c r="M313" s="134"/>
      <c r="N313" s="103"/>
      <c r="O313" s="41"/>
    </row>
    <row r="314" spans="1:15" ht="13.95" customHeight="1">
      <c r="A314" s="16"/>
      <c r="B314" s="12"/>
      <c r="C314" s="75"/>
      <c r="D314" s="93"/>
      <c r="E314" s="3"/>
      <c r="F314" s="13"/>
      <c r="G314" s="15"/>
      <c r="I314" s="103"/>
      <c r="J314" s="103"/>
      <c r="K314" s="103"/>
      <c r="L314" s="103"/>
      <c r="M314" s="134"/>
      <c r="N314" s="103"/>
      <c r="O314" s="41"/>
    </row>
    <row r="315" spans="1:15" ht="13.95" customHeight="1">
      <c r="A315" s="16"/>
      <c r="B315" s="12"/>
      <c r="C315" s="75"/>
      <c r="D315" s="93"/>
      <c r="E315" s="3"/>
      <c r="F315" s="13"/>
      <c r="G315" s="15"/>
      <c r="I315" s="103"/>
      <c r="J315" s="103"/>
      <c r="K315" s="103"/>
      <c r="L315" s="103"/>
      <c r="M315" s="134"/>
      <c r="N315" s="103"/>
      <c r="O315" s="41"/>
    </row>
    <row r="316" spans="1:15" ht="13.95" customHeight="1">
      <c r="A316" s="16"/>
      <c r="B316" s="12"/>
      <c r="C316" s="75"/>
      <c r="D316" s="93"/>
      <c r="E316" s="3"/>
      <c r="F316" s="13"/>
      <c r="G316" s="15"/>
      <c r="I316" s="103"/>
      <c r="J316" s="103"/>
      <c r="K316" s="103"/>
      <c r="L316" s="103"/>
      <c r="M316" s="134"/>
      <c r="N316" s="103"/>
      <c r="O316" s="41"/>
    </row>
    <row r="317" spans="1:15" ht="13.95" customHeight="1">
      <c r="A317" s="16"/>
      <c r="B317" s="12"/>
      <c r="C317" s="75"/>
      <c r="D317" s="93"/>
      <c r="E317" s="3"/>
      <c r="F317" s="13"/>
      <c r="G317" s="15"/>
      <c r="I317" s="103"/>
      <c r="J317" s="103"/>
      <c r="K317" s="103"/>
      <c r="L317" s="103"/>
      <c r="M317" s="134"/>
      <c r="N317" s="103"/>
      <c r="O317" s="41"/>
    </row>
    <row r="318" spans="1:15" ht="13.95" customHeight="1">
      <c r="A318" s="16"/>
      <c r="B318" s="12"/>
      <c r="C318" s="75"/>
      <c r="D318" s="93"/>
      <c r="E318" s="3"/>
      <c r="F318" s="13"/>
      <c r="G318" s="15"/>
      <c r="I318" s="103"/>
      <c r="J318" s="103"/>
      <c r="K318" s="103"/>
      <c r="L318" s="103"/>
      <c r="M318" s="134"/>
      <c r="N318" s="103"/>
      <c r="O318" s="41"/>
    </row>
    <row r="319" spans="1:15" ht="13.95" customHeight="1">
      <c r="A319" s="16"/>
      <c r="B319" s="12"/>
      <c r="C319" s="75"/>
      <c r="D319" s="93"/>
      <c r="E319" s="3"/>
      <c r="F319" s="13"/>
      <c r="G319" s="15"/>
      <c r="I319" s="103"/>
      <c r="J319" s="103"/>
      <c r="K319" s="103"/>
      <c r="L319" s="103"/>
      <c r="M319" s="134"/>
      <c r="N319" s="103"/>
      <c r="O319" s="41"/>
    </row>
    <row r="320" spans="1:15" ht="13.95" customHeight="1">
      <c r="A320" s="16"/>
      <c r="B320" s="12"/>
      <c r="C320" s="75"/>
      <c r="D320" s="93"/>
      <c r="E320" s="3"/>
      <c r="F320" s="13"/>
      <c r="G320" s="15"/>
      <c r="I320" s="103"/>
      <c r="J320" s="103"/>
      <c r="K320" s="103"/>
      <c r="L320" s="103"/>
      <c r="M320" s="134"/>
      <c r="N320" s="103"/>
      <c r="O320" s="41"/>
    </row>
    <row r="321" spans="1:15" ht="13.95" customHeight="1">
      <c r="A321" s="16"/>
      <c r="B321" s="12"/>
      <c r="C321" s="75"/>
      <c r="D321" s="93"/>
      <c r="E321" s="3"/>
      <c r="F321" s="13"/>
      <c r="G321" s="15"/>
      <c r="I321" s="103"/>
      <c r="J321" s="103"/>
      <c r="K321" s="103"/>
      <c r="L321" s="103"/>
      <c r="M321" s="134"/>
      <c r="N321" s="103"/>
      <c r="O321" s="41"/>
    </row>
    <row r="322" spans="1:15" ht="13.95" customHeight="1">
      <c r="A322" s="16"/>
      <c r="B322" s="12"/>
      <c r="C322" s="75"/>
      <c r="D322" s="93"/>
      <c r="E322" s="3"/>
      <c r="F322" s="13"/>
      <c r="G322" s="15"/>
      <c r="I322" s="103"/>
      <c r="J322" s="103"/>
      <c r="K322" s="103"/>
      <c r="L322" s="103"/>
      <c r="M322" s="134"/>
      <c r="N322" s="103"/>
      <c r="O322" s="41"/>
    </row>
    <row r="323" spans="1:15" ht="13.95" customHeight="1">
      <c r="A323" s="16"/>
      <c r="B323" s="12"/>
      <c r="C323" s="75"/>
      <c r="D323" s="93"/>
      <c r="E323" s="3"/>
      <c r="F323" s="13"/>
      <c r="G323" s="15"/>
      <c r="I323" s="103"/>
      <c r="J323" s="103"/>
      <c r="K323" s="103"/>
      <c r="L323" s="103"/>
      <c r="M323" s="134"/>
      <c r="N323" s="103"/>
      <c r="O323" s="41"/>
    </row>
    <row r="324" spans="1:15" ht="13.95" customHeight="1">
      <c r="A324" s="16"/>
      <c r="B324" s="12"/>
      <c r="C324" s="75"/>
      <c r="D324" s="93"/>
      <c r="E324" s="3"/>
      <c r="F324" s="13"/>
      <c r="G324" s="15"/>
      <c r="I324" s="103"/>
      <c r="J324" s="103"/>
      <c r="K324" s="103"/>
      <c r="L324" s="103"/>
      <c r="M324" s="134"/>
      <c r="N324" s="103"/>
      <c r="O324" s="41"/>
    </row>
    <row r="325" spans="1:15" ht="13.95" customHeight="1">
      <c r="A325" s="16"/>
      <c r="B325" s="12"/>
      <c r="C325" s="75"/>
      <c r="D325" s="93"/>
      <c r="E325" s="3"/>
      <c r="F325" s="13"/>
      <c r="G325" s="15"/>
      <c r="I325" s="103"/>
      <c r="J325" s="103"/>
      <c r="K325" s="103"/>
      <c r="L325" s="103"/>
      <c r="M325" s="134"/>
      <c r="N325" s="103"/>
      <c r="O325" s="41"/>
    </row>
    <row r="326" spans="1:15" ht="13.95" customHeight="1">
      <c r="A326" s="16"/>
      <c r="B326" s="12"/>
      <c r="C326" s="75"/>
      <c r="D326" s="93"/>
      <c r="E326" s="3"/>
      <c r="F326" s="13"/>
      <c r="G326" s="15"/>
      <c r="I326" s="103"/>
      <c r="J326" s="103"/>
      <c r="K326" s="103"/>
      <c r="L326" s="103"/>
      <c r="M326" s="134"/>
      <c r="N326" s="103"/>
      <c r="O326" s="41"/>
    </row>
    <row r="327" spans="1:15" ht="13.95" customHeight="1">
      <c r="A327" s="16"/>
      <c r="B327" s="12"/>
      <c r="C327" s="75"/>
      <c r="D327" s="93"/>
      <c r="E327" s="3"/>
      <c r="F327" s="13"/>
      <c r="G327" s="15"/>
      <c r="I327" s="103"/>
      <c r="J327" s="103"/>
      <c r="K327" s="103"/>
      <c r="L327" s="103"/>
      <c r="M327" s="134"/>
      <c r="N327" s="103"/>
      <c r="O327" s="41"/>
    </row>
    <row r="328" spans="1:15" ht="13.95" customHeight="1">
      <c r="A328" s="16"/>
      <c r="B328" s="12"/>
      <c r="C328" s="75"/>
      <c r="D328" s="93"/>
      <c r="E328" s="3"/>
      <c r="F328" s="13"/>
      <c r="G328" s="15"/>
      <c r="I328" s="103"/>
      <c r="J328" s="103"/>
      <c r="K328" s="103"/>
      <c r="L328" s="103"/>
      <c r="M328" s="134"/>
      <c r="N328" s="103"/>
      <c r="O328" s="41"/>
    </row>
    <row r="329" spans="1:15" ht="13.95" customHeight="1">
      <c r="A329" s="16"/>
      <c r="B329" s="12"/>
      <c r="C329" s="75"/>
      <c r="D329" s="93"/>
      <c r="E329" s="3"/>
      <c r="F329" s="13"/>
      <c r="G329" s="15"/>
      <c r="I329" s="103"/>
      <c r="J329" s="103"/>
      <c r="K329" s="103"/>
      <c r="L329" s="103"/>
      <c r="M329" s="134"/>
      <c r="N329" s="103"/>
      <c r="O329" s="41"/>
    </row>
    <row r="330" spans="1:15" ht="13.95" customHeight="1">
      <c r="A330" s="16"/>
      <c r="B330" s="12"/>
      <c r="C330" s="75"/>
      <c r="D330" s="93"/>
      <c r="E330" s="3"/>
      <c r="F330" s="13"/>
      <c r="G330" s="15"/>
      <c r="I330" s="103"/>
      <c r="J330" s="103"/>
      <c r="K330" s="103"/>
      <c r="L330" s="103"/>
      <c r="M330" s="134"/>
      <c r="N330" s="103"/>
      <c r="O330" s="41"/>
    </row>
    <row r="331" spans="1:15" ht="13.95" customHeight="1">
      <c r="A331" s="16"/>
      <c r="B331" s="16"/>
      <c r="C331" s="47"/>
      <c r="D331" s="58"/>
      <c r="E331" s="13"/>
      <c r="F331" s="14"/>
      <c r="G331" s="15"/>
      <c r="I331" s="105"/>
      <c r="J331" s="105"/>
      <c r="K331" s="105"/>
      <c r="L331" s="105"/>
      <c r="M331" s="135"/>
      <c r="N331" s="53"/>
      <c r="O331" s="41"/>
    </row>
    <row r="332" spans="1:15">
      <c r="A332" s="16"/>
      <c r="B332" s="16"/>
      <c r="C332" s="47"/>
      <c r="D332" s="58"/>
      <c r="E332" s="13"/>
      <c r="F332" s="14"/>
      <c r="G332" s="15"/>
    </row>
    <row r="333" spans="1:15">
      <c r="A333" s="16"/>
      <c r="B333" s="16"/>
      <c r="C333" s="47"/>
      <c r="D333" s="58"/>
      <c r="E333" s="13"/>
      <c r="F333" s="14"/>
      <c r="G333" s="15"/>
    </row>
    <row r="334" spans="1:15">
      <c r="A334" s="16"/>
      <c r="B334" s="16"/>
      <c r="C334" s="47"/>
      <c r="D334" s="58"/>
      <c r="E334" s="13"/>
      <c r="F334" s="14"/>
      <c r="G334" s="15"/>
    </row>
    <row r="335" spans="1:15" ht="20.399999999999999" customHeight="1">
      <c r="A335" s="156" t="s">
        <v>161</v>
      </c>
      <c r="B335" s="157"/>
      <c r="C335" s="157"/>
      <c r="D335" s="157"/>
      <c r="E335" s="157"/>
      <c r="F335" s="158"/>
      <c r="G335" s="78">
        <f>SUM(G289:G334)</f>
        <v>583707.34000000008</v>
      </c>
    </row>
  </sheetData>
  <mergeCells count="13">
    <mergeCell ref="A152:F152"/>
    <mergeCell ref="A48:F48"/>
    <mergeCell ref="A52:F52"/>
    <mergeCell ref="A96:F96"/>
    <mergeCell ref="A100:F100"/>
    <mergeCell ref="A148:F148"/>
    <mergeCell ref="A335:F335"/>
    <mergeCell ref="A198:F198"/>
    <mergeCell ref="A202:F202"/>
    <mergeCell ref="A242:F242"/>
    <mergeCell ref="A246:F246"/>
    <mergeCell ref="A285:F285"/>
    <mergeCell ref="A289:F289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E2A41-A21C-446C-9A32-49255ECD3DC5}">
  <dimension ref="A1:O335"/>
  <sheetViews>
    <sheetView showGridLines="0" view="pageBreakPreview" topLeftCell="A2" zoomScaleNormal="100" zoomScaleSheetLayoutView="100" workbookViewId="0">
      <selection activeCell="I2" sqref="I1:N1048576"/>
    </sheetView>
  </sheetViews>
  <sheetFormatPr defaultColWidth="13.109375" defaultRowHeight="12"/>
  <cols>
    <col min="1" max="1" width="4.88671875" style="22" customWidth="1"/>
    <col min="2" max="2" width="8.33203125" style="20" customWidth="1"/>
    <col min="3" max="3" width="40.6640625" style="21" customWidth="1"/>
    <col min="4" max="4" width="5.109375" style="22" customWidth="1"/>
    <col min="5" max="5" width="7.6640625" style="22" customWidth="1"/>
    <col min="6" max="6" width="8.6640625" style="23" customWidth="1"/>
    <col min="7" max="7" width="11.6640625" style="24" customWidth="1"/>
    <col min="8" max="8" width="4.33203125" style="6" customWidth="1"/>
    <col min="9" max="9" width="11.33203125" style="22" hidden="1" customWidth="1"/>
    <col min="10" max="10" width="11.109375" style="22" hidden="1" customWidth="1"/>
    <col min="11" max="11" width="10.88671875" style="22" hidden="1" customWidth="1"/>
    <col min="12" max="12" width="11.6640625" style="22" hidden="1" customWidth="1"/>
    <col min="13" max="13" width="13.109375" style="106" hidden="1" customWidth="1"/>
    <col min="14" max="14" width="0" style="22" hidden="1" customWidth="1"/>
    <col min="15" max="16384" width="13.109375" style="6"/>
  </cols>
  <sheetData>
    <row r="1" spans="1:14" ht="20.399999999999999" hidden="1" customHeight="1">
      <c r="A1" s="19" t="s">
        <v>80</v>
      </c>
    </row>
    <row r="2" spans="1:14" ht="15" customHeight="1">
      <c r="A2" s="142" t="str">
        <f>Summary!A2</f>
        <v>NAFASI WATER - ARNOT WASTE TREATMENT PLANT</v>
      </c>
      <c r="G2" s="25" t="str">
        <f>Summary!C2</f>
        <v>Revision T1</v>
      </c>
    </row>
    <row r="3" spans="1:14" ht="15" customHeight="1">
      <c r="A3" s="19" t="str">
        <f>Summary!A3</f>
        <v>PILING AND CIVIL WORK</v>
      </c>
      <c r="G3" s="26"/>
    </row>
    <row r="4" spans="1:14" ht="15" customHeight="1">
      <c r="A4" s="19" t="s">
        <v>277</v>
      </c>
      <c r="G4" s="143">
        <f>Summary!C4</f>
        <v>45183</v>
      </c>
    </row>
    <row r="5" spans="1:14" ht="15" customHeight="1">
      <c r="A5" s="27"/>
      <c r="B5" s="28"/>
      <c r="C5" s="28"/>
      <c r="E5" s="29"/>
      <c r="G5" s="30"/>
    </row>
    <row r="6" spans="1:14" s="42" customFormat="1" ht="37.200000000000003" customHeight="1">
      <c r="A6" s="44" t="s">
        <v>8</v>
      </c>
      <c r="B6" s="48" t="s">
        <v>9</v>
      </c>
      <c r="C6" s="44" t="s">
        <v>10</v>
      </c>
      <c r="D6" s="48" t="s">
        <v>11</v>
      </c>
      <c r="E6" s="48" t="s">
        <v>59</v>
      </c>
      <c r="F6" s="49" t="s">
        <v>12</v>
      </c>
      <c r="G6" s="49" t="s">
        <v>13</v>
      </c>
      <c r="I6" s="100" t="s">
        <v>245</v>
      </c>
      <c r="J6" s="100" t="s">
        <v>275</v>
      </c>
      <c r="K6" s="100" t="s">
        <v>272</v>
      </c>
      <c r="L6" s="101"/>
      <c r="M6" s="100"/>
      <c r="N6" s="48"/>
    </row>
    <row r="7" spans="1:14" s="42" customFormat="1" ht="4.95" customHeight="1">
      <c r="A7" s="2"/>
      <c r="B7" s="40"/>
      <c r="C7" s="50"/>
      <c r="D7" s="40"/>
      <c r="E7" s="40"/>
      <c r="F7" s="54"/>
      <c r="G7" s="54"/>
      <c r="I7" s="40"/>
      <c r="J7" s="40"/>
      <c r="K7" s="40"/>
      <c r="L7" s="102"/>
      <c r="M7" s="107"/>
      <c r="N7" s="109"/>
    </row>
    <row r="8" spans="1:14" ht="19.2" customHeight="1">
      <c r="A8" s="1"/>
      <c r="B8" s="2"/>
      <c r="C8" s="11" t="s">
        <v>278</v>
      </c>
      <c r="D8" s="1"/>
      <c r="E8" s="1"/>
      <c r="F8" s="4"/>
      <c r="G8" s="5"/>
      <c r="I8" s="9"/>
      <c r="J8" s="9"/>
      <c r="K8" s="9"/>
      <c r="L8" s="103"/>
      <c r="M8" s="108"/>
      <c r="N8" s="9"/>
    </row>
    <row r="9" spans="1:14" ht="10.95" customHeight="1">
      <c r="A9" s="1"/>
      <c r="B9" s="2"/>
      <c r="C9" s="11"/>
      <c r="D9" s="1"/>
      <c r="E9" s="1"/>
      <c r="F9" s="4"/>
      <c r="G9" s="5"/>
      <c r="I9" s="9"/>
      <c r="J9" s="9"/>
      <c r="K9" s="9"/>
      <c r="L9" s="103"/>
      <c r="M9" s="108"/>
      <c r="N9" s="9"/>
    </row>
    <row r="10" spans="1:14" ht="22.2" customHeight="1">
      <c r="A10" s="1"/>
      <c r="B10" s="1" t="s">
        <v>22</v>
      </c>
      <c r="C10" s="34" t="s">
        <v>69</v>
      </c>
      <c r="D10" s="1"/>
      <c r="E10" s="3" t="str">
        <f>IF(SUM(H10:M10)&gt;0,SUM(H10:M10),"")</f>
        <v/>
      </c>
      <c r="F10" s="4"/>
      <c r="G10" s="5"/>
      <c r="I10" s="9"/>
      <c r="J10" s="9"/>
      <c r="K10" s="9"/>
      <c r="L10" s="103"/>
      <c r="M10" s="108"/>
      <c r="N10" s="9"/>
    </row>
    <row r="11" spans="1:14" ht="13.95" customHeight="1">
      <c r="A11" s="1"/>
      <c r="B11" s="1"/>
      <c r="C11" s="34"/>
      <c r="D11" s="1"/>
      <c r="E11" s="3" t="str">
        <f>IF(SUM(H11:M11)&gt;0,SUM(H11:M11),"")</f>
        <v/>
      </c>
      <c r="F11" s="4"/>
      <c r="G11" s="5"/>
      <c r="I11" s="9"/>
      <c r="J11" s="9"/>
      <c r="K11" s="9"/>
      <c r="L11" s="103"/>
      <c r="M11" s="108"/>
      <c r="N11" s="9"/>
    </row>
    <row r="12" spans="1:14" ht="13.95" customHeight="1">
      <c r="A12" s="1"/>
      <c r="B12" s="1"/>
      <c r="C12" s="32" t="s">
        <v>55</v>
      </c>
      <c r="D12" s="1"/>
      <c r="E12" s="3" t="str">
        <f>IF(SUM(H12:M12)&gt;0,SUM(H12:M12),"")</f>
        <v/>
      </c>
      <c r="F12" s="4"/>
      <c r="G12" s="5"/>
      <c r="I12" s="9"/>
      <c r="J12" s="9"/>
      <c r="K12" s="9"/>
      <c r="L12" s="103"/>
      <c r="M12" s="108"/>
      <c r="N12" s="9"/>
    </row>
    <row r="13" spans="1:14" ht="13.95" customHeight="1">
      <c r="A13" s="1"/>
      <c r="B13" s="1"/>
      <c r="C13" s="32"/>
      <c r="D13" s="1"/>
      <c r="E13" s="3" t="str">
        <f>IF(SUM(H13:M13)&gt;0,SUM(H13:M13),"")</f>
        <v/>
      </c>
      <c r="F13" s="4"/>
      <c r="G13" s="5"/>
      <c r="I13" s="9"/>
      <c r="J13" s="9"/>
      <c r="K13" s="9"/>
      <c r="L13" s="103"/>
      <c r="M13" s="108"/>
      <c r="N13" s="9"/>
    </row>
    <row r="14" spans="1:14" ht="22.2" customHeight="1">
      <c r="A14" s="1">
        <v>1</v>
      </c>
      <c r="B14" s="1"/>
      <c r="C14" s="33" t="s">
        <v>218</v>
      </c>
      <c r="D14" s="1" t="s">
        <v>6</v>
      </c>
      <c r="E14" s="3">
        <f>SUM(I14:N14)</f>
        <v>0</v>
      </c>
      <c r="F14" s="13">
        <v>1150</v>
      </c>
      <c r="G14" s="5">
        <f t="shared" ref="G14" si="0">+E14*F14</f>
        <v>0</v>
      </c>
      <c r="I14" s="137">
        <v>0</v>
      </c>
      <c r="J14" s="137">
        <v>0</v>
      </c>
      <c r="K14" s="137">
        <v>0</v>
      </c>
      <c r="L14" s="137">
        <v>0</v>
      </c>
      <c r="M14" s="137">
        <v>0</v>
      </c>
      <c r="N14" s="137">
        <v>0</v>
      </c>
    </row>
    <row r="15" spans="1:14" ht="13.95" customHeight="1">
      <c r="A15" s="1"/>
      <c r="B15" s="1"/>
      <c r="C15" s="32"/>
      <c r="D15" s="1"/>
      <c r="E15" s="3"/>
      <c r="F15" s="14"/>
      <c r="G15" s="5"/>
      <c r="I15" s="13"/>
      <c r="J15" s="13"/>
      <c r="K15" s="13"/>
      <c r="L15" s="13"/>
      <c r="M15" s="13"/>
      <c r="N15" s="13"/>
    </row>
    <row r="16" spans="1:14" ht="13.95" customHeight="1">
      <c r="A16" s="1"/>
      <c r="B16" s="1"/>
      <c r="C16" s="32" t="s">
        <v>221</v>
      </c>
      <c r="D16" s="1"/>
      <c r="E16" s="3"/>
      <c r="F16" s="14"/>
      <c r="G16" s="5"/>
      <c r="I16" s="13"/>
      <c r="J16" s="13"/>
      <c r="K16" s="13"/>
      <c r="L16" s="13"/>
      <c r="M16" s="13"/>
      <c r="N16" s="13"/>
    </row>
    <row r="17" spans="1:14" ht="34.950000000000003" customHeight="1">
      <c r="A17" s="1"/>
      <c r="B17" s="1"/>
      <c r="C17" s="33" t="s">
        <v>219</v>
      </c>
      <c r="D17" s="1"/>
      <c r="E17" s="3"/>
      <c r="F17" s="14"/>
      <c r="G17" s="5"/>
      <c r="I17" s="13"/>
      <c r="J17" s="13"/>
      <c r="K17" s="13"/>
      <c r="L17" s="13"/>
      <c r="M17" s="13"/>
      <c r="N17" s="13"/>
    </row>
    <row r="18" spans="1:14" ht="10.95" customHeight="1">
      <c r="A18" s="1"/>
      <c r="B18" s="1"/>
      <c r="C18" s="32"/>
      <c r="D18" s="1"/>
      <c r="E18" s="3"/>
      <c r="F18" s="13"/>
      <c r="G18" s="5"/>
      <c r="I18" s="13"/>
      <c r="J18" s="13"/>
      <c r="K18" s="13"/>
      <c r="L18" s="13"/>
      <c r="M18" s="13"/>
      <c r="N18" s="13"/>
    </row>
    <row r="19" spans="1:14" ht="13.2" customHeight="1">
      <c r="A19" s="1">
        <v>2</v>
      </c>
      <c r="B19" s="1"/>
      <c r="C19" s="33" t="s">
        <v>33</v>
      </c>
      <c r="D19" s="1" t="s">
        <v>1</v>
      </c>
      <c r="E19" s="3">
        <f>SUM(I19:N19)</f>
        <v>0</v>
      </c>
      <c r="F19" s="13">
        <v>1850</v>
      </c>
      <c r="G19" s="5">
        <f t="shared" ref="G19" si="1">+E19*F19</f>
        <v>0</v>
      </c>
      <c r="I19" s="138">
        <f t="shared" ref="I19:N19" si="2">I14*10</f>
        <v>0</v>
      </c>
      <c r="J19" s="138">
        <f t="shared" si="2"/>
        <v>0</v>
      </c>
      <c r="K19" s="138">
        <f t="shared" si="2"/>
        <v>0</v>
      </c>
      <c r="L19" s="138">
        <f t="shared" si="2"/>
        <v>0</v>
      </c>
      <c r="M19" s="138">
        <f t="shared" si="2"/>
        <v>0</v>
      </c>
      <c r="N19" s="138">
        <f t="shared" si="2"/>
        <v>0</v>
      </c>
    </row>
    <row r="20" spans="1:14" ht="13.2" customHeight="1">
      <c r="A20" s="1"/>
      <c r="B20" s="1"/>
      <c r="C20" s="32"/>
      <c r="D20" s="1"/>
      <c r="E20" s="3"/>
      <c r="F20" s="13"/>
      <c r="G20" s="5"/>
      <c r="I20" s="138"/>
      <c r="J20" s="138"/>
      <c r="K20" s="138"/>
      <c r="L20" s="138"/>
      <c r="M20" s="138"/>
      <c r="N20" s="138"/>
    </row>
    <row r="21" spans="1:14" ht="13.2" customHeight="1">
      <c r="A21" s="1">
        <v>3</v>
      </c>
      <c r="B21" s="1"/>
      <c r="C21" s="33" t="s">
        <v>34</v>
      </c>
      <c r="D21" s="1" t="s">
        <v>1</v>
      </c>
      <c r="E21" s="3">
        <f>SUM(I21:N21)</f>
        <v>0</v>
      </c>
      <c r="F21" s="13">
        <f>F19</f>
        <v>1850</v>
      </c>
      <c r="G21" s="5">
        <f t="shared" ref="G21" si="3">+E21*F21</f>
        <v>0</v>
      </c>
      <c r="I21" s="138">
        <f t="shared" ref="I21:N21" si="4">I14*5</f>
        <v>0</v>
      </c>
      <c r="J21" s="138">
        <f t="shared" si="4"/>
        <v>0</v>
      </c>
      <c r="K21" s="138">
        <f t="shared" si="4"/>
        <v>0</v>
      </c>
      <c r="L21" s="138">
        <f t="shared" si="4"/>
        <v>0</v>
      </c>
      <c r="M21" s="138">
        <f t="shared" si="4"/>
        <v>0</v>
      </c>
      <c r="N21" s="138">
        <f t="shared" si="4"/>
        <v>0</v>
      </c>
    </row>
    <row r="22" spans="1:14" ht="13.2" customHeight="1">
      <c r="A22" s="1"/>
      <c r="B22" s="1"/>
      <c r="C22" s="32"/>
      <c r="D22" s="1"/>
      <c r="E22" s="3"/>
      <c r="F22" s="13"/>
      <c r="G22" s="5"/>
      <c r="I22" s="138"/>
      <c r="J22" s="138"/>
      <c r="K22" s="138"/>
      <c r="L22" s="138"/>
      <c r="M22" s="138"/>
      <c r="N22" s="138"/>
    </row>
    <row r="23" spans="1:14" ht="13.2" customHeight="1">
      <c r="A23" s="1"/>
      <c r="B23" s="1"/>
      <c r="C23" s="32" t="s">
        <v>76</v>
      </c>
      <c r="D23" s="1"/>
      <c r="E23" s="3"/>
      <c r="F23" s="13"/>
      <c r="G23" s="5"/>
      <c r="I23" s="138"/>
      <c r="J23" s="138"/>
      <c r="K23" s="138"/>
      <c r="L23" s="138"/>
      <c r="M23" s="138"/>
      <c r="N23" s="138"/>
    </row>
    <row r="24" spans="1:14" ht="13.2" customHeight="1">
      <c r="A24" s="1"/>
      <c r="B24" s="1"/>
      <c r="C24" s="32"/>
      <c r="D24" s="1"/>
      <c r="E24" s="3"/>
      <c r="F24" s="13"/>
      <c r="G24" s="5"/>
      <c r="I24" s="138"/>
      <c r="J24" s="138"/>
      <c r="K24" s="138"/>
      <c r="L24" s="138"/>
      <c r="M24" s="138"/>
      <c r="N24" s="138"/>
    </row>
    <row r="25" spans="1:14" ht="13.2" customHeight="1">
      <c r="A25" s="1">
        <v>4</v>
      </c>
      <c r="B25" s="1"/>
      <c r="C25" s="47" t="s">
        <v>77</v>
      </c>
      <c r="D25" s="1" t="s">
        <v>6</v>
      </c>
      <c r="E25" s="3">
        <f>SUM(I25:N25)</f>
        <v>0</v>
      </c>
      <c r="F25" s="13">
        <v>1250</v>
      </c>
      <c r="G25" s="5">
        <f t="shared" ref="G25" si="5">+E25*F25</f>
        <v>0</v>
      </c>
      <c r="I25" s="138">
        <f t="shared" ref="I25:N25" si="6">I14</f>
        <v>0</v>
      </c>
      <c r="J25" s="138">
        <f t="shared" si="6"/>
        <v>0</v>
      </c>
      <c r="K25" s="138">
        <f t="shared" si="6"/>
        <v>0</v>
      </c>
      <c r="L25" s="138">
        <f t="shared" si="6"/>
        <v>0</v>
      </c>
      <c r="M25" s="138">
        <f t="shared" si="6"/>
        <v>0</v>
      </c>
      <c r="N25" s="138">
        <f t="shared" si="6"/>
        <v>0</v>
      </c>
    </row>
    <row r="26" spans="1:14" ht="13.2" customHeight="1">
      <c r="A26" s="1"/>
      <c r="B26" s="1"/>
      <c r="C26" s="32"/>
      <c r="D26" s="1"/>
      <c r="E26" s="3"/>
      <c r="F26" s="13"/>
      <c r="G26" s="5"/>
      <c r="I26" s="138"/>
      <c r="J26" s="138"/>
      <c r="K26" s="138"/>
      <c r="L26" s="138"/>
      <c r="M26" s="138"/>
      <c r="N26" s="138"/>
    </row>
    <row r="27" spans="1:14" ht="12.6" customHeight="1">
      <c r="A27" s="1"/>
      <c r="B27" s="1"/>
      <c r="C27" s="32" t="s">
        <v>71</v>
      </c>
      <c r="D27" s="1"/>
      <c r="E27" s="3"/>
      <c r="F27" s="13"/>
      <c r="G27" s="5"/>
      <c r="I27" s="138"/>
      <c r="J27" s="138"/>
      <c r="K27" s="138"/>
      <c r="L27" s="138"/>
      <c r="M27" s="138"/>
      <c r="N27" s="138"/>
    </row>
    <row r="28" spans="1:14" ht="12.6" customHeight="1">
      <c r="A28" s="1"/>
      <c r="B28" s="1"/>
      <c r="C28" s="33"/>
      <c r="D28" s="1"/>
      <c r="E28" s="3"/>
      <c r="F28" s="13"/>
      <c r="G28" s="5"/>
      <c r="I28" s="138"/>
      <c r="J28" s="138"/>
      <c r="K28" s="138"/>
      <c r="L28" s="138"/>
      <c r="M28" s="138"/>
      <c r="N28" s="138"/>
    </row>
    <row r="29" spans="1:14" ht="12.6" customHeight="1">
      <c r="A29" s="1">
        <v>5</v>
      </c>
      <c r="B29" s="1"/>
      <c r="C29" s="33" t="s">
        <v>223</v>
      </c>
      <c r="D29" s="1" t="s">
        <v>2</v>
      </c>
      <c r="E29" s="3">
        <f>SUM(I29:N29)</f>
        <v>0</v>
      </c>
      <c r="F29" s="13">
        <v>29500</v>
      </c>
      <c r="G29" s="5">
        <f t="shared" ref="G29" si="7">+E29*F29</f>
        <v>0</v>
      </c>
      <c r="I29" s="139">
        <f t="shared" ref="I29:N29" si="8">(I19+I21)*0.00325</f>
        <v>0</v>
      </c>
      <c r="J29" s="139">
        <f t="shared" si="8"/>
        <v>0</v>
      </c>
      <c r="K29" s="139">
        <f t="shared" si="8"/>
        <v>0</v>
      </c>
      <c r="L29" s="139">
        <f t="shared" si="8"/>
        <v>0</v>
      </c>
      <c r="M29" s="139">
        <f t="shared" si="8"/>
        <v>0</v>
      </c>
      <c r="N29" s="139">
        <f t="shared" si="8"/>
        <v>0</v>
      </c>
    </row>
    <row r="30" spans="1:14" ht="12.6" customHeight="1">
      <c r="A30" s="1"/>
      <c r="B30" s="1"/>
      <c r="C30" s="33"/>
      <c r="D30" s="1"/>
      <c r="E30" s="3"/>
      <c r="F30" s="13"/>
      <c r="G30" s="5"/>
      <c r="I30" s="138"/>
      <c r="J30" s="138"/>
      <c r="K30" s="138"/>
      <c r="L30" s="138"/>
      <c r="M30" s="138"/>
      <c r="N30" s="138"/>
    </row>
    <row r="31" spans="1:14" ht="12.6" customHeight="1">
      <c r="A31" s="1">
        <v>6</v>
      </c>
      <c r="B31" s="1"/>
      <c r="C31" s="33" t="s">
        <v>222</v>
      </c>
      <c r="D31" s="1" t="s">
        <v>2</v>
      </c>
      <c r="E31" s="3">
        <f>SUM(I31:AG31)</f>
        <v>0</v>
      </c>
      <c r="F31" s="13">
        <v>28000</v>
      </c>
      <c r="G31" s="5">
        <f t="shared" ref="G31" si="9">+E31*F31</f>
        <v>0</v>
      </c>
      <c r="I31" s="139">
        <f t="shared" ref="I31:N31" si="10">(I19+I21)*0.0215</f>
        <v>0</v>
      </c>
      <c r="J31" s="139">
        <f t="shared" si="10"/>
        <v>0</v>
      </c>
      <c r="K31" s="139">
        <f t="shared" si="10"/>
        <v>0</v>
      </c>
      <c r="L31" s="139">
        <f t="shared" si="10"/>
        <v>0</v>
      </c>
      <c r="M31" s="139">
        <f t="shared" si="10"/>
        <v>0</v>
      </c>
      <c r="N31" s="139">
        <f t="shared" si="10"/>
        <v>0</v>
      </c>
    </row>
    <row r="32" spans="1:14" ht="12.6" customHeight="1">
      <c r="A32" s="1"/>
      <c r="B32" s="1"/>
      <c r="C32" s="33"/>
      <c r="D32" s="1"/>
      <c r="E32" s="3"/>
      <c r="F32" s="13"/>
      <c r="G32" s="5"/>
      <c r="I32" s="138"/>
      <c r="J32" s="138"/>
      <c r="K32" s="138"/>
      <c r="L32" s="138"/>
      <c r="M32" s="138"/>
      <c r="N32" s="138"/>
    </row>
    <row r="33" spans="1:14" ht="12.6" customHeight="1">
      <c r="A33" s="1"/>
      <c r="B33" s="1"/>
      <c r="C33" s="32" t="s">
        <v>56</v>
      </c>
      <c r="D33" s="1"/>
      <c r="E33" s="3"/>
      <c r="F33" s="13"/>
      <c r="G33" s="5"/>
      <c r="I33" s="138"/>
      <c r="J33" s="138"/>
      <c r="K33" s="138"/>
      <c r="L33" s="138"/>
      <c r="M33" s="138"/>
      <c r="N33" s="138"/>
    </row>
    <row r="34" spans="1:14" ht="13.2" customHeight="1">
      <c r="A34" s="1"/>
      <c r="B34" s="1"/>
      <c r="C34" s="33"/>
      <c r="D34" s="1"/>
      <c r="E34" s="3"/>
      <c r="F34" s="13"/>
      <c r="G34" s="5"/>
      <c r="I34" s="138"/>
      <c r="J34" s="138"/>
      <c r="K34" s="138"/>
      <c r="L34" s="138"/>
      <c r="M34" s="138"/>
      <c r="N34" s="138"/>
    </row>
    <row r="35" spans="1:14" ht="13.2" customHeight="1">
      <c r="A35" s="1">
        <v>7</v>
      </c>
      <c r="B35" s="1"/>
      <c r="C35" s="33" t="s">
        <v>220</v>
      </c>
      <c r="D35" s="1"/>
      <c r="E35" s="3"/>
      <c r="F35" s="13"/>
      <c r="G35" s="5"/>
      <c r="I35" s="138"/>
      <c r="J35" s="138"/>
      <c r="K35" s="138"/>
      <c r="L35" s="138"/>
      <c r="M35" s="138"/>
      <c r="N35" s="138"/>
    </row>
    <row r="36" spans="1:14" ht="13.2" customHeight="1">
      <c r="A36" s="1"/>
      <c r="B36" s="1"/>
      <c r="C36" s="1"/>
      <c r="D36" s="1"/>
      <c r="E36" s="3"/>
      <c r="F36" s="13"/>
      <c r="G36" s="5"/>
      <c r="I36" s="138"/>
      <c r="J36" s="138"/>
      <c r="K36" s="138"/>
      <c r="L36" s="138"/>
      <c r="M36" s="138"/>
      <c r="N36" s="138"/>
    </row>
    <row r="37" spans="1:14" ht="13.2" customHeight="1">
      <c r="A37" s="1"/>
      <c r="B37" s="1"/>
      <c r="C37" s="33" t="s">
        <v>38</v>
      </c>
      <c r="D37" s="1" t="s">
        <v>51</v>
      </c>
      <c r="E37" s="3">
        <f>SUM(I37:N37)</f>
        <v>0</v>
      </c>
      <c r="F37" s="13">
        <v>3500</v>
      </c>
      <c r="G37" s="5">
        <f t="shared" ref="G37" si="11">+E37*F37</f>
        <v>0</v>
      </c>
      <c r="I37" s="139">
        <f t="shared" ref="I37:N37" si="12">((I19+I21)*0.292)+(I14*0.75)</f>
        <v>0</v>
      </c>
      <c r="J37" s="139">
        <f t="shared" si="12"/>
        <v>0</v>
      </c>
      <c r="K37" s="139">
        <f t="shared" si="12"/>
        <v>0</v>
      </c>
      <c r="L37" s="139">
        <f t="shared" si="12"/>
        <v>0</v>
      </c>
      <c r="M37" s="139">
        <f t="shared" si="12"/>
        <v>0</v>
      </c>
      <c r="N37" s="139">
        <f t="shared" si="12"/>
        <v>0</v>
      </c>
    </row>
    <row r="38" spans="1:14" ht="13.2" customHeight="1">
      <c r="A38" s="1"/>
      <c r="B38" s="1"/>
      <c r="C38" s="33"/>
      <c r="D38" s="1"/>
      <c r="E38" s="3"/>
      <c r="F38" s="13"/>
      <c r="G38" s="5"/>
      <c r="I38" s="138"/>
      <c r="J38" s="138"/>
      <c r="K38" s="138"/>
      <c r="L38" s="138"/>
      <c r="M38" s="138"/>
      <c r="N38" s="138"/>
    </row>
    <row r="39" spans="1:14" ht="13.2" customHeight="1">
      <c r="A39" s="1"/>
      <c r="B39" s="1" t="s">
        <v>23</v>
      </c>
      <c r="C39" s="32" t="s">
        <v>35</v>
      </c>
      <c r="D39" s="1"/>
      <c r="E39" s="3"/>
      <c r="F39" s="13"/>
      <c r="G39" s="5"/>
      <c r="I39" s="138"/>
      <c r="J39" s="138"/>
      <c r="K39" s="138"/>
      <c r="L39" s="138"/>
      <c r="M39" s="138"/>
      <c r="N39" s="138"/>
    </row>
    <row r="40" spans="1:14" ht="13.2" customHeight="1">
      <c r="A40" s="1"/>
      <c r="B40" s="1"/>
      <c r="C40" s="32"/>
      <c r="D40" s="1"/>
      <c r="E40" s="3"/>
      <c r="F40" s="13"/>
      <c r="G40" s="5"/>
      <c r="I40" s="138"/>
      <c r="J40" s="138"/>
      <c r="K40" s="138"/>
      <c r="L40" s="138"/>
      <c r="M40" s="138"/>
      <c r="N40" s="138"/>
    </row>
    <row r="41" spans="1:14" ht="13.2" customHeight="1">
      <c r="A41" s="1">
        <v>8</v>
      </c>
      <c r="B41" s="1"/>
      <c r="C41" s="33" t="s">
        <v>259</v>
      </c>
      <c r="D41" s="1" t="s">
        <v>6</v>
      </c>
      <c r="E41" s="3">
        <f>SUM(I41:N41)</f>
        <v>0</v>
      </c>
      <c r="F41" s="13">
        <v>875</v>
      </c>
      <c r="G41" s="5">
        <f t="shared" ref="G41" si="13">+E41*F41</f>
        <v>0</v>
      </c>
      <c r="I41" s="138">
        <f t="shared" ref="I41:N41" si="14">I14</f>
        <v>0</v>
      </c>
      <c r="J41" s="138">
        <f t="shared" si="14"/>
        <v>0</v>
      </c>
      <c r="K41" s="138">
        <f t="shared" si="14"/>
        <v>0</v>
      </c>
      <c r="L41" s="138">
        <f t="shared" si="14"/>
        <v>0</v>
      </c>
      <c r="M41" s="138">
        <f t="shared" si="14"/>
        <v>0</v>
      </c>
      <c r="N41" s="138">
        <f t="shared" si="14"/>
        <v>0</v>
      </c>
    </row>
    <row r="42" spans="1:14" ht="13.2" customHeight="1">
      <c r="A42" s="1"/>
      <c r="B42" s="2"/>
      <c r="C42" s="11"/>
      <c r="D42" s="1"/>
      <c r="E42" s="1"/>
      <c r="F42" s="13"/>
      <c r="G42" s="5"/>
      <c r="I42" s="1"/>
      <c r="J42" s="1"/>
      <c r="K42" s="1"/>
      <c r="L42" s="103"/>
      <c r="M42" s="108"/>
      <c r="N42" s="9"/>
    </row>
    <row r="43" spans="1:14" ht="24">
      <c r="A43" s="1"/>
      <c r="B43" s="2" t="s">
        <v>100</v>
      </c>
      <c r="C43" s="31" t="s">
        <v>79</v>
      </c>
      <c r="D43" s="1"/>
      <c r="E43" s="3"/>
      <c r="F43" s="14"/>
      <c r="G43" s="5"/>
      <c r="I43" s="3"/>
      <c r="J43" s="3"/>
      <c r="K43" s="3"/>
      <c r="L43" s="103"/>
      <c r="M43" s="108"/>
      <c r="N43" s="9"/>
    </row>
    <row r="44" spans="1:14" ht="13.95" customHeight="1">
      <c r="A44" s="1"/>
      <c r="B44" s="2"/>
      <c r="C44" s="8" t="s">
        <v>81</v>
      </c>
      <c r="D44" s="1"/>
      <c r="E44" s="3"/>
      <c r="F44" s="14"/>
      <c r="G44" s="5"/>
      <c r="I44" s="3"/>
      <c r="J44" s="3"/>
      <c r="K44" s="3"/>
      <c r="L44" s="103"/>
      <c r="M44" s="108"/>
      <c r="N44" s="9"/>
    </row>
    <row r="45" spans="1:14" ht="50.4" customHeight="1">
      <c r="A45" s="16">
        <v>9</v>
      </c>
      <c r="B45" s="33" t="s">
        <v>162</v>
      </c>
      <c r="C45" s="33" t="s">
        <v>163</v>
      </c>
      <c r="D45" s="9" t="s">
        <v>60</v>
      </c>
      <c r="E45" s="3">
        <f>SUM(I45:N45)</f>
        <v>110</v>
      </c>
      <c r="F45" s="13">
        <v>225</v>
      </c>
      <c r="G45" s="5">
        <f t="shared" ref="G45" si="15">+E45*F45</f>
        <v>24750</v>
      </c>
      <c r="I45" s="9">
        <v>110</v>
      </c>
      <c r="J45" s="9"/>
      <c r="K45" s="9"/>
      <c r="L45" s="103"/>
      <c r="M45" s="108"/>
      <c r="N45" s="9"/>
    </row>
    <row r="46" spans="1:14">
      <c r="A46" s="16"/>
      <c r="B46" s="33"/>
      <c r="D46" s="9"/>
      <c r="E46" s="3"/>
      <c r="F46" s="13"/>
      <c r="G46" s="5"/>
      <c r="I46" s="9"/>
      <c r="J46" s="9"/>
      <c r="K46" s="9"/>
      <c r="L46" s="103"/>
      <c r="M46" s="108"/>
      <c r="N46" s="9"/>
    </row>
    <row r="47" spans="1:14" ht="13.95" customHeight="1">
      <c r="A47" s="1"/>
      <c r="B47" s="2"/>
      <c r="C47" s="8"/>
      <c r="D47" s="9"/>
      <c r="E47" s="3"/>
      <c r="F47" s="4"/>
      <c r="G47" s="5"/>
      <c r="I47" s="9"/>
      <c r="J47" s="9"/>
      <c r="K47" s="9"/>
      <c r="L47" s="103"/>
      <c r="M47" s="108"/>
      <c r="N47" s="9"/>
    </row>
    <row r="48" spans="1:14" ht="20.100000000000001" customHeight="1">
      <c r="A48" s="149" t="s">
        <v>66</v>
      </c>
      <c r="B48" s="150"/>
      <c r="C48" s="150"/>
      <c r="D48" s="150"/>
      <c r="E48" s="150"/>
      <c r="F48" s="151"/>
      <c r="G48" s="116">
        <f>SUM(G8:G47)</f>
        <v>24750</v>
      </c>
      <c r="I48" s="9"/>
      <c r="J48" s="9"/>
      <c r="K48" s="9"/>
      <c r="L48" s="103"/>
      <c r="M48" s="108"/>
      <c r="N48" s="9"/>
    </row>
    <row r="49" spans="1:14">
      <c r="A49" s="39"/>
      <c r="B49" s="39"/>
      <c r="C49" s="39"/>
      <c r="D49" s="39"/>
      <c r="E49" s="39"/>
      <c r="F49" s="39"/>
      <c r="G49" s="113"/>
      <c r="I49" s="9"/>
      <c r="J49" s="9"/>
      <c r="K49" s="9"/>
      <c r="L49" s="103"/>
      <c r="M49" s="108"/>
      <c r="N49" s="9"/>
    </row>
    <row r="50" spans="1:14" ht="13.95" customHeight="1">
      <c r="A50" s="39"/>
      <c r="B50" s="39"/>
      <c r="C50" s="39"/>
      <c r="D50" s="39"/>
      <c r="E50" s="39"/>
      <c r="F50" s="39"/>
      <c r="G50" s="113"/>
      <c r="I50" s="9"/>
      <c r="J50" s="9"/>
      <c r="K50" s="9"/>
      <c r="L50" s="103"/>
      <c r="M50" s="108"/>
      <c r="N50" s="9"/>
    </row>
    <row r="51" spans="1:14" ht="24" customHeight="1">
      <c r="A51" s="44" t="s">
        <v>8</v>
      </c>
      <c r="B51" s="48" t="s">
        <v>9</v>
      </c>
      <c r="C51" s="44" t="s">
        <v>10</v>
      </c>
      <c r="D51" s="48" t="s">
        <v>11</v>
      </c>
      <c r="E51" s="48" t="s">
        <v>59</v>
      </c>
      <c r="F51" s="49" t="s">
        <v>12</v>
      </c>
      <c r="G51" s="111" t="s">
        <v>13</v>
      </c>
      <c r="I51" s="9"/>
      <c r="J51" s="9"/>
      <c r="K51" s="9"/>
      <c r="L51" s="103"/>
      <c r="M51" s="108"/>
      <c r="N51" s="9"/>
    </row>
    <row r="52" spans="1:14" ht="20.100000000000001" customHeight="1">
      <c r="A52" s="149" t="s">
        <v>67</v>
      </c>
      <c r="B52" s="150"/>
      <c r="C52" s="150"/>
      <c r="D52" s="150"/>
      <c r="E52" s="150"/>
      <c r="F52" s="151"/>
      <c r="G52" s="116">
        <f>+G48</f>
        <v>24750</v>
      </c>
      <c r="I52" s="9"/>
      <c r="J52" s="9"/>
      <c r="K52" s="9"/>
      <c r="L52" s="103"/>
      <c r="M52" s="108"/>
      <c r="N52" s="9"/>
    </row>
    <row r="53" spans="1:14" ht="9" customHeight="1">
      <c r="A53" s="1"/>
      <c r="B53" s="2"/>
      <c r="C53" s="8"/>
      <c r="D53" s="9"/>
      <c r="E53" s="3"/>
      <c r="F53" s="4"/>
      <c r="G53" s="5"/>
      <c r="I53" s="3"/>
      <c r="J53" s="3"/>
      <c r="K53" s="3"/>
      <c r="L53" s="103"/>
      <c r="M53" s="108"/>
      <c r="N53" s="9"/>
    </row>
    <row r="54" spans="1:14" ht="13.95" customHeight="1">
      <c r="A54" s="1"/>
      <c r="B54" s="2" t="s">
        <v>173</v>
      </c>
      <c r="C54" s="31" t="s">
        <v>79</v>
      </c>
      <c r="D54" s="1"/>
      <c r="E54" s="3"/>
      <c r="F54" s="4"/>
      <c r="G54" s="5"/>
      <c r="I54" s="3"/>
      <c r="J54" s="3"/>
      <c r="K54" s="3"/>
      <c r="L54" s="103"/>
      <c r="M54" s="108"/>
      <c r="N54" s="9"/>
    </row>
    <row r="55" spans="1:14" ht="13.95" customHeight="1">
      <c r="A55" s="1"/>
      <c r="B55" s="2"/>
      <c r="C55" s="8" t="s">
        <v>81</v>
      </c>
      <c r="D55" s="1"/>
      <c r="E55" s="3"/>
      <c r="F55" s="4"/>
      <c r="G55" s="5"/>
      <c r="I55" s="3"/>
      <c r="J55" s="3"/>
      <c r="K55" s="3"/>
      <c r="L55" s="103"/>
      <c r="M55" s="108"/>
      <c r="N55" s="9"/>
    </row>
    <row r="56" spans="1:14" ht="13.95" customHeight="1">
      <c r="A56" s="1"/>
      <c r="B56" s="1" t="s">
        <v>87</v>
      </c>
      <c r="C56" s="37" t="s">
        <v>0</v>
      </c>
      <c r="D56" s="1"/>
      <c r="E56" s="3"/>
      <c r="F56" s="4"/>
      <c r="G56" s="5"/>
      <c r="I56" s="3"/>
      <c r="J56" s="3"/>
      <c r="K56" s="3"/>
      <c r="L56" s="103"/>
      <c r="M56" s="108"/>
      <c r="N56" s="9"/>
    </row>
    <row r="57" spans="1:14" ht="13.95" customHeight="1">
      <c r="A57" s="1"/>
      <c r="B57" s="1"/>
      <c r="C57" s="33"/>
      <c r="D57" s="1"/>
      <c r="E57" s="3"/>
      <c r="F57" s="4"/>
      <c r="G57" s="5"/>
      <c r="I57" s="3"/>
      <c r="J57" s="3"/>
      <c r="K57" s="3"/>
      <c r="L57" s="103"/>
      <c r="M57" s="108"/>
      <c r="N57" s="9"/>
    </row>
    <row r="58" spans="1:14" ht="22.95" customHeight="1">
      <c r="A58" s="1"/>
      <c r="B58" s="1"/>
      <c r="C58" s="33" t="s">
        <v>61</v>
      </c>
      <c r="D58" s="1"/>
      <c r="E58" s="3"/>
      <c r="F58" s="4"/>
      <c r="G58" s="5"/>
      <c r="I58" s="3"/>
      <c r="J58" s="3"/>
      <c r="K58" s="3"/>
      <c r="L58" s="103"/>
      <c r="M58" s="108"/>
      <c r="N58" s="9"/>
    </row>
    <row r="59" spans="1:14" ht="13.95" customHeight="1">
      <c r="A59" s="1"/>
      <c r="B59" s="1"/>
      <c r="C59" s="6"/>
      <c r="D59" s="1"/>
      <c r="E59" s="3"/>
      <c r="F59" s="4"/>
      <c r="G59" s="5"/>
      <c r="I59" s="3"/>
      <c r="J59" s="3"/>
      <c r="K59" s="3"/>
      <c r="L59" s="103"/>
      <c r="M59" s="108"/>
      <c r="N59" s="9"/>
    </row>
    <row r="60" spans="1:14" ht="13.95" customHeight="1">
      <c r="A60" s="1">
        <v>10</v>
      </c>
      <c r="B60" s="1"/>
      <c r="C60" s="33" t="s">
        <v>14</v>
      </c>
      <c r="D60" s="1" t="s">
        <v>51</v>
      </c>
      <c r="E60" s="3">
        <f>SUM(I60:N60)</f>
        <v>148.15</v>
      </c>
      <c r="F60" s="13">
        <v>175</v>
      </c>
      <c r="G60" s="5">
        <f t="shared" ref="G60" si="16">+E60*F60</f>
        <v>25926.25</v>
      </c>
      <c r="I60" s="3"/>
      <c r="J60" s="3">
        <v>131</v>
      </c>
      <c r="K60" s="3">
        <v>17.149999999999999</v>
      </c>
      <c r="L60" s="103"/>
      <c r="M60" s="108"/>
      <c r="N60" s="9"/>
    </row>
    <row r="61" spans="1:14" ht="9.75" customHeight="1">
      <c r="A61" s="1"/>
      <c r="B61" s="1"/>
      <c r="C61" s="33"/>
      <c r="D61" s="1"/>
      <c r="E61" s="3"/>
      <c r="F61" s="13"/>
      <c r="G61" s="5"/>
      <c r="I61" s="3"/>
      <c r="J61" s="3"/>
      <c r="K61" s="3"/>
      <c r="L61" s="103"/>
      <c r="M61" s="108"/>
      <c r="N61" s="9"/>
    </row>
    <row r="62" spans="1:14" ht="13.95" customHeight="1">
      <c r="A62" s="1"/>
      <c r="B62" s="1"/>
      <c r="C62" s="37" t="s">
        <v>111</v>
      </c>
      <c r="D62" s="1"/>
      <c r="E62" s="3"/>
      <c r="F62" s="13"/>
      <c r="G62" s="5"/>
      <c r="I62" s="3"/>
      <c r="J62" s="3"/>
      <c r="K62" s="3"/>
      <c r="L62" s="103"/>
      <c r="M62" s="108"/>
      <c r="N62" s="9"/>
    </row>
    <row r="63" spans="1:14" ht="9" customHeight="1">
      <c r="A63" s="1"/>
      <c r="B63" s="1"/>
      <c r="C63" s="33"/>
      <c r="D63" s="1"/>
      <c r="E63" s="3"/>
      <c r="F63" s="13"/>
      <c r="G63" s="5"/>
      <c r="I63" s="3"/>
      <c r="J63" s="3"/>
      <c r="K63" s="3"/>
      <c r="L63" s="103"/>
      <c r="M63" s="108"/>
      <c r="N63" s="9"/>
    </row>
    <row r="64" spans="1:14" ht="28.95" customHeight="1">
      <c r="A64" s="1">
        <v>11</v>
      </c>
      <c r="B64" s="1"/>
      <c r="C64" s="33" t="s">
        <v>54</v>
      </c>
      <c r="D64" s="1" t="s">
        <v>51</v>
      </c>
      <c r="E64" s="3">
        <f>SUM(I64:N64)</f>
        <v>0</v>
      </c>
      <c r="F64" s="13">
        <v>950</v>
      </c>
      <c r="G64" s="5">
        <f t="shared" ref="G64" si="17">+E64*F64</f>
        <v>0</v>
      </c>
      <c r="I64" s="3"/>
      <c r="J64" s="3"/>
      <c r="K64" s="3"/>
      <c r="L64" s="103"/>
      <c r="M64" s="108"/>
      <c r="N64" s="9"/>
    </row>
    <row r="65" spans="1:14" ht="13.95" customHeight="1">
      <c r="A65" s="1"/>
      <c r="B65" s="1"/>
      <c r="C65" s="33"/>
      <c r="D65" s="1"/>
      <c r="E65" s="3"/>
      <c r="F65" s="13"/>
      <c r="G65" s="5"/>
      <c r="I65" s="3"/>
      <c r="J65" s="3"/>
      <c r="K65" s="3"/>
      <c r="L65" s="103"/>
      <c r="M65" s="108"/>
      <c r="N65" s="9"/>
    </row>
    <row r="66" spans="1:14" ht="22.2" customHeight="1">
      <c r="A66" s="1"/>
      <c r="B66" s="1"/>
      <c r="C66" s="33" t="s">
        <v>57</v>
      </c>
      <c r="D66" s="1"/>
      <c r="E66" s="3"/>
      <c r="F66" s="13"/>
      <c r="G66" s="5"/>
      <c r="I66" s="3"/>
      <c r="J66" s="3"/>
      <c r="K66" s="3"/>
      <c r="L66" s="103"/>
      <c r="M66" s="108"/>
      <c r="N66" s="9"/>
    </row>
    <row r="67" spans="1:14" ht="13.95" customHeight="1">
      <c r="A67" s="1"/>
      <c r="B67" s="2"/>
      <c r="C67" s="8"/>
      <c r="D67" s="9"/>
      <c r="E67" s="3"/>
      <c r="F67" s="13"/>
      <c r="G67" s="5"/>
      <c r="I67" s="3"/>
      <c r="J67" s="3"/>
      <c r="K67" s="3"/>
      <c r="L67" s="103"/>
      <c r="M67" s="108"/>
      <c r="N67" s="9"/>
    </row>
    <row r="68" spans="1:14" ht="13.95" customHeight="1">
      <c r="A68" s="1"/>
      <c r="B68" s="1" t="s">
        <v>83</v>
      </c>
      <c r="C68" s="10" t="s">
        <v>25</v>
      </c>
      <c r="D68" s="9"/>
      <c r="E68" s="3"/>
      <c r="F68" s="13"/>
      <c r="G68" s="5"/>
      <c r="I68" s="3"/>
      <c r="J68" s="3"/>
      <c r="K68" s="3"/>
      <c r="L68" s="103"/>
      <c r="M68" s="108"/>
      <c r="N68" s="9"/>
    </row>
    <row r="69" spans="1:14" ht="13.95" customHeight="1">
      <c r="A69" s="1"/>
      <c r="B69" s="2"/>
      <c r="C69" s="8"/>
      <c r="D69" s="9"/>
      <c r="E69" s="3"/>
      <c r="F69" s="13"/>
      <c r="G69" s="5"/>
      <c r="I69" s="3"/>
      <c r="J69" s="3"/>
      <c r="K69" s="3"/>
      <c r="L69" s="103"/>
      <c r="M69" s="108"/>
      <c r="N69" s="9"/>
    </row>
    <row r="70" spans="1:14" ht="23.4" customHeight="1">
      <c r="A70" s="1"/>
      <c r="B70" s="2"/>
      <c r="C70" s="8" t="s">
        <v>109</v>
      </c>
      <c r="D70" s="9"/>
      <c r="E70" s="3"/>
      <c r="F70" s="13"/>
      <c r="G70" s="5"/>
      <c r="I70" s="3"/>
      <c r="J70" s="3"/>
      <c r="K70" s="3"/>
      <c r="L70" s="103"/>
      <c r="M70" s="108"/>
      <c r="N70" s="9"/>
    </row>
    <row r="71" spans="1:14" ht="13.95" customHeight="1">
      <c r="A71" s="1"/>
      <c r="B71" s="2"/>
      <c r="C71" s="8"/>
      <c r="D71" s="9"/>
      <c r="E71" s="3"/>
      <c r="F71" s="13"/>
      <c r="G71" s="5"/>
      <c r="I71" s="3"/>
      <c r="J71" s="3"/>
      <c r="K71" s="3"/>
      <c r="L71" s="103"/>
      <c r="M71" s="108"/>
      <c r="N71" s="9"/>
    </row>
    <row r="72" spans="1:14" ht="33.6" customHeight="1">
      <c r="A72" s="1">
        <v>12</v>
      </c>
      <c r="B72" s="2"/>
      <c r="C72" s="8" t="s">
        <v>108</v>
      </c>
      <c r="D72" s="9" t="s">
        <v>51</v>
      </c>
      <c r="E72" s="3">
        <f>SUM(I72:N72)</f>
        <v>105.78</v>
      </c>
      <c r="F72" s="13">
        <v>725</v>
      </c>
      <c r="G72" s="5">
        <f t="shared" ref="G72" si="18">+E72*F72</f>
        <v>76690.5</v>
      </c>
      <c r="I72" s="3"/>
      <c r="J72" s="3">
        <v>93</v>
      </c>
      <c r="K72" s="3">
        <v>12.78</v>
      </c>
      <c r="L72" s="103"/>
      <c r="M72" s="108"/>
      <c r="N72" s="9"/>
    </row>
    <row r="73" spans="1:14" ht="13.95" customHeight="1">
      <c r="A73" s="1"/>
      <c r="B73" s="2"/>
      <c r="C73" s="8"/>
      <c r="D73" s="9"/>
      <c r="E73" s="3"/>
      <c r="F73" s="13"/>
      <c r="G73" s="5"/>
      <c r="I73" s="3"/>
      <c r="J73" s="3"/>
      <c r="K73" s="3"/>
      <c r="L73" s="103"/>
      <c r="M73" s="108"/>
      <c r="N73" s="9"/>
    </row>
    <row r="74" spans="1:14" ht="21.6" customHeight="1">
      <c r="A74" s="1"/>
      <c r="B74" s="2" t="s">
        <v>101</v>
      </c>
      <c r="C74" s="34" t="s">
        <v>155</v>
      </c>
      <c r="D74" s="1"/>
      <c r="E74" s="3"/>
      <c r="F74" s="13"/>
      <c r="G74" s="5"/>
      <c r="I74" s="3"/>
      <c r="J74" s="3"/>
      <c r="K74" s="3"/>
      <c r="L74" s="103"/>
      <c r="M74" s="108"/>
      <c r="N74" s="9"/>
    </row>
    <row r="75" spans="1:14" ht="13.95" customHeight="1">
      <c r="A75" s="1"/>
      <c r="B75" s="1"/>
      <c r="C75" s="33"/>
      <c r="D75" s="1"/>
      <c r="E75" s="3"/>
      <c r="F75" s="13"/>
      <c r="G75" s="5"/>
      <c r="I75" s="3"/>
      <c r="J75" s="3"/>
      <c r="K75" s="3"/>
      <c r="L75" s="103"/>
      <c r="M75" s="108"/>
      <c r="N75" s="9"/>
    </row>
    <row r="76" spans="1:14" ht="13.95" customHeight="1">
      <c r="A76" s="1"/>
      <c r="B76" s="1" t="s">
        <v>88</v>
      </c>
      <c r="C76" s="32" t="s">
        <v>15</v>
      </c>
      <c r="D76" s="1"/>
      <c r="E76" s="3"/>
      <c r="F76" s="13"/>
      <c r="G76" s="5"/>
      <c r="I76" s="3"/>
      <c r="J76" s="3"/>
      <c r="K76" s="3"/>
      <c r="L76" s="103"/>
      <c r="M76" s="108"/>
      <c r="N76" s="9"/>
    </row>
    <row r="77" spans="1:14" ht="13.95" customHeight="1">
      <c r="A77" s="1"/>
      <c r="B77" s="1"/>
      <c r="C77" s="33"/>
      <c r="D77" s="1"/>
      <c r="E77" s="3"/>
      <c r="F77" s="13"/>
      <c r="G77" s="5"/>
      <c r="I77" s="3"/>
      <c r="J77" s="3"/>
      <c r="K77" s="3"/>
      <c r="L77" s="103"/>
      <c r="M77" s="108"/>
      <c r="N77" s="9"/>
    </row>
    <row r="78" spans="1:14" ht="13.95" customHeight="1">
      <c r="A78" s="1"/>
      <c r="B78" s="1" t="s">
        <v>82</v>
      </c>
      <c r="C78" s="34" t="s">
        <v>16</v>
      </c>
      <c r="D78" s="1"/>
      <c r="E78" s="3"/>
      <c r="F78" s="13"/>
      <c r="G78" s="5"/>
      <c r="I78" s="3"/>
      <c r="J78" s="3"/>
      <c r="K78" s="3"/>
      <c r="L78" s="103"/>
      <c r="M78" s="108"/>
      <c r="N78" s="9"/>
    </row>
    <row r="79" spans="1:14" ht="13.95" customHeight="1">
      <c r="A79" s="1"/>
      <c r="B79" s="1"/>
      <c r="C79" s="33"/>
      <c r="D79" s="1"/>
      <c r="E79" s="3"/>
      <c r="F79" s="13"/>
      <c r="G79" s="5"/>
      <c r="I79" s="3"/>
      <c r="J79" s="3"/>
      <c r="K79" s="3"/>
      <c r="L79" s="103"/>
      <c r="M79" s="108"/>
      <c r="N79" s="9"/>
    </row>
    <row r="80" spans="1:14" ht="13.95" customHeight="1">
      <c r="A80" s="1"/>
      <c r="B80" s="1"/>
      <c r="C80" s="37" t="s">
        <v>17</v>
      </c>
      <c r="D80" s="1"/>
      <c r="E80" s="3"/>
      <c r="F80" s="13"/>
      <c r="G80" s="5"/>
      <c r="I80" s="3"/>
      <c r="J80" s="3"/>
      <c r="K80" s="3"/>
      <c r="L80" s="103"/>
      <c r="M80" s="108"/>
      <c r="N80" s="9"/>
    </row>
    <row r="81" spans="1:14" ht="13.95" customHeight="1">
      <c r="A81" s="1"/>
      <c r="B81" s="1"/>
      <c r="C81" s="37"/>
      <c r="D81" s="1"/>
      <c r="E81" s="3"/>
      <c r="F81" s="13"/>
      <c r="G81" s="5"/>
      <c r="I81" s="3"/>
      <c r="J81" s="3"/>
      <c r="K81" s="3"/>
      <c r="L81" s="103"/>
      <c r="M81" s="108"/>
      <c r="N81" s="9"/>
    </row>
    <row r="82" spans="1:14" ht="13.95" customHeight="1">
      <c r="A82" s="1">
        <v>13</v>
      </c>
      <c r="B82" s="1"/>
      <c r="C82" s="33" t="s">
        <v>28</v>
      </c>
      <c r="D82" s="1" t="s">
        <v>60</v>
      </c>
      <c r="E82" s="3">
        <f>SUM(I82:N82)</f>
        <v>59.68</v>
      </c>
      <c r="F82" s="13">
        <v>475</v>
      </c>
      <c r="G82" s="5">
        <f t="shared" ref="G82" si="19">+E82*F82</f>
        <v>28348</v>
      </c>
      <c r="I82" s="3"/>
      <c r="J82" s="3">
        <v>56</v>
      </c>
      <c r="K82" s="3">
        <v>3.68</v>
      </c>
      <c r="L82" s="103"/>
      <c r="M82" s="108"/>
      <c r="N82" s="9"/>
    </row>
    <row r="83" spans="1:14" ht="13.95" customHeight="1">
      <c r="A83" s="1"/>
      <c r="B83" s="1"/>
      <c r="C83" s="33"/>
      <c r="D83" s="1"/>
      <c r="E83" s="3"/>
      <c r="F83" s="13"/>
      <c r="G83" s="5"/>
      <c r="I83" s="3"/>
      <c r="J83" s="3"/>
      <c r="K83" s="3"/>
      <c r="L83" s="103"/>
      <c r="M83" s="108"/>
      <c r="N83" s="9"/>
    </row>
    <row r="84" spans="1:14" ht="19.95" customHeight="1">
      <c r="A84" s="1"/>
      <c r="B84" s="1" t="s">
        <v>86</v>
      </c>
      <c r="C84" s="34" t="s">
        <v>26</v>
      </c>
      <c r="D84" s="1"/>
      <c r="E84" s="3"/>
      <c r="F84" s="13"/>
      <c r="G84" s="5"/>
      <c r="I84" s="3"/>
      <c r="J84" s="3"/>
      <c r="K84" s="3"/>
      <c r="L84" s="103"/>
      <c r="M84" s="108"/>
      <c r="N84" s="9"/>
    </row>
    <row r="85" spans="1:14" ht="13.95" customHeight="1">
      <c r="A85" s="1"/>
      <c r="B85" s="1"/>
      <c r="C85" s="33"/>
      <c r="D85" s="1"/>
      <c r="E85" s="3"/>
      <c r="F85" s="13"/>
      <c r="G85" s="5"/>
      <c r="I85" s="3"/>
      <c r="J85" s="3"/>
      <c r="K85" s="3"/>
      <c r="L85" s="103"/>
      <c r="M85" s="108"/>
      <c r="N85" s="9"/>
    </row>
    <row r="86" spans="1:14" ht="13.95" customHeight="1">
      <c r="A86" s="1"/>
      <c r="B86" s="1"/>
      <c r="C86" s="37" t="s">
        <v>17</v>
      </c>
      <c r="D86" s="1"/>
      <c r="E86" s="3"/>
      <c r="F86" s="13"/>
      <c r="G86" s="5"/>
      <c r="I86" s="3"/>
      <c r="J86" s="3"/>
      <c r="K86" s="3"/>
      <c r="L86" s="103"/>
      <c r="M86" s="108"/>
      <c r="N86" s="9"/>
    </row>
    <row r="87" spans="1:14" ht="13.95" customHeight="1">
      <c r="A87" s="1"/>
      <c r="B87" s="1"/>
      <c r="C87" s="33"/>
      <c r="D87" s="1"/>
      <c r="E87" s="3"/>
      <c r="F87" s="13"/>
      <c r="G87" s="5"/>
      <c r="I87" s="3"/>
      <c r="J87" s="3"/>
      <c r="K87" s="3"/>
      <c r="L87" s="103"/>
      <c r="M87" s="108"/>
      <c r="N87" s="9"/>
    </row>
    <row r="88" spans="1:14" ht="13.95" customHeight="1">
      <c r="A88" s="1">
        <v>14</v>
      </c>
      <c r="B88" s="1"/>
      <c r="C88" s="33" t="s">
        <v>201</v>
      </c>
      <c r="D88" s="1" t="s">
        <v>60</v>
      </c>
      <c r="E88" s="3">
        <f>SUM(I88:N88)</f>
        <v>0</v>
      </c>
      <c r="F88" s="13">
        <v>750</v>
      </c>
      <c r="G88" s="5">
        <f t="shared" ref="G88" si="20">+E88*F88</f>
        <v>0</v>
      </c>
      <c r="I88" s="3"/>
      <c r="J88" s="3"/>
      <c r="K88" s="3"/>
      <c r="L88" s="103"/>
      <c r="M88" s="108"/>
      <c r="N88" s="9"/>
    </row>
    <row r="89" spans="1:14" ht="13.95" customHeight="1">
      <c r="A89" s="1"/>
      <c r="B89" s="1"/>
      <c r="C89" s="33"/>
      <c r="D89" s="1"/>
      <c r="E89" s="3"/>
      <c r="F89" s="13"/>
      <c r="G89" s="5"/>
      <c r="I89" s="3"/>
      <c r="J89" s="3"/>
      <c r="K89" s="3"/>
      <c r="L89" s="103"/>
      <c r="M89" s="108"/>
      <c r="N89" s="9"/>
    </row>
    <row r="90" spans="1:14" ht="13.95" customHeight="1">
      <c r="A90" s="1">
        <v>15</v>
      </c>
      <c r="B90" s="1"/>
      <c r="C90" s="33" t="s">
        <v>224</v>
      </c>
      <c r="D90" s="1" t="s">
        <v>60</v>
      </c>
      <c r="E90" s="3">
        <f>SUM(I90:N90)</f>
        <v>0</v>
      </c>
      <c r="F90" s="13">
        <v>635</v>
      </c>
      <c r="G90" s="5">
        <f t="shared" ref="G90" si="21">+E90*F90</f>
        <v>0</v>
      </c>
      <c r="I90" s="3"/>
      <c r="J90" s="3"/>
      <c r="K90" s="3"/>
      <c r="L90" s="103"/>
      <c r="M90" s="108"/>
      <c r="N90" s="9"/>
    </row>
    <row r="91" spans="1:14" ht="13.95" customHeight="1">
      <c r="A91" s="1"/>
      <c r="B91" s="1"/>
      <c r="C91" s="33"/>
      <c r="D91" s="1"/>
      <c r="E91" s="3"/>
      <c r="F91" s="13"/>
      <c r="G91" s="5"/>
      <c r="I91" s="3"/>
      <c r="J91" s="3"/>
      <c r="K91" s="3"/>
      <c r="L91" s="103"/>
      <c r="M91" s="108"/>
      <c r="N91" s="9"/>
    </row>
    <row r="92" spans="1:14" ht="13.95" customHeight="1">
      <c r="A92" s="1">
        <v>16</v>
      </c>
      <c r="B92" s="1"/>
      <c r="C92" s="33" t="s">
        <v>39</v>
      </c>
      <c r="D92" s="1" t="s">
        <v>60</v>
      </c>
      <c r="E92" s="3">
        <f>SUM(I92:N92)</f>
        <v>295</v>
      </c>
      <c r="F92" s="13">
        <v>850</v>
      </c>
      <c r="G92" s="5">
        <f t="shared" ref="G92" si="22">+E92*F92</f>
        <v>250750</v>
      </c>
      <c r="I92" s="3"/>
      <c r="J92" s="3">
        <v>290</v>
      </c>
      <c r="K92" s="3">
        <v>5</v>
      </c>
      <c r="L92" s="103"/>
      <c r="M92" s="108"/>
      <c r="N92" s="9"/>
    </row>
    <row r="93" spans="1:14" ht="13.95" customHeight="1">
      <c r="A93" s="1"/>
      <c r="B93" s="1"/>
      <c r="C93" s="33"/>
      <c r="D93" s="1"/>
      <c r="E93" s="3"/>
      <c r="F93" s="13"/>
      <c r="G93" s="5"/>
      <c r="I93" s="3"/>
      <c r="J93" s="3"/>
      <c r="K93" s="3"/>
      <c r="L93" s="103"/>
      <c r="M93" s="108"/>
      <c r="N93" s="9"/>
    </row>
    <row r="94" spans="1:14" ht="13.95" customHeight="1">
      <c r="A94" s="1">
        <v>17</v>
      </c>
      <c r="B94" s="1"/>
      <c r="C94" s="33" t="s">
        <v>247</v>
      </c>
      <c r="D94" s="1" t="s">
        <v>60</v>
      </c>
      <c r="E94" s="3">
        <f>SUM(I94:N94)</f>
        <v>0</v>
      </c>
      <c r="F94" s="13">
        <v>775</v>
      </c>
      <c r="G94" s="5">
        <f t="shared" ref="G94" si="23">+E94*F94</f>
        <v>0</v>
      </c>
      <c r="I94" s="3"/>
      <c r="J94" s="3"/>
      <c r="K94" s="3"/>
      <c r="L94" s="103"/>
      <c r="M94" s="108"/>
      <c r="N94" s="9"/>
    </row>
    <row r="95" spans="1:14" ht="13.95" customHeight="1">
      <c r="A95" s="1"/>
      <c r="B95" s="1"/>
      <c r="C95" s="33"/>
      <c r="D95" s="1"/>
      <c r="E95" s="3"/>
      <c r="F95" s="4"/>
      <c r="G95" s="5"/>
      <c r="I95" s="3"/>
      <c r="J95" s="3"/>
      <c r="K95" s="3"/>
      <c r="L95" s="103"/>
      <c r="M95" s="108"/>
      <c r="N95" s="9"/>
    </row>
    <row r="96" spans="1:14" ht="20.100000000000001" customHeight="1">
      <c r="A96" s="149" t="s">
        <v>66</v>
      </c>
      <c r="B96" s="150"/>
      <c r="C96" s="150"/>
      <c r="D96" s="150"/>
      <c r="E96" s="150"/>
      <c r="F96" s="151"/>
      <c r="G96" s="116">
        <f>SUM(G52:G95)</f>
        <v>406464.75</v>
      </c>
      <c r="I96" s="9"/>
      <c r="J96" s="9"/>
      <c r="K96" s="9"/>
      <c r="L96" s="103"/>
      <c r="M96" s="108"/>
      <c r="N96" s="9"/>
    </row>
    <row r="97" spans="1:14" ht="13.95" customHeight="1">
      <c r="A97" s="39"/>
      <c r="B97" s="39"/>
      <c r="C97" s="39"/>
      <c r="D97" s="39"/>
      <c r="E97" s="39"/>
      <c r="F97" s="39"/>
      <c r="G97" s="113"/>
      <c r="I97" s="9"/>
      <c r="J97" s="9"/>
      <c r="K97" s="9"/>
      <c r="L97" s="103"/>
      <c r="M97" s="108"/>
      <c r="N97" s="9"/>
    </row>
    <row r="98" spans="1:14" ht="13.95" customHeight="1">
      <c r="A98" s="39"/>
      <c r="B98" s="39"/>
      <c r="C98" s="39"/>
      <c r="D98" s="39"/>
      <c r="E98" s="39"/>
      <c r="F98" s="39"/>
      <c r="G98" s="113"/>
      <c r="I98" s="9"/>
      <c r="J98" s="9"/>
      <c r="K98" s="9"/>
      <c r="L98" s="103"/>
      <c r="M98" s="108"/>
      <c r="N98" s="9"/>
    </row>
    <row r="99" spans="1:14" ht="22.2" customHeight="1">
      <c r="A99" s="44" t="s">
        <v>8</v>
      </c>
      <c r="B99" s="48" t="s">
        <v>9</v>
      </c>
      <c r="C99" s="44" t="s">
        <v>10</v>
      </c>
      <c r="D99" s="48" t="s">
        <v>11</v>
      </c>
      <c r="E99" s="48" t="s">
        <v>59</v>
      </c>
      <c r="F99" s="49" t="s">
        <v>12</v>
      </c>
      <c r="G99" s="111" t="s">
        <v>13</v>
      </c>
      <c r="I99" s="9"/>
      <c r="J99" s="9"/>
      <c r="K99" s="9"/>
      <c r="L99" s="103"/>
      <c r="M99" s="108"/>
      <c r="N99" s="9"/>
    </row>
    <row r="100" spans="1:14" ht="20.100000000000001" customHeight="1">
      <c r="A100" s="149" t="s">
        <v>67</v>
      </c>
      <c r="B100" s="150"/>
      <c r="C100" s="150"/>
      <c r="D100" s="150"/>
      <c r="E100" s="150"/>
      <c r="F100" s="151"/>
      <c r="G100" s="116">
        <f>+G96</f>
        <v>406464.75</v>
      </c>
      <c r="I100" s="9"/>
      <c r="J100" s="9"/>
      <c r="K100" s="9"/>
      <c r="L100" s="103"/>
      <c r="M100" s="108"/>
      <c r="N100" s="9"/>
    </row>
    <row r="101" spans="1:14" ht="13.95" customHeight="1">
      <c r="A101" s="1"/>
      <c r="B101" s="1"/>
      <c r="C101" s="33"/>
      <c r="D101" s="1"/>
      <c r="E101" s="3"/>
      <c r="F101" s="13"/>
      <c r="G101" s="5"/>
      <c r="I101" s="9"/>
      <c r="J101" s="9"/>
      <c r="K101" s="9"/>
      <c r="L101" s="103"/>
      <c r="M101" s="108"/>
      <c r="N101" s="9"/>
    </row>
    <row r="102" spans="1:14" ht="13.95" customHeight="1">
      <c r="A102" s="1"/>
      <c r="B102" s="1"/>
      <c r="C102" s="37" t="s">
        <v>248</v>
      </c>
      <c r="D102" s="1"/>
      <c r="E102" s="3"/>
      <c r="F102" s="13"/>
      <c r="G102" s="5"/>
      <c r="I102" s="3"/>
      <c r="J102" s="3"/>
      <c r="K102" s="3"/>
      <c r="L102" s="103"/>
      <c r="M102" s="108"/>
      <c r="N102" s="9"/>
    </row>
    <row r="103" spans="1:14" ht="13.95" customHeight="1">
      <c r="A103" s="1"/>
      <c r="B103" s="1"/>
      <c r="C103" s="33"/>
      <c r="D103" s="1"/>
      <c r="E103" s="3"/>
      <c r="F103" s="13"/>
      <c r="G103" s="5"/>
      <c r="I103" s="3"/>
      <c r="J103" s="3"/>
      <c r="K103" s="3"/>
      <c r="L103" s="103"/>
      <c r="M103" s="108"/>
      <c r="N103" s="9"/>
    </row>
    <row r="104" spans="1:14" ht="13.95" customHeight="1">
      <c r="A104" s="1">
        <v>18</v>
      </c>
      <c r="B104" s="1"/>
      <c r="C104" s="33" t="s">
        <v>249</v>
      </c>
      <c r="D104" s="1" t="s">
        <v>60</v>
      </c>
      <c r="E104" s="3">
        <f>SUM(I104:N104)</f>
        <v>0</v>
      </c>
      <c r="F104" s="13">
        <v>1150</v>
      </c>
      <c r="G104" s="5">
        <f t="shared" ref="G104" si="24">+E104*F104</f>
        <v>0</v>
      </c>
      <c r="I104" s="3"/>
      <c r="J104" s="3"/>
      <c r="K104" s="3"/>
      <c r="L104" s="103"/>
      <c r="M104" s="108"/>
      <c r="N104" s="9"/>
    </row>
    <row r="105" spans="1:14" ht="13.95" customHeight="1">
      <c r="A105" s="1"/>
      <c r="B105" s="1"/>
      <c r="C105" s="33"/>
      <c r="D105" s="1"/>
      <c r="E105" s="3"/>
      <c r="F105" s="13"/>
      <c r="G105" s="5"/>
      <c r="I105" s="9"/>
      <c r="J105" s="9"/>
      <c r="K105" s="9"/>
      <c r="L105" s="103"/>
      <c r="M105" s="108"/>
      <c r="N105" s="9"/>
    </row>
    <row r="106" spans="1:14" ht="13.95" customHeight="1">
      <c r="A106" s="1"/>
      <c r="B106" s="1" t="s">
        <v>89</v>
      </c>
      <c r="C106" s="32" t="s">
        <v>156</v>
      </c>
      <c r="D106" s="1"/>
      <c r="E106" s="3"/>
      <c r="F106" s="4"/>
      <c r="G106" s="5"/>
      <c r="I106" s="9"/>
      <c r="J106" s="9"/>
      <c r="K106" s="9"/>
      <c r="L106" s="103"/>
      <c r="M106" s="108"/>
      <c r="N106" s="9"/>
    </row>
    <row r="107" spans="1:14" ht="13.95" customHeight="1">
      <c r="A107" s="1"/>
      <c r="B107" s="1"/>
      <c r="C107" s="33"/>
      <c r="D107" s="1"/>
      <c r="E107" s="3"/>
      <c r="F107" s="4"/>
      <c r="G107" s="5"/>
      <c r="I107" s="9"/>
      <c r="J107" s="9"/>
      <c r="K107" s="9"/>
      <c r="L107" s="103"/>
      <c r="M107" s="108"/>
      <c r="N107" s="9"/>
    </row>
    <row r="108" spans="1:14" ht="13.95" customHeight="1">
      <c r="A108" s="1">
        <v>19</v>
      </c>
      <c r="B108" s="1"/>
      <c r="C108" s="47" t="s">
        <v>244</v>
      </c>
      <c r="D108" s="1" t="s">
        <v>1</v>
      </c>
      <c r="E108" s="3">
        <f>SUM(I108:N108)</f>
        <v>50</v>
      </c>
      <c r="F108" s="3">
        <v>135</v>
      </c>
      <c r="G108" s="5">
        <f t="shared" ref="G108" si="25">+E108*F108</f>
        <v>6750</v>
      </c>
      <c r="I108" s="3">
        <v>50</v>
      </c>
      <c r="J108" s="3"/>
      <c r="K108" s="3"/>
      <c r="L108" s="103"/>
      <c r="M108" s="108"/>
      <c r="N108" s="9"/>
    </row>
    <row r="109" spans="1:14" ht="13.95" customHeight="1">
      <c r="A109" s="1"/>
      <c r="B109" s="1"/>
      <c r="C109" s="33"/>
      <c r="D109" s="1"/>
      <c r="E109" s="3"/>
      <c r="F109" s="4"/>
      <c r="G109" s="5"/>
      <c r="I109" s="3"/>
      <c r="J109" s="3"/>
      <c r="K109" s="3"/>
      <c r="L109" s="103"/>
      <c r="M109" s="108"/>
      <c r="N109" s="9"/>
    </row>
    <row r="110" spans="1:14" ht="13.95" customHeight="1">
      <c r="A110" s="1"/>
      <c r="B110" s="1" t="s">
        <v>90</v>
      </c>
      <c r="C110" s="32" t="s">
        <v>36</v>
      </c>
      <c r="D110" s="1"/>
      <c r="E110" s="3"/>
      <c r="F110" s="4"/>
      <c r="G110" s="5"/>
      <c r="I110" s="3"/>
      <c r="J110" s="3"/>
      <c r="K110" s="3"/>
      <c r="L110" s="103"/>
      <c r="M110" s="108"/>
      <c r="N110" s="9"/>
    </row>
    <row r="111" spans="1:14" ht="13.95" customHeight="1">
      <c r="A111" s="1"/>
      <c r="B111" s="1"/>
      <c r="C111" s="33"/>
      <c r="D111" s="1"/>
      <c r="E111" s="3"/>
      <c r="F111" s="4"/>
      <c r="G111" s="5"/>
      <c r="I111" s="3"/>
      <c r="J111" s="3"/>
      <c r="K111" s="3"/>
      <c r="L111" s="103"/>
      <c r="M111" s="108"/>
      <c r="N111" s="9"/>
    </row>
    <row r="112" spans="1:14" ht="24" customHeight="1">
      <c r="A112" s="1"/>
      <c r="B112" s="1"/>
      <c r="C112" s="33" t="s">
        <v>225</v>
      </c>
      <c r="D112" s="1"/>
      <c r="E112" s="3"/>
      <c r="F112" s="4"/>
      <c r="G112" s="5"/>
      <c r="I112" s="3"/>
      <c r="J112" s="3"/>
      <c r="K112" s="3"/>
      <c r="L112" s="103"/>
      <c r="M112" s="108"/>
      <c r="N112" s="9"/>
    </row>
    <row r="113" spans="1:14" ht="13.95" customHeight="1">
      <c r="A113" s="1"/>
      <c r="B113" s="1"/>
      <c r="C113" s="33"/>
      <c r="D113" s="1"/>
      <c r="E113" s="3"/>
      <c r="F113" s="4"/>
      <c r="G113" s="5"/>
      <c r="I113" s="3"/>
      <c r="J113" s="3"/>
      <c r="K113" s="3"/>
      <c r="L113" s="103"/>
      <c r="M113" s="108"/>
      <c r="N113" s="9"/>
    </row>
    <row r="114" spans="1:14" ht="13.95" customHeight="1">
      <c r="A114" s="1">
        <v>20</v>
      </c>
      <c r="B114" s="1"/>
      <c r="C114" s="33" t="s">
        <v>37</v>
      </c>
      <c r="D114" s="1" t="s">
        <v>6</v>
      </c>
      <c r="E114" s="3">
        <f>SUM(I114:N114)</f>
        <v>0</v>
      </c>
      <c r="F114" s="3">
        <v>75</v>
      </c>
      <c r="G114" s="5">
        <f t="shared" ref="G114" si="26">+E114*F114</f>
        <v>0</v>
      </c>
      <c r="I114" s="3"/>
      <c r="J114" s="3"/>
      <c r="K114" s="3"/>
      <c r="L114" s="103"/>
      <c r="M114" s="108"/>
      <c r="N114" s="9"/>
    </row>
    <row r="115" spans="1:14" ht="13.95" customHeight="1">
      <c r="A115" s="1"/>
      <c r="B115" s="1"/>
      <c r="C115" s="33"/>
      <c r="D115" s="1"/>
      <c r="E115" s="3"/>
      <c r="F115" s="3"/>
      <c r="G115" s="5"/>
      <c r="I115" s="3"/>
      <c r="J115" s="3"/>
      <c r="K115" s="3"/>
      <c r="L115" s="103"/>
      <c r="M115" s="108"/>
      <c r="N115" s="9"/>
    </row>
    <row r="116" spans="1:14" ht="13.95" customHeight="1">
      <c r="A116" s="1"/>
      <c r="B116" s="1"/>
      <c r="C116" s="33" t="s">
        <v>226</v>
      </c>
      <c r="D116" s="1" t="s">
        <v>6</v>
      </c>
      <c r="E116" s="3">
        <f>SUM(I116:N116)</f>
        <v>0</v>
      </c>
      <c r="F116" s="3">
        <v>275</v>
      </c>
      <c r="G116" s="5">
        <f t="shared" ref="G116" si="27">+E116*F116</f>
        <v>0</v>
      </c>
      <c r="I116" s="3"/>
      <c r="J116" s="3"/>
      <c r="K116" s="3"/>
      <c r="L116" s="103"/>
      <c r="M116" s="108"/>
      <c r="N116" s="9"/>
    </row>
    <row r="117" spans="1:14" ht="13.95" customHeight="1">
      <c r="A117" s="1"/>
      <c r="B117" s="1"/>
      <c r="D117" s="1"/>
      <c r="E117" s="3"/>
      <c r="F117" s="4"/>
      <c r="G117" s="5"/>
      <c r="I117" s="3"/>
      <c r="J117" s="3"/>
      <c r="K117" s="3"/>
      <c r="L117" s="103"/>
      <c r="M117" s="108"/>
      <c r="N117" s="9"/>
    </row>
    <row r="118" spans="1:14" ht="13.95" customHeight="1">
      <c r="A118" s="1"/>
      <c r="B118" s="1"/>
      <c r="C118" s="42" t="s">
        <v>104</v>
      </c>
      <c r="D118" s="1"/>
      <c r="E118" s="3"/>
      <c r="F118" s="4"/>
      <c r="G118" s="5"/>
      <c r="I118" s="3"/>
      <c r="J118" s="3"/>
      <c r="K118" s="3"/>
      <c r="L118" s="103"/>
      <c r="M118" s="108"/>
      <c r="N118" s="9"/>
    </row>
    <row r="119" spans="1:14" ht="13.95" customHeight="1">
      <c r="A119" s="1"/>
      <c r="B119" s="1"/>
      <c r="C119" s="6"/>
      <c r="D119" s="1"/>
      <c r="E119" s="3"/>
      <c r="F119" s="4"/>
      <c r="G119" s="5"/>
      <c r="I119" s="3"/>
      <c r="J119" s="3"/>
      <c r="K119" s="3"/>
      <c r="L119" s="103"/>
      <c r="M119" s="108"/>
      <c r="N119" s="9"/>
    </row>
    <row r="120" spans="1:14" ht="13.95" customHeight="1">
      <c r="A120" s="1">
        <f>A114+1</f>
        <v>21</v>
      </c>
      <c r="B120" s="1"/>
      <c r="C120" s="6" t="s">
        <v>106</v>
      </c>
      <c r="D120" s="1" t="s">
        <v>1</v>
      </c>
      <c r="E120" s="3">
        <f>SUM(I120:AG120)</f>
        <v>140</v>
      </c>
      <c r="F120" s="3">
        <v>36</v>
      </c>
      <c r="G120" s="5">
        <f t="shared" ref="G120" si="28">+E120*F120</f>
        <v>5040</v>
      </c>
      <c r="I120" s="3"/>
      <c r="J120" s="3">
        <v>140</v>
      </c>
      <c r="K120" s="3"/>
      <c r="L120" s="103"/>
      <c r="M120" s="108"/>
      <c r="N120" s="9"/>
    </row>
    <row r="121" spans="1:14" ht="13.95" customHeight="1">
      <c r="A121" s="1"/>
      <c r="B121" s="1"/>
      <c r="C121" s="6"/>
      <c r="D121" s="1"/>
      <c r="E121" s="3"/>
      <c r="F121" s="4"/>
      <c r="G121" s="5"/>
      <c r="I121" s="3"/>
      <c r="J121" s="3"/>
      <c r="K121" s="3"/>
      <c r="L121" s="103"/>
      <c r="M121" s="108"/>
      <c r="N121" s="9"/>
    </row>
    <row r="122" spans="1:14" ht="13.95" customHeight="1">
      <c r="A122" s="1"/>
      <c r="B122" s="2" t="s">
        <v>91</v>
      </c>
      <c r="C122" s="34" t="s">
        <v>18</v>
      </c>
      <c r="D122" s="1"/>
      <c r="E122" s="3"/>
      <c r="F122" s="4"/>
      <c r="G122" s="5"/>
      <c r="I122" s="3"/>
      <c r="J122" s="3"/>
      <c r="K122" s="3"/>
      <c r="L122" s="103"/>
      <c r="M122" s="108"/>
      <c r="N122" s="9"/>
    </row>
    <row r="123" spans="1:14" ht="13.95" customHeight="1">
      <c r="A123" s="1"/>
      <c r="B123" s="1"/>
      <c r="C123" s="33"/>
      <c r="D123" s="1"/>
      <c r="E123" s="3"/>
      <c r="F123" s="4"/>
      <c r="G123" s="5"/>
      <c r="I123" s="3"/>
      <c r="J123" s="3"/>
      <c r="K123" s="3"/>
      <c r="L123" s="103"/>
      <c r="M123" s="108"/>
      <c r="N123" s="9"/>
    </row>
    <row r="124" spans="1:14" ht="13.95" customHeight="1">
      <c r="A124" s="1"/>
      <c r="B124" s="1" t="s">
        <v>84</v>
      </c>
      <c r="C124" s="32" t="s">
        <v>19</v>
      </c>
      <c r="D124" s="1"/>
      <c r="E124" s="3"/>
      <c r="F124" s="4"/>
      <c r="G124" s="5"/>
      <c r="I124" s="3"/>
      <c r="J124" s="3"/>
      <c r="K124" s="3"/>
      <c r="L124" s="103"/>
      <c r="M124" s="108"/>
      <c r="N124" s="9"/>
    </row>
    <row r="125" spans="1:14" ht="13.95" customHeight="1">
      <c r="A125" s="1"/>
      <c r="B125" s="1"/>
      <c r="C125" s="33"/>
      <c r="D125" s="1"/>
      <c r="E125" s="3"/>
      <c r="F125" s="4"/>
      <c r="G125" s="5"/>
      <c r="I125" s="3"/>
      <c r="J125" s="3"/>
      <c r="K125" s="3"/>
      <c r="L125" s="103"/>
      <c r="M125" s="108"/>
      <c r="N125" s="9"/>
    </row>
    <row r="126" spans="1:14" ht="13.95" customHeight="1">
      <c r="A126" s="1">
        <f>A120+1</f>
        <v>22</v>
      </c>
      <c r="B126" s="1"/>
      <c r="C126" s="33" t="s">
        <v>72</v>
      </c>
      <c r="D126" s="1" t="s">
        <v>2</v>
      </c>
      <c r="E126" s="3">
        <f>SUM(I126:N126)</f>
        <v>8.8000000000000007</v>
      </c>
      <c r="F126" s="3">
        <v>25750</v>
      </c>
      <c r="G126" s="5">
        <f t="shared" ref="G126" si="29">+E126*F126</f>
        <v>226600.00000000003</v>
      </c>
      <c r="I126" s="4"/>
      <c r="J126" s="4">
        <v>8.4</v>
      </c>
      <c r="K126" s="4">
        <v>0.4</v>
      </c>
      <c r="L126" s="103"/>
      <c r="M126" s="108"/>
      <c r="N126" s="9"/>
    </row>
    <row r="127" spans="1:14" ht="13.95" customHeight="1">
      <c r="A127" s="1"/>
      <c r="B127" s="1"/>
      <c r="C127" s="33"/>
      <c r="D127" s="1"/>
      <c r="E127" s="3"/>
      <c r="F127" s="4"/>
      <c r="G127" s="5"/>
      <c r="I127" s="3"/>
      <c r="J127" s="3"/>
      <c r="K127" s="3"/>
      <c r="L127" s="103"/>
      <c r="M127" s="108"/>
      <c r="N127" s="9"/>
    </row>
    <row r="128" spans="1:14" ht="13.95" customHeight="1">
      <c r="A128" s="1"/>
      <c r="B128" s="1" t="s">
        <v>92</v>
      </c>
      <c r="C128" s="32" t="s">
        <v>3</v>
      </c>
      <c r="D128" s="1"/>
      <c r="E128" s="3"/>
      <c r="F128" s="4"/>
      <c r="G128" s="5"/>
      <c r="I128" s="3"/>
      <c r="J128" s="3"/>
      <c r="K128" s="3"/>
      <c r="L128" s="103"/>
      <c r="M128" s="108"/>
      <c r="N128" s="9"/>
    </row>
    <row r="129" spans="1:14" ht="13.95" customHeight="1">
      <c r="A129" s="1"/>
      <c r="B129" s="1"/>
      <c r="C129" s="33"/>
      <c r="D129" s="1"/>
      <c r="E129" s="3"/>
      <c r="F129" s="4"/>
      <c r="G129" s="5"/>
      <c r="I129" s="3"/>
      <c r="J129" s="3"/>
      <c r="K129" s="3"/>
      <c r="L129" s="103"/>
      <c r="M129" s="108"/>
      <c r="N129" s="9"/>
    </row>
    <row r="130" spans="1:14" ht="13.95" customHeight="1">
      <c r="A130" s="1">
        <f>A126+1</f>
        <v>23</v>
      </c>
      <c r="B130" s="1"/>
      <c r="C130" s="33" t="s">
        <v>73</v>
      </c>
      <c r="D130" s="1" t="s">
        <v>60</v>
      </c>
      <c r="E130" s="3">
        <f>SUM(I130:N130)</f>
        <v>100</v>
      </c>
      <c r="F130" s="13">
        <v>345</v>
      </c>
      <c r="G130" s="5">
        <f t="shared" ref="G130" si="30">+E130*F130</f>
        <v>34500</v>
      </c>
      <c r="I130" s="3">
        <v>100</v>
      </c>
      <c r="J130" s="3"/>
      <c r="K130" s="3"/>
      <c r="L130" s="103"/>
      <c r="M130" s="108"/>
      <c r="N130" s="9"/>
    </row>
    <row r="131" spans="1:14" ht="13.95" customHeight="1">
      <c r="A131" s="1"/>
      <c r="B131" s="1"/>
      <c r="C131" s="33"/>
      <c r="D131" s="1"/>
      <c r="E131" s="3"/>
      <c r="F131" s="4"/>
      <c r="G131" s="5"/>
      <c r="I131" s="3"/>
      <c r="J131" s="3"/>
      <c r="K131" s="3"/>
      <c r="L131" s="103"/>
      <c r="M131" s="108"/>
      <c r="N131" s="9"/>
    </row>
    <row r="132" spans="1:14" ht="13.95" customHeight="1">
      <c r="A132" s="1"/>
      <c r="B132" s="36" t="s">
        <v>93</v>
      </c>
      <c r="C132" s="34" t="s">
        <v>4</v>
      </c>
      <c r="D132" s="1"/>
      <c r="E132" s="3"/>
      <c r="F132" s="4"/>
      <c r="G132" s="5"/>
      <c r="I132" s="3"/>
      <c r="J132" s="3"/>
      <c r="K132" s="3"/>
      <c r="L132" s="103"/>
      <c r="M132" s="108"/>
      <c r="N132" s="9"/>
    </row>
    <row r="133" spans="1:14" ht="13.95" customHeight="1">
      <c r="A133" s="1"/>
      <c r="C133" s="33"/>
      <c r="D133" s="1"/>
      <c r="E133" s="3"/>
      <c r="F133" s="4"/>
      <c r="G133" s="5"/>
      <c r="I133" s="3"/>
      <c r="J133" s="3"/>
      <c r="K133" s="3"/>
      <c r="L133" s="103"/>
      <c r="M133" s="108"/>
      <c r="N133" s="9"/>
    </row>
    <row r="134" spans="1:14" ht="13.95" customHeight="1">
      <c r="A134" s="1"/>
      <c r="B134" s="20" t="s">
        <v>94</v>
      </c>
      <c r="C134" s="32" t="s">
        <v>5</v>
      </c>
      <c r="D134" s="1"/>
      <c r="E134" s="3"/>
      <c r="F134" s="4"/>
      <c r="G134" s="5"/>
      <c r="I134" s="3"/>
      <c r="J134" s="3"/>
      <c r="K134" s="3"/>
      <c r="L134" s="103"/>
      <c r="M134" s="108"/>
      <c r="N134" s="9"/>
    </row>
    <row r="135" spans="1:14" ht="13.95" customHeight="1">
      <c r="A135" s="1"/>
      <c r="C135" s="33"/>
      <c r="D135" s="1"/>
      <c r="E135" s="3"/>
      <c r="F135" s="4"/>
      <c r="G135" s="5"/>
      <c r="I135" s="3"/>
      <c r="J135" s="3"/>
      <c r="K135" s="3"/>
      <c r="L135" s="103"/>
      <c r="M135" s="108"/>
      <c r="N135" s="9"/>
    </row>
    <row r="136" spans="1:14" ht="13.95" customHeight="1">
      <c r="A136" s="1"/>
      <c r="C136" s="33" t="s">
        <v>74</v>
      </c>
      <c r="D136" s="1"/>
      <c r="E136" s="3"/>
      <c r="F136" s="4"/>
      <c r="G136" s="5"/>
      <c r="I136" s="3"/>
      <c r="J136" s="3"/>
      <c r="K136" s="3"/>
      <c r="L136" s="103"/>
      <c r="M136" s="108"/>
      <c r="N136" s="9"/>
    </row>
    <row r="137" spans="1:14" ht="13.95" customHeight="1">
      <c r="A137" s="1"/>
      <c r="C137" s="33"/>
      <c r="D137" s="1"/>
      <c r="E137" s="3"/>
      <c r="F137" s="4"/>
      <c r="G137" s="5"/>
      <c r="I137" s="3"/>
      <c r="J137" s="3"/>
      <c r="K137" s="3"/>
      <c r="L137" s="103"/>
      <c r="M137" s="108"/>
      <c r="N137" s="9"/>
    </row>
    <row r="138" spans="1:14" ht="13.95" customHeight="1">
      <c r="A138" s="1">
        <f>A130+1</f>
        <v>24</v>
      </c>
      <c r="C138" s="33" t="s">
        <v>24</v>
      </c>
      <c r="D138" s="1" t="s">
        <v>60</v>
      </c>
      <c r="E138" s="3">
        <f>SUM(I138:N138)</f>
        <v>97.29</v>
      </c>
      <c r="F138" s="3">
        <v>175</v>
      </c>
      <c r="G138" s="5">
        <f t="shared" ref="G138" si="31">+E138*F138</f>
        <v>17025.75</v>
      </c>
      <c r="I138" s="3"/>
      <c r="J138" s="3">
        <v>92</v>
      </c>
      <c r="K138" s="3">
        <v>5.29</v>
      </c>
      <c r="L138" s="103"/>
      <c r="M138" s="108"/>
      <c r="N138" s="9"/>
    </row>
    <row r="139" spans="1:14" ht="13.95" customHeight="1">
      <c r="A139" s="1"/>
      <c r="C139" s="33"/>
      <c r="D139" s="1"/>
      <c r="E139" s="3"/>
      <c r="F139" s="3"/>
      <c r="G139" s="5"/>
      <c r="I139" s="3"/>
      <c r="J139" s="3"/>
      <c r="K139" s="3"/>
      <c r="L139" s="103"/>
      <c r="M139" s="108"/>
      <c r="N139" s="9"/>
    </row>
    <row r="140" spans="1:14" ht="13.95" customHeight="1">
      <c r="A140" s="1"/>
      <c r="C140" s="33"/>
      <c r="D140" s="1"/>
      <c r="E140" s="3"/>
      <c r="F140" s="3"/>
      <c r="G140" s="5"/>
      <c r="I140" s="3"/>
      <c r="J140" s="3"/>
      <c r="K140" s="3"/>
      <c r="L140" s="103"/>
      <c r="M140" s="108"/>
      <c r="N140" s="9"/>
    </row>
    <row r="141" spans="1:14" ht="13.95" customHeight="1">
      <c r="A141" s="1"/>
      <c r="C141" s="33"/>
      <c r="D141" s="1"/>
      <c r="E141" s="3"/>
      <c r="F141" s="3"/>
      <c r="G141" s="5"/>
      <c r="I141" s="3"/>
      <c r="J141" s="3"/>
      <c r="K141" s="3"/>
      <c r="L141" s="103"/>
      <c r="M141" s="108"/>
      <c r="N141" s="9"/>
    </row>
    <row r="142" spans="1:14" ht="13.95" customHeight="1">
      <c r="A142" s="1"/>
      <c r="C142" s="33"/>
      <c r="D142" s="1"/>
      <c r="E142" s="3"/>
      <c r="F142" s="3"/>
      <c r="G142" s="5"/>
      <c r="I142" s="3"/>
      <c r="J142" s="3"/>
      <c r="K142" s="3"/>
      <c r="L142" s="103"/>
      <c r="M142" s="108"/>
      <c r="N142" s="9"/>
    </row>
    <row r="143" spans="1:14" ht="13.95" customHeight="1">
      <c r="A143" s="1"/>
      <c r="C143" s="33"/>
      <c r="D143" s="1"/>
      <c r="E143" s="3"/>
      <c r="F143" s="3"/>
      <c r="G143" s="5"/>
      <c r="I143" s="3"/>
      <c r="J143" s="3"/>
      <c r="K143" s="3"/>
      <c r="L143" s="103"/>
      <c r="M143" s="108"/>
      <c r="N143" s="9"/>
    </row>
    <row r="144" spans="1:14" ht="13.95" customHeight="1">
      <c r="A144" s="1"/>
      <c r="C144" s="33"/>
      <c r="D144" s="1"/>
      <c r="E144" s="3"/>
      <c r="F144" s="3"/>
      <c r="G144" s="5"/>
      <c r="I144" s="3"/>
      <c r="J144" s="3"/>
      <c r="K144" s="3"/>
      <c r="L144" s="103"/>
      <c r="M144" s="108"/>
      <c r="N144" s="9"/>
    </row>
    <row r="145" spans="1:14" ht="13.95" customHeight="1">
      <c r="A145" s="1"/>
      <c r="B145" s="1"/>
      <c r="C145" s="33"/>
      <c r="D145" s="1"/>
      <c r="E145" s="3"/>
      <c r="F145" s="4"/>
      <c r="G145" s="5"/>
      <c r="I145" s="3"/>
      <c r="J145" s="3"/>
      <c r="K145" s="3"/>
      <c r="L145" s="103"/>
      <c r="M145" s="108"/>
      <c r="N145" s="9"/>
    </row>
    <row r="146" spans="1:14" ht="13.95" customHeight="1">
      <c r="A146" s="1"/>
      <c r="B146" s="1"/>
      <c r="C146" s="33"/>
      <c r="D146" s="1"/>
      <c r="E146" s="3"/>
      <c r="F146" s="4"/>
      <c r="G146" s="5"/>
      <c r="I146" s="3"/>
      <c r="J146" s="3"/>
      <c r="K146" s="3"/>
      <c r="L146" s="103"/>
      <c r="M146" s="108"/>
      <c r="N146" s="9"/>
    </row>
    <row r="147" spans="1:14" ht="13.95" customHeight="1">
      <c r="A147" s="1"/>
      <c r="B147" s="1"/>
      <c r="C147" s="33"/>
      <c r="D147" s="1"/>
      <c r="E147" s="3"/>
      <c r="F147" s="4"/>
      <c r="G147" s="5"/>
      <c r="I147" s="3"/>
      <c r="J147" s="3"/>
      <c r="K147" s="3"/>
      <c r="L147" s="103"/>
      <c r="M147" s="108"/>
      <c r="N147" s="9"/>
    </row>
    <row r="148" spans="1:14" ht="20.100000000000001" customHeight="1">
      <c r="A148" s="149" t="s">
        <v>66</v>
      </c>
      <c r="B148" s="150"/>
      <c r="C148" s="150"/>
      <c r="D148" s="150"/>
      <c r="E148" s="150"/>
      <c r="F148" s="151"/>
      <c r="G148" s="116">
        <f>SUM(G100:G147)</f>
        <v>696380.5</v>
      </c>
      <c r="I148" s="9"/>
      <c r="J148" s="9"/>
      <c r="K148" s="9"/>
      <c r="L148" s="103"/>
      <c r="M148" s="108"/>
      <c r="N148" s="9"/>
    </row>
    <row r="149" spans="1:14" ht="13.95" customHeight="1">
      <c r="A149" s="39"/>
      <c r="B149" s="39"/>
      <c r="C149" s="39"/>
      <c r="D149" s="39"/>
      <c r="E149" s="39"/>
      <c r="F149" s="39"/>
      <c r="G149" s="113"/>
      <c r="I149" s="9"/>
      <c r="J149" s="9"/>
      <c r="K149" s="9"/>
      <c r="L149" s="103"/>
      <c r="M149" s="108"/>
      <c r="N149" s="9"/>
    </row>
    <row r="150" spans="1:14" ht="13.95" customHeight="1">
      <c r="A150" s="39"/>
      <c r="B150" s="39"/>
      <c r="C150" s="39"/>
      <c r="D150" s="39"/>
      <c r="E150" s="39"/>
      <c r="F150" s="39"/>
      <c r="G150" s="113"/>
      <c r="I150" s="9"/>
      <c r="J150" s="9"/>
      <c r="K150" s="9"/>
      <c r="L150" s="103"/>
      <c r="M150" s="108"/>
      <c r="N150" s="9"/>
    </row>
    <row r="151" spans="1:14" ht="22.2" customHeight="1">
      <c r="A151" s="44" t="s">
        <v>8</v>
      </c>
      <c r="B151" s="48" t="s">
        <v>9</v>
      </c>
      <c r="C151" s="44" t="s">
        <v>10</v>
      </c>
      <c r="D151" s="48" t="s">
        <v>11</v>
      </c>
      <c r="E151" s="48" t="s">
        <v>59</v>
      </c>
      <c r="F151" s="49" t="s">
        <v>12</v>
      </c>
      <c r="G151" s="111" t="s">
        <v>13</v>
      </c>
      <c r="I151" s="9"/>
      <c r="J151" s="9"/>
      <c r="K151" s="9"/>
      <c r="L151" s="103"/>
      <c r="M151" s="108"/>
      <c r="N151" s="9"/>
    </row>
    <row r="152" spans="1:14" ht="20.100000000000001" customHeight="1">
      <c r="A152" s="149" t="s">
        <v>67</v>
      </c>
      <c r="B152" s="150"/>
      <c r="C152" s="150"/>
      <c r="D152" s="150"/>
      <c r="E152" s="150"/>
      <c r="F152" s="151"/>
      <c r="G152" s="116">
        <f>+G148</f>
        <v>696380.5</v>
      </c>
      <c r="I152" s="9"/>
      <c r="J152" s="9"/>
      <c r="K152" s="9"/>
      <c r="L152" s="103"/>
      <c r="M152" s="108"/>
      <c r="N152" s="9"/>
    </row>
    <row r="153" spans="1:14" ht="13.95" customHeight="1">
      <c r="A153" s="1"/>
      <c r="B153" s="1"/>
      <c r="C153" s="33"/>
      <c r="D153" s="1"/>
      <c r="E153" s="3"/>
      <c r="F153" s="4"/>
      <c r="G153" s="5"/>
      <c r="I153" s="3"/>
      <c r="J153" s="3"/>
      <c r="K153" s="3"/>
      <c r="L153" s="103"/>
      <c r="M153" s="108"/>
      <c r="N153" s="9"/>
    </row>
    <row r="154" spans="1:14" ht="13.95" customHeight="1">
      <c r="A154" s="1"/>
      <c r="B154" s="1"/>
      <c r="C154" s="32" t="s">
        <v>158</v>
      </c>
      <c r="D154" s="1"/>
      <c r="E154" s="3"/>
      <c r="F154" s="4"/>
      <c r="G154" s="5"/>
      <c r="I154" s="3"/>
      <c r="J154" s="3"/>
      <c r="K154" s="3"/>
      <c r="L154" s="103"/>
      <c r="M154" s="108"/>
      <c r="N154" s="9"/>
    </row>
    <row r="155" spans="1:14" ht="13.95" customHeight="1">
      <c r="A155" s="1"/>
      <c r="B155" s="1"/>
      <c r="C155" s="33"/>
      <c r="D155" s="1"/>
      <c r="E155" s="3"/>
      <c r="F155" s="4"/>
      <c r="G155" s="5"/>
      <c r="I155" s="3"/>
      <c r="J155" s="3"/>
      <c r="K155" s="3"/>
      <c r="L155" s="103"/>
      <c r="M155" s="108"/>
      <c r="N155" s="9"/>
    </row>
    <row r="156" spans="1:14" ht="13.95" customHeight="1">
      <c r="A156" s="1">
        <f>A138+1</f>
        <v>25</v>
      </c>
      <c r="B156" s="1"/>
      <c r="C156" s="33" t="s">
        <v>202</v>
      </c>
      <c r="D156" s="1" t="s">
        <v>51</v>
      </c>
      <c r="E156" s="3">
        <f>SUM(I156:N156)</f>
        <v>0</v>
      </c>
      <c r="F156" s="3">
        <v>3550</v>
      </c>
      <c r="G156" s="5">
        <f t="shared" ref="G156" si="32">+E156*F156</f>
        <v>0</v>
      </c>
      <c r="I156" s="3"/>
      <c r="J156" s="3"/>
      <c r="K156" s="3"/>
      <c r="L156" s="103"/>
      <c r="M156" s="108"/>
      <c r="N156" s="9"/>
    </row>
    <row r="157" spans="1:14" ht="13.95" customHeight="1">
      <c r="A157" s="1"/>
      <c r="B157" s="1"/>
      <c r="C157" s="33"/>
      <c r="D157" s="1"/>
      <c r="E157" s="3"/>
      <c r="F157" s="3"/>
      <c r="G157" s="5"/>
      <c r="I157" s="3"/>
      <c r="J157" s="3"/>
      <c r="K157" s="3"/>
      <c r="L157" s="103"/>
      <c r="M157" s="108"/>
      <c r="N157" s="9"/>
    </row>
    <row r="158" spans="1:14" ht="13.95" customHeight="1">
      <c r="A158" s="1">
        <f>A156+1</f>
        <v>26</v>
      </c>
      <c r="B158" s="1"/>
      <c r="C158" s="33" t="s">
        <v>28</v>
      </c>
      <c r="D158" s="1" t="s">
        <v>51</v>
      </c>
      <c r="E158" s="3">
        <f>SUM(I158:N158)</f>
        <v>39.119999999999997</v>
      </c>
      <c r="F158" s="3">
        <v>3200</v>
      </c>
      <c r="G158" s="5">
        <f t="shared" ref="G158" si="33">+E158*F158</f>
        <v>125183.99999999999</v>
      </c>
      <c r="I158" s="3"/>
      <c r="J158" s="3">
        <v>37</v>
      </c>
      <c r="K158" s="3">
        <v>2.12</v>
      </c>
      <c r="L158" s="103"/>
      <c r="M158" s="108"/>
      <c r="N158" s="9"/>
    </row>
    <row r="159" spans="1:14" ht="13.95" customHeight="1">
      <c r="A159" s="1"/>
      <c r="B159" s="1"/>
      <c r="C159" s="33"/>
      <c r="D159" s="1"/>
      <c r="E159" s="3"/>
      <c r="F159" s="3"/>
      <c r="G159" s="5"/>
      <c r="I159" s="3"/>
      <c r="J159" s="3"/>
      <c r="K159" s="3"/>
      <c r="L159" s="103"/>
      <c r="M159" s="108"/>
      <c r="N159" s="9"/>
    </row>
    <row r="160" spans="1:14" ht="13.95" customHeight="1">
      <c r="A160" s="1">
        <v>25</v>
      </c>
      <c r="B160" s="1"/>
      <c r="C160" s="33" t="s">
        <v>62</v>
      </c>
      <c r="D160" s="1" t="s">
        <v>51</v>
      </c>
      <c r="E160" s="3">
        <f>SUM(I160:N160)</f>
        <v>30.25</v>
      </c>
      <c r="F160" s="3">
        <v>3350</v>
      </c>
      <c r="G160" s="5">
        <f t="shared" ref="G160" si="34">+E160*F160</f>
        <v>101337.5</v>
      </c>
      <c r="I160" s="3"/>
      <c r="J160" s="3">
        <v>29</v>
      </c>
      <c r="K160" s="3">
        <v>1.25</v>
      </c>
      <c r="L160" s="103"/>
      <c r="M160" s="108"/>
      <c r="N160" s="9"/>
    </row>
    <row r="161" spans="1:14" ht="13.95" customHeight="1">
      <c r="A161" s="1"/>
      <c r="B161" s="1"/>
      <c r="C161" s="33"/>
      <c r="D161" s="1"/>
      <c r="E161" s="3"/>
      <c r="F161" s="3"/>
      <c r="G161" s="5"/>
      <c r="I161" s="3"/>
      <c r="J161" s="3"/>
      <c r="K161" s="3"/>
      <c r="L161" s="103"/>
      <c r="M161" s="108"/>
      <c r="N161" s="9"/>
    </row>
    <row r="162" spans="1:14" ht="13.95" customHeight="1">
      <c r="A162" s="1">
        <v>26</v>
      </c>
      <c r="B162" s="1"/>
      <c r="C162" s="33" t="s">
        <v>27</v>
      </c>
      <c r="D162" s="1" t="s">
        <v>51</v>
      </c>
      <c r="E162" s="3">
        <f>SUM(I162:N162)</f>
        <v>20</v>
      </c>
      <c r="F162" s="3">
        <v>3200</v>
      </c>
      <c r="G162" s="5">
        <f t="shared" ref="G162" si="35">+E162*F162</f>
        <v>64000</v>
      </c>
      <c r="I162" s="3">
        <v>20</v>
      </c>
      <c r="J162" s="3"/>
      <c r="K162" s="3"/>
      <c r="L162" s="103"/>
      <c r="M162" s="108"/>
      <c r="N162" s="9"/>
    </row>
    <row r="163" spans="1:14" ht="13.95" customHeight="1">
      <c r="A163" s="1"/>
      <c r="B163" s="1"/>
      <c r="C163" s="33"/>
      <c r="D163" s="1"/>
      <c r="E163" s="3"/>
      <c r="F163" s="3"/>
      <c r="G163" s="5"/>
      <c r="I163" s="3"/>
      <c r="J163" s="3"/>
      <c r="K163" s="3"/>
      <c r="L163" s="103"/>
      <c r="M163" s="108"/>
      <c r="N163" s="9"/>
    </row>
    <row r="164" spans="1:14" ht="13.95" customHeight="1">
      <c r="A164" s="1">
        <f>A162+1</f>
        <v>27</v>
      </c>
      <c r="B164" s="1"/>
      <c r="C164" s="33" t="s">
        <v>250</v>
      </c>
      <c r="D164" s="1" t="s">
        <v>51</v>
      </c>
      <c r="E164" s="3">
        <f>SUM(I164:N164)</f>
        <v>0</v>
      </c>
      <c r="F164" s="3">
        <v>3650</v>
      </c>
      <c r="G164" s="5">
        <f t="shared" ref="G164" si="36">+E164*F164</f>
        <v>0</v>
      </c>
      <c r="I164" s="3"/>
      <c r="J164" s="3"/>
      <c r="K164" s="3"/>
      <c r="L164" s="103"/>
      <c r="M164" s="108"/>
      <c r="N164" s="9"/>
    </row>
    <row r="165" spans="1:14" ht="13.95" customHeight="1">
      <c r="A165" s="1"/>
      <c r="B165" s="1"/>
      <c r="C165" s="33"/>
      <c r="D165" s="1"/>
      <c r="E165" s="3"/>
      <c r="F165" s="4"/>
      <c r="G165" s="5"/>
      <c r="I165" s="3"/>
      <c r="J165" s="3"/>
      <c r="K165" s="3"/>
      <c r="L165" s="103"/>
      <c r="M165" s="108"/>
      <c r="N165" s="9"/>
    </row>
    <row r="166" spans="1:14" ht="13.95" customHeight="1">
      <c r="A166" s="1"/>
      <c r="B166" s="1" t="s">
        <v>96</v>
      </c>
      <c r="C166" s="32" t="s">
        <v>159</v>
      </c>
      <c r="D166" s="1"/>
      <c r="E166" s="3"/>
      <c r="F166" s="4"/>
      <c r="G166" s="5"/>
      <c r="I166" s="9"/>
      <c r="J166" s="9"/>
      <c r="K166" s="9"/>
      <c r="L166" s="103"/>
      <c r="M166" s="108"/>
      <c r="N166" s="9"/>
    </row>
    <row r="167" spans="1:14" ht="13.95" customHeight="1">
      <c r="A167" s="1"/>
      <c r="B167" s="1"/>
      <c r="C167" s="33"/>
      <c r="D167" s="1"/>
      <c r="E167" s="3"/>
      <c r="F167" s="4"/>
      <c r="G167" s="5"/>
      <c r="I167" s="9"/>
      <c r="J167" s="9"/>
      <c r="K167" s="9"/>
      <c r="L167" s="103"/>
      <c r="M167" s="108"/>
      <c r="N167" s="9"/>
    </row>
    <row r="168" spans="1:14" ht="13.95" customHeight="1">
      <c r="A168" s="1"/>
      <c r="B168" s="1"/>
      <c r="C168" s="33" t="s">
        <v>160</v>
      </c>
      <c r="D168" s="1"/>
      <c r="E168" s="3"/>
      <c r="F168" s="4"/>
      <c r="G168" s="5"/>
      <c r="I168" s="9"/>
      <c r="J168" s="9"/>
      <c r="K168" s="9"/>
      <c r="L168" s="103"/>
      <c r="M168" s="108"/>
      <c r="N168" s="9"/>
    </row>
    <row r="169" spans="1:14" ht="13.95" customHeight="1">
      <c r="A169" s="1"/>
      <c r="B169" s="1"/>
      <c r="C169" s="33"/>
      <c r="D169" s="1"/>
      <c r="E169" s="3"/>
      <c r="F169" s="4"/>
      <c r="G169" s="5"/>
      <c r="I169" s="9"/>
      <c r="J169" s="9"/>
      <c r="K169" s="9"/>
      <c r="L169" s="103"/>
      <c r="M169" s="108"/>
      <c r="N169" s="9"/>
    </row>
    <row r="170" spans="1:14" ht="13.95" customHeight="1">
      <c r="A170" s="1">
        <f>A164+1</f>
        <v>28</v>
      </c>
      <c r="B170" s="1"/>
      <c r="C170" s="33" t="s">
        <v>28</v>
      </c>
      <c r="D170" s="1" t="s">
        <v>60</v>
      </c>
      <c r="E170" s="3">
        <f>SUM(I170:N170)</f>
        <v>97.29</v>
      </c>
      <c r="F170" s="3">
        <v>46</v>
      </c>
      <c r="G170" s="5">
        <f t="shared" ref="G170" si="37">+E170*F170</f>
        <v>4475.34</v>
      </c>
      <c r="I170" s="3"/>
      <c r="J170" s="3">
        <v>92</v>
      </c>
      <c r="K170" s="3">
        <v>5.29</v>
      </c>
      <c r="L170" s="103"/>
      <c r="M170" s="108"/>
      <c r="N170" s="9"/>
    </row>
    <row r="171" spans="1:14" ht="13.95" customHeight="1">
      <c r="A171" s="1"/>
      <c r="B171" s="1"/>
      <c r="C171" s="33"/>
      <c r="D171" s="1"/>
      <c r="E171" s="3"/>
      <c r="F171" s="3"/>
      <c r="G171" s="5"/>
      <c r="I171" s="3"/>
      <c r="J171" s="3"/>
      <c r="K171" s="3"/>
      <c r="L171" s="103"/>
      <c r="M171" s="108"/>
      <c r="N171" s="9"/>
    </row>
    <row r="172" spans="1:14" ht="13.95" customHeight="1">
      <c r="A172" s="1"/>
      <c r="B172" s="1"/>
      <c r="C172" s="33" t="s">
        <v>196</v>
      </c>
      <c r="D172" s="1"/>
      <c r="E172" s="3"/>
      <c r="F172" s="3"/>
      <c r="G172" s="5"/>
      <c r="I172" s="3"/>
      <c r="J172" s="3"/>
      <c r="K172" s="3"/>
      <c r="L172" s="103"/>
      <c r="M172" s="108"/>
      <c r="N172" s="9"/>
    </row>
    <row r="173" spans="1:14" ht="13.95" customHeight="1">
      <c r="A173" s="1"/>
      <c r="B173" s="1"/>
      <c r="C173" s="33"/>
      <c r="D173" s="1"/>
      <c r="E173" s="3"/>
      <c r="F173" s="3"/>
      <c r="G173" s="5"/>
      <c r="I173" s="3"/>
      <c r="J173" s="3"/>
      <c r="K173" s="3"/>
      <c r="L173" s="103"/>
      <c r="M173" s="108"/>
      <c r="N173" s="9"/>
    </row>
    <row r="174" spans="1:14" ht="13.95" customHeight="1">
      <c r="A174" s="1">
        <f>A170+1</f>
        <v>29</v>
      </c>
      <c r="B174" s="1"/>
      <c r="C174" s="33" t="s">
        <v>29</v>
      </c>
      <c r="D174" s="1" t="s">
        <v>60</v>
      </c>
      <c r="E174" s="3">
        <f>SUM(I174:N174)</f>
        <v>100</v>
      </c>
      <c r="F174" s="3">
        <v>75</v>
      </c>
      <c r="G174" s="5">
        <f t="shared" ref="G174" si="38">+E174*F174</f>
        <v>7500</v>
      </c>
      <c r="I174" s="3">
        <v>100</v>
      </c>
      <c r="J174" s="3"/>
      <c r="K174" s="3"/>
      <c r="L174" s="103"/>
      <c r="M174" s="108"/>
      <c r="N174" s="9"/>
    </row>
    <row r="175" spans="1:14" ht="13.95" customHeight="1">
      <c r="A175" s="1"/>
      <c r="B175" s="1"/>
      <c r="C175" s="33"/>
      <c r="D175" s="1"/>
      <c r="E175" s="3"/>
      <c r="F175" s="4"/>
      <c r="G175" s="5"/>
      <c r="I175" s="3"/>
      <c r="J175" s="3"/>
      <c r="K175" s="3"/>
      <c r="L175" s="103"/>
      <c r="M175" s="108"/>
      <c r="N175" s="9"/>
    </row>
    <row r="176" spans="1:14" ht="13.95" customHeight="1">
      <c r="A176" s="1"/>
      <c r="B176" s="1" t="s">
        <v>97</v>
      </c>
      <c r="C176" s="34" t="s">
        <v>20</v>
      </c>
      <c r="D176" s="1"/>
      <c r="E176" s="3"/>
      <c r="F176" s="4"/>
      <c r="G176" s="5"/>
      <c r="I176" s="3"/>
      <c r="J176" s="3"/>
      <c r="K176" s="3"/>
      <c r="L176" s="103"/>
      <c r="M176" s="108"/>
      <c r="N176" s="9"/>
    </row>
    <row r="177" spans="1:14" ht="13.95" customHeight="1">
      <c r="A177" s="1"/>
      <c r="B177" s="1"/>
      <c r="C177" s="34"/>
      <c r="D177" s="1"/>
      <c r="E177" s="3"/>
      <c r="F177" s="4"/>
      <c r="G177" s="5"/>
      <c r="I177" s="3"/>
      <c r="J177" s="3"/>
      <c r="K177" s="3"/>
      <c r="L177" s="103"/>
      <c r="M177" s="108"/>
      <c r="N177" s="9"/>
    </row>
    <row r="178" spans="1:14" ht="13.95" customHeight="1">
      <c r="A178" s="1"/>
      <c r="B178" s="1"/>
      <c r="C178" s="32" t="s">
        <v>213</v>
      </c>
      <c r="D178" s="1"/>
      <c r="E178" s="3"/>
      <c r="F178" s="4"/>
      <c r="G178" s="5"/>
      <c r="I178" s="3"/>
      <c r="J178" s="3"/>
      <c r="K178" s="3"/>
      <c r="L178" s="103"/>
      <c r="M178" s="108"/>
      <c r="N178" s="9"/>
    </row>
    <row r="179" spans="1:14" ht="13.95" customHeight="1">
      <c r="A179" s="1"/>
      <c r="B179" s="1"/>
      <c r="C179" s="34"/>
      <c r="D179" s="1"/>
      <c r="E179" s="3"/>
      <c r="F179" s="4"/>
      <c r="G179" s="5"/>
      <c r="I179" s="3"/>
      <c r="J179" s="3"/>
      <c r="K179" s="3"/>
      <c r="L179" s="103"/>
      <c r="M179" s="108"/>
      <c r="N179" s="9"/>
    </row>
    <row r="180" spans="1:14" ht="27" customHeight="1">
      <c r="A180" s="1">
        <f>A174+1</f>
        <v>30</v>
      </c>
      <c r="B180" s="1"/>
      <c r="C180" s="33" t="s">
        <v>237</v>
      </c>
      <c r="D180" s="1" t="s">
        <v>1</v>
      </c>
      <c r="E180" s="3">
        <f>SUM(I180:N180)</f>
        <v>0</v>
      </c>
      <c r="F180" s="3">
        <v>375</v>
      </c>
      <c r="G180" s="5">
        <f t="shared" ref="G180" si="39">+E180*F180</f>
        <v>0</v>
      </c>
      <c r="I180" s="3"/>
      <c r="J180" s="3"/>
      <c r="K180" s="3"/>
      <c r="L180" s="103"/>
      <c r="M180" s="108"/>
      <c r="N180" s="9"/>
    </row>
    <row r="181" spans="1:14" ht="13.95" customHeight="1">
      <c r="A181" s="1"/>
      <c r="B181" s="1"/>
      <c r="C181" s="33"/>
      <c r="D181" s="1"/>
      <c r="E181" s="3"/>
      <c r="F181" s="3"/>
      <c r="G181" s="5"/>
      <c r="I181" s="3"/>
      <c r="J181" s="3"/>
      <c r="K181" s="3"/>
      <c r="L181" s="103"/>
      <c r="M181" s="108"/>
      <c r="N181" s="9"/>
    </row>
    <row r="182" spans="1:14" ht="24.6" customHeight="1">
      <c r="A182" s="1">
        <f>A180+1</f>
        <v>31</v>
      </c>
      <c r="B182" s="1"/>
      <c r="C182" s="33" t="s">
        <v>285</v>
      </c>
      <c r="D182" s="1" t="s">
        <v>1</v>
      </c>
      <c r="E182" s="3">
        <f>SUM(I182:N182)</f>
        <v>50</v>
      </c>
      <c r="F182" s="3">
        <v>355</v>
      </c>
      <c r="G182" s="5">
        <f t="shared" ref="G182" si="40">+E182*F182</f>
        <v>17750</v>
      </c>
      <c r="I182" s="3">
        <v>50</v>
      </c>
      <c r="J182" s="3"/>
      <c r="K182" s="3"/>
      <c r="L182" s="104"/>
      <c r="M182" s="108"/>
      <c r="N182" s="9"/>
    </row>
    <row r="183" spans="1:14" ht="13.95" customHeight="1">
      <c r="A183" s="1"/>
      <c r="B183" s="1"/>
      <c r="C183" s="33"/>
      <c r="D183" s="1"/>
      <c r="E183" s="3"/>
      <c r="F183" s="3"/>
      <c r="G183" s="5"/>
      <c r="I183" s="3"/>
      <c r="J183" s="3"/>
      <c r="K183" s="3"/>
      <c r="L183" s="103"/>
      <c r="M183" s="108"/>
      <c r="N183" s="9"/>
    </row>
    <row r="184" spans="1:14" ht="23.4" customHeight="1">
      <c r="A184" s="1">
        <f>A182+1</f>
        <v>32</v>
      </c>
      <c r="B184" s="1"/>
      <c r="C184" s="33" t="s">
        <v>243</v>
      </c>
      <c r="D184" s="1" t="s">
        <v>1</v>
      </c>
      <c r="E184" s="3">
        <f>SUM(I184:N184)</f>
        <v>50</v>
      </c>
      <c r="F184" s="3">
        <v>195</v>
      </c>
      <c r="G184" s="5">
        <f t="shared" ref="G184" si="41">+E184*F184</f>
        <v>9750</v>
      </c>
      <c r="I184" s="3">
        <v>50</v>
      </c>
      <c r="J184" s="3"/>
      <c r="K184" s="3"/>
      <c r="L184" s="103"/>
      <c r="M184" s="108"/>
      <c r="N184" s="9"/>
    </row>
    <row r="185" spans="1:14" ht="13.95" customHeight="1">
      <c r="A185" s="1"/>
      <c r="B185" s="1"/>
      <c r="C185" s="33"/>
      <c r="D185" s="1"/>
      <c r="E185" s="3"/>
      <c r="F185" s="3"/>
      <c r="G185" s="5"/>
      <c r="I185" s="3"/>
      <c r="J185" s="3"/>
      <c r="K185" s="3"/>
      <c r="L185" s="103"/>
      <c r="M185" s="108"/>
      <c r="N185" s="9"/>
    </row>
    <row r="186" spans="1:14" ht="13.95" customHeight="1">
      <c r="A186" s="1"/>
      <c r="B186" s="1"/>
      <c r="C186" s="33" t="s">
        <v>239</v>
      </c>
      <c r="D186" s="1" t="s">
        <v>1</v>
      </c>
      <c r="E186" s="3">
        <f>SUM(I186:N186)</f>
        <v>15</v>
      </c>
      <c r="F186" s="3">
        <v>155</v>
      </c>
      <c r="G186" s="5">
        <f t="shared" ref="G186" si="42">+E186*F186</f>
        <v>2325</v>
      </c>
      <c r="I186" s="3">
        <v>15</v>
      </c>
      <c r="J186" s="3"/>
      <c r="K186" s="3"/>
      <c r="L186" s="103"/>
      <c r="M186" s="108"/>
      <c r="N186" s="9"/>
    </row>
    <row r="187" spans="1:14" ht="13.95" customHeight="1">
      <c r="A187" s="1"/>
      <c r="B187" s="1"/>
      <c r="C187" s="33"/>
      <c r="D187" s="1"/>
      <c r="E187" s="3"/>
      <c r="F187" s="4"/>
      <c r="G187" s="5"/>
      <c r="I187" s="3"/>
      <c r="J187" s="3"/>
      <c r="K187" s="3"/>
      <c r="L187" s="103"/>
      <c r="M187" s="108"/>
      <c r="N187" s="9"/>
    </row>
    <row r="188" spans="1:14" ht="13.95" customHeight="1">
      <c r="A188" s="1"/>
      <c r="B188" s="1"/>
      <c r="C188" s="32" t="s">
        <v>198</v>
      </c>
      <c r="D188" s="1"/>
      <c r="E188" s="3"/>
      <c r="F188" s="4"/>
      <c r="G188" s="5"/>
      <c r="I188" s="3"/>
      <c r="J188" s="3"/>
      <c r="K188" s="3"/>
      <c r="L188" s="103"/>
      <c r="M188" s="108"/>
      <c r="N188" s="9"/>
    </row>
    <row r="189" spans="1:14" ht="13.95" customHeight="1">
      <c r="A189" s="1"/>
      <c r="B189" s="1"/>
      <c r="C189" s="33"/>
      <c r="D189" s="1"/>
      <c r="E189" s="3"/>
      <c r="F189" s="4"/>
      <c r="G189" s="5"/>
      <c r="I189" s="3"/>
      <c r="J189" s="3"/>
      <c r="K189" s="3"/>
      <c r="L189" s="103"/>
      <c r="M189" s="108"/>
      <c r="N189" s="9"/>
    </row>
    <row r="190" spans="1:14" ht="13.95" customHeight="1">
      <c r="A190" s="1">
        <f>A184+1</f>
        <v>33</v>
      </c>
      <c r="B190" s="1"/>
      <c r="C190" s="33" t="s">
        <v>199</v>
      </c>
      <c r="D190" s="1" t="s">
        <v>1</v>
      </c>
      <c r="E190" s="3">
        <f>SUM(I190:N190)</f>
        <v>29</v>
      </c>
      <c r="F190" s="3">
        <f>F180</f>
        <v>375</v>
      </c>
      <c r="G190" s="5">
        <f t="shared" ref="G190" si="43">+E190*F190</f>
        <v>10875</v>
      </c>
      <c r="I190" s="3"/>
      <c r="J190" s="3">
        <v>29</v>
      </c>
      <c r="K190" s="3"/>
      <c r="L190" s="103"/>
      <c r="M190" s="108"/>
      <c r="N190" s="9"/>
    </row>
    <row r="191" spans="1:14" ht="13.95" customHeight="1">
      <c r="A191" s="1"/>
      <c r="B191" s="1"/>
      <c r="C191" s="33"/>
      <c r="D191" s="1"/>
      <c r="E191" s="3"/>
      <c r="F191" s="3"/>
      <c r="G191" s="5"/>
      <c r="I191" s="3"/>
      <c r="J191" s="3"/>
      <c r="K191" s="3"/>
      <c r="L191" s="103"/>
      <c r="M191" s="108"/>
      <c r="N191" s="9"/>
    </row>
    <row r="192" spans="1:14" ht="13.95" customHeight="1">
      <c r="A192" s="1">
        <f>A190+1</f>
        <v>34</v>
      </c>
      <c r="B192" s="1"/>
      <c r="C192" s="33" t="s">
        <v>200</v>
      </c>
      <c r="D192" s="1" t="s">
        <v>1</v>
      </c>
      <c r="E192" s="3">
        <f>SUM(I192:N192)</f>
        <v>23</v>
      </c>
      <c r="F192" s="3">
        <v>395</v>
      </c>
      <c r="G192" s="5">
        <f t="shared" ref="G192" si="44">+E192*F192</f>
        <v>9085</v>
      </c>
      <c r="I192" s="3"/>
      <c r="J192" s="3">
        <v>23</v>
      </c>
      <c r="K192" s="3"/>
      <c r="L192" s="103"/>
      <c r="M192" s="108"/>
      <c r="N192" s="9"/>
    </row>
    <row r="193" spans="1:14" ht="13.95" customHeight="1">
      <c r="A193" s="1"/>
      <c r="B193" s="1"/>
      <c r="C193" s="33"/>
      <c r="D193" s="1"/>
      <c r="E193" s="3"/>
      <c r="F193" s="3"/>
      <c r="G193" s="5"/>
      <c r="I193" s="3"/>
      <c r="J193" s="3"/>
      <c r="K193" s="3"/>
      <c r="L193" s="103"/>
      <c r="M193" s="108"/>
      <c r="N193" s="9"/>
    </row>
    <row r="194" spans="1:14" ht="13.95" customHeight="1">
      <c r="A194" s="1">
        <f>A192+1</f>
        <v>35</v>
      </c>
      <c r="B194" s="1"/>
      <c r="C194" s="33" t="s">
        <v>214</v>
      </c>
      <c r="D194" s="1" t="s">
        <v>1</v>
      </c>
      <c r="E194" s="3">
        <f>SUM(I194:N194)</f>
        <v>16</v>
      </c>
      <c r="F194" s="3">
        <v>395</v>
      </c>
      <c r="G194" s="5">
        <f t="shared" ref="G194" si="45">+E194*F194</f>
        <v>6320</v>
      </c>
      <c r="I194" s="3"/>
      <c r="J194" s="3">
        <v>16</v>
      </c>
      <c r="K194" s="3"/>
      <c r="L194" s="103"/>
      <c r="M194" s="108"/>
      <c r="N194" s="9"/>
    </row>
    <row r="195" spans="1:14" ht="13.95" customHeight="1">
      <c r="A195" s="1"/>
      <c r="B195" s="1"/>
      <c r="C195" s="33"/>
      <c r="D195" s="1"/>
      <c r="E195" s="3"/>
      <c r="F195" s="3"/>
      <c r="G195" s="5"/>
      <c r="I195" s="3"/>
      <c r="J195" s="3"/>
      <c r="K195" s="3"/>
      <c r="L195" s="103"/>
      <c r="M195" s="108"/>
      <c r="N195" s="9"/>
    </row>
    <row r="196" spans="1:14" ht="13.95" customHeight="1">
      <c r="A196" s="1"/>
      <c r="B196" s="1"/>
      <c r="C196" s="33"/>
      <c r="D196" s="1"/>
      <c r="E196" s="3"/>
      <c r="F196" s="4"/>
      <c r="G196" s="5"/>
      <c r="I196" s="3"/>
      <c r="J196" s="3"/>
      <c r="K196" s="3"/>
      <c r="L196" s="103"/>
      <c r="M196" s="108"/>
      <c r="N196" s="9"/>
    </row>
    <row r="197" spans="1:14" ht="13.95" customHeight="1">
      <c r="A197" s="1"/>
      <c r="B197" s="1"/>
      <c r="C197" s="33"/>
      <c r="D197" s="1"/>
      <c r="E197" s="3"/>
      <c r="F197" s="4"/>
      <c r="G197" s="5"/>
      <c r="I197" s="3"/>
      <c r="J197" s="3"/>
      <c r="K197" s="3"/>
      <c r="L197" s="103"/>
      <c r="M197" s="108"/>
      <c r="N197" s="9"/>
    </row>
    <row r="198" spans="1:14" ht="20.100000000000001" customHeight="1">
      <c r="A198" s="149" t="s">
        <v>66</v>
      </c>
      <c r="B198" s="150"/>
      <c r="C198" s="150"/>
      <c r="D198" s="150"/>
      <c r="E198" s="150"/>
      <c r="F198" s="151"/>
      <c r="G198" s="116">
        <f>SUM(G152:G197)</f>
        <v>1054982.3399999999</v>
      </c>
      <c r="I198" s="9"/>
      <c r="J198" s="9"/>
      <c r="K198" s="9"/>
      <c r="L198" s="103"/>
      <c r="M198" s="108"/>
      <c r="N198" s="9"/>
    </row>
    <row r="199" spans="1:14" ht="13.95" customHeight="1">
      <c r="A199" s="39"/>
      <c r="B199" s="39"/>
      <c r="C199" s="39"/>
      <c r="D199" s="39"/>
      <c r="E199" s="39"/>
      <c r="F199" s="39"/>
      <c r="G199" s="113"/>
      <c r="I199" s="9"/>
      <c r="J199" s="9"/>
      <c r="K199" s="9"/>
      <c r="L199" s="103"/>
      <c r="M199" s="108"/>
      <c r="N199" s="9"/>
    </row>
    <row r="200" spans="1:14" ht="13.95" customHeight="1">
      <c r="A200" s="39"/>
      <c r="B200" s="39"/>
      <c r="C200" s="39"/>
      <c r="D200" s="39"/>
      <c r="E200" s="39"/>
      <c r="F200" s="39"/>
      <c r="G200" s="113"/>
      <c r="I200" s="9"/>
      <c r="J200" s="9"/>
      <c r="K200" s="9"/>
      <c r="L200" s="103"/>
      <c r="M200" s="108"/>
      <c r="N200" s="9"/>
    </row>
    <row r="201" spans="1:14" ht="22.2" customHeight="1">
      <c r="A201" s="44" t="s">
        <v>8</v>
      </c>
      <c r="B201" s="48" t="s">
        <v>9</v>
      </c>
      <c r="C201" s="44" t="s">
        <v>10</v>
      </c>
      <c r="D201" s="48" t="s">
        <v>11</v>
      </c>
      <c r="E201" s="48" t="s">
        <v>59</v>
      </c>
      <c r="F201" s="49" t="s">
        <v>12</v>
      </c>
      <c r="G201" s="111" t="s">
        <v>13</v>
      </c>
      <c r="I201" s="9"/>
      <c r="J201" s="9"/>
      <c r="K201" s="9"/>
      <c r="L201" s="103"/>
      <c r="M201" s="108"/>
      <c r="N201" s="9"/>
    </row>
    <row r="202" spans="1:14" ht="20.100000000000001" customHeight="1">
      <c r="A202" s="149" t="s">
        <v>67</v>
      </c>
      <c r="B202" s="150"/>
      <c r="C202" s="150"/>
      <c r="D202" s="150"/>
      <c r="E202" s="150"/>
      <c r="F202" s="151"/>
      <c r="G202" s="116">
        <f>+G198</f>
        <v>1054982.3399999999</v>
      </c>
      <c r="I202" s="9"/>
      <c r="J202" s="9"/>
      <c r="K202" s="9"/>
      <c r="L202" s="103"/>
      <c r="M202" s="108"/>
      <c r="N202" s="9"/>
    </row>
    <row r="203" spans="1:14" ht="13.95" customHeight="1">
      <c r="A203" s="1"/>
      <c r="B203" s="1"/>
      <c r="C203" s="33"/>
      <c r="D203" s="1"/>
      <c r="E203" s="3"/>
      <c r="F203" s="4"/>
      <c r="G203" s="5"/>
      <c r="I203" s="3"/>
      <c r="J203" s="3"/>
      <c r="K203" s="3"/>
      <c r="L203" s="103"/>
      <c r="M203" s="108"/>
      <c r="N203" s="9"/>
    </row>
    <row r="204" spans="1:14" ht="13.95" customHeight="1">
      <c r="A204" s="9"/>
      <c r="B204" s="1" t="s">
        <v>98</v>
      </c>
      <c r="C204" s="34" t="s">
        <v>30</v>
      </c>
      <c r="D204" s="1"/>
      <c r="E204" s="3"/>
      <c r="F204" s="4"/>
      <c r="G204" s="5"/>
      <c r="I204" s="3"/>
      <c r="J204" s="3"/>
      <c r="K204" s="3"/>
      <c r="L204" s="103"/>
      <c r="M204" s="108"/>
      <c r="N204" s="9"/>
    </row>
    <row r="205" spans="1:14" ht="13.95" customHeight="1">
      <c r="A205" s="9"/>
      <c r="B205" s="1"/>
      <c r="C205" s="33"/>
      <c r="D205" s="1"/>
      <c r="E205" s="3"/>
      <c r="F205" s="4"/>
      <c r="G205" s="5"/>
      <c r="I205" s="3"/>
      <c r="J205" s="3"/>
      <c r="K205" s="3"/>
      <c r="L205" s="103"/>
      <c r="M205" s="108"/>
      <c r="N205" s="9"/>
    </row>
    <row r="206" spans="1:14" ht="13.95" customHeight="1">
      <c r="A206" s="9"/>
      <c r="B206" s="1"/>
      <c r="C206" s="33" t="s">
        <v>31</v>
      </c>
      <c r="D206" s="1"/>
      <c r="E206" s="3"/>
      <c r="F206" s="4"/>
      <c r="G206" s="5"/>
      <c r="I206" s="3"/>
      <c r="J206" s="3"/>
      <c r="K206" s="3"/>
      <c r="L206" s="103"/>
      <c r="M206" s="108"/>
      <c r="N206" s="9"/>
    </row>
    <row r="207" spans="1:14" ht="13.95" customHeight="1">
      <c r="A207" s="9"/>
      <c r="B207" s="1"/>
      <c r="C207" s="33"/>
      <c r="D207" s="1"/>
      <c r="E207" s="3"/>
      <c r="F207" s="4"/>
      <c r="G207" s="5"/>
      <c r="I207" s="3"/>
      <c r="J207" s="3"/>
      <c r="K207" s="3"/>
      <c r="L207" s="103"/>
      <c r="M207" s="108"/>
      <c r="N207" s="9"/>
    </row>
    <row r="208" spans="1:14" ht="13.95" customHeight="1">
      <c r="A208" s="9">
        <f>A194+1</f>
        <v>36</v>
      </c>
      <c r="B208" s="1"/>
      <c r="C208" s="33" t="s">
        <v>32</v>
      </c>
      <c r="D208" s="1" t="s">
        <v>51</v>
      </c>
      <c r="E208" s="3">
        <f>SUM(I208:N208)</f>
        <v>0</v>
      </c>
      <c r="F208" s="3">
        <v>35000</v>
      </c>
      <c r="G208" s="5">
        <f t="shared" ref="G208" si="46">+E208*F208</f>
        <v>0</v>
      </c>
      <c r="I208" s="4"/>
      <c r="J208" s="4"/>
      <c r="K208" s="4"/>
      <c r="L208" s="103"/>
      <c r="M208" s="108"/>
      <c r="N208" s="9"/>
    </row>
    <row r="209" spans="1:14" ht="13.95" customHeight="1">
      <c r="A209" s="9"/>
      <c r="B209" s="1"/>
      <c r="C209" s="33"/>
      <c r="D209" s="1"/>
      <c r="E209" s="4"/>
      <c r="F209" s="3"/>
      <c r="G209" s="5"/>
      <c r="I209" s="4"/>
      <c r="J209" s="4"/>
      <c r="K209" s="4"/>
      <c r="L209" s="103"/>
      <c r="M209" s="108"/>
      <c r="N209" s="9"/>
    </row>
    <row r="210" spans="1:14" ht="13.95" customHeight="1">
      <c r="A210" s="9"/>
      <c r="B210" s="1"/>
      <c r="C210" s="37" t="s">
        <v>40</v>
      </c>
      <c r="D210" s="1"/>
      <c r="E210" s="4"/>
      <c r="F210" s="3"/>
      <c r="G210" s="5"/>
      <c r="I210" s="4"/>
      <c r="J210" s="4"/>
      <c r="K210" s="4"/>
      <c r="L210" s="103"/>
      <c r="M210" s="108"/>
      <c r="N210" s="9"/>
    </row>
    <row r="211" spans="1:14" ht="13.95" customHeight="1">
      <c r="A211" s="9"/>
      <c r="B211" s="1"/>
      <c r="C211" s="33"/>
      <c r="D211" s="1"/>
      <c r="E211" s="4"/>
      <c r="F211" s="3"/>
      <c r="G211" s="5"/>
      <c r="I211" s="4"/>
      <c r="J211" s="4"/>
      <c r="K211" s="4"/>
      <c r="L211" s="103"/>
      <c r="M211" s="108"/>
      <c r="N211" s="9"/>
    </row>
    <row r="212" spans="1:14" ht="13.95" customHeight="1">
      <c r="A212" s="9">
        <f>A208+1</f>
        <v>37</v>
      </c>
      <c r="B212" s="1"/>
      <c r="C212" s="33" t="s">
        <v>32</v>
      </c>
      <c r="D212" s="1" t="s">
        <v>51</v>
      </c>
      <c r="E212" s="3">
        <f>SUM(I212:N212)</f>
        <v>0</v>
      </c>
      <c r="F212" s="3">
        <f>F208</f>
        <v>35000</v>
      </c>
      <c r="G212" s="5">
        <f t="shared" ref="G212" si="47">+E212*F212</f>
        <v>0</v>
      </c>
      <c r="I212" s="4"/>
      <c r="J212" s="4"/>
      <c r="K212" s="4"/>
      <c r="L212" s="103"/>
      <c r="M212" s="108"/>
      <c r="N212" s="9"/>
    </row>
    <row r="213" spans="1:14" ht="13.95" customHeight="1">
      <c r="A213" s="1"/>
      <c r="B213" s="1"/>
      <c r="C213" s="33"/>
      <c r="D213" s="1"/>
      <c r="E213" s="3"/>
      <c r="F213" s="4"/>
      <c r="G213" s="5"/>
      <c r="I213" s="3"/>
      <c r="J213" s="3"/>
      <c r="K213" s="3"/>
      <c r="L213" s="103"/>
      <c r="M213" s="108"/>
      <c r="N213" s="9"/>
    </row>
    <row r="214" spans="1:14" ht="24.6" customHeight="1">
      <c r="A214" s="9"/>
      <c r="B214" s="1" t="s">
        <v>99</v>
      </c>
      <c r="C214" s="34" t="s">
        <v>63</v>
      </c>
      <c r="D214" s="1"/>
      <c r="E214" s="3"/>
      <c r="F214" s="4"/>
      <c r="G214" s="5"/>
      <c r="I214" s="9"/>
      <c r="J214" s="9"/>
      <c r="K214" s="9"/>
      <c r="L214" s="103"/>
      <c r="M214" s="108"/>
      <c r="N214" s="9"/>
    </row>
    <row r="215" spans="1:14" ht="13.95" customHeight="1">
      <c r="A215" s="9"/>
      <c r="B215" s="1"/>
      <c r="C215" s="34"/>
      <c r="D215" s="1"/>
      <c r="E215" s="3"/>
      <c r="F215" s="4"/>
      <c r="G215" s="5"/>
      <c r="I215" s="9"/>
      <c r="J215" s="9"/>
      <c r="K215" s="9"/>
      <c r="L215" s="103"/>
      <c r="M215" s="108"/>
      <c r="N215" s="9"/>
    </row>
    <row r="216" spans="1:14" ht="22.95" customHeight="1">
      <c r="A216" s="9"/>
      <c r="B216" s="1"/>
      <c r="C216" s="34" t="s">
        <v>58</v>
      </c>
      <c r="D216" s="1"/>
      <c r="E216" s="3"/>
      <c r="F216" s="4"/>
      <c r="G216" s="5"/>
      <c r="I216" s="9"/>
      <c r="J216" s="9"/>
      <c r="K216" s="9"/>
      <c r="L216" s="103"/>
      <c r="M216" s="108"/>
      <c r="N216" s="9"/>
    </row>
    <row r="217" spans="1:14" ht="13.95" customHeight="1">
      <c r="A217" s="9"/>
      <c r="B217" s="1"/>
      <c r="C217" s="33"/>
      <c r="D217" s="1"/>
      <c r="E217" s="3"/>
      <c r="F217" s="4"/>
      <c r="G217" s="5"/>
      <c r="I217" s="9"/>
      <c r="J217" s="9"/>
      <c r="K217" s="9"/>
      <c r="L217" s="103"/>
      <c r="M217" s="108"/>
      <c r="N217" s="9"/>
    </row>
    <row r="218" spans="1:14" ht="46.2" customHeight="1">
      <c r="A218" s="9">
        <f>A212+1</f>
        <v>38</v>
      </c>
      <c r="B218" s="1"/>
      <c r="C218" s="33" t="s">
        <v>240</v>
      </c>
      <c r="D218" s="1" t="s">
        <v>6</v>
      </c>
      <c r="E218" s="3">
        <f>SUM(I218:N218)</f>
        <v>0</v>
      </c>
      <c r="F218" s="3">
        <v>275</v>
      </c>
      <c r="G218" s="5">
        <f t="shared" ref="G218" si="48">+E218*F218</f>
        <v>0</v>
      </c>
      <c r="I218" s="9"/>
      <c r="J218" s="9"/>
      <c r="K218" s="9"/>
      <c r="L218" s="103"/>
      <c r="M218" s="108"/>
      <c r="N218" s="9"/>
    </row>
    <row r="219" spans="1:14" ht="13.95" customHeight="1">
      <c r="A219" s="9"/>
      <c r="B219" s="1"/>
      <c r="C219" s="33"/>
      <c r="D219" s="1"/>
      <c r="E219" s="3"/>
      <c r="F219" s="3"/>
      <c r="G219" s="5"/>
      <c r="I219" s="9"/>
      <c r="J219" s="9"/>
      <c r="K219" s="9"/>
      <c r="L219" s="103"/>
      <c r="M219" s="108"/>
      <c r="N219" s="9"/>
    </row>
    <row r="220" spans="1:14" ht="48" customHeight="1">
      <c r="A220" s="9">
        <f>A218+1</f>
        <v>39</v>
      </c>
      <c r="B220" s="1"/>
      <c r="C220" s="33" t="s">
        <v>227</v>
      </c>
      <c r="D220" s="1" t="s">
        <v>6</v>
      </c>
      <c r="E220" s="3">
        <f>SUM(I220:N220)</f>
        <v>0</v>
      </c>
      <c r="F220" s="3">
        <v>975</v>
      </c>
      <c r="G220" s="5">
        <f t="shared" ref="G220" si="49">+E220*F220</f>
        <v>0</v>
      </c>
      <c r="I220" s="45"/>
      <c r="J220" s="45"/>
      <c r="K220" s="45"/>
      <c r="L220" s="103"/>
      <c r="M220" s="108"/>
      <c r="N220" s="9"/>
    </row>
    <row r="221" spans="1:14" ht="12.6" customHeight="1">
      <c r="A221" s="9"/>
      <c r="B221" s="1"/>
      <c r="C221" s="33"/>
      <c r="D221" s="1"/>
      <c r="E221" s="3"/>
      <c r="F221" s="4"/>
      <c r="G221" s="5"/>
      <c r="I221" s="9"/>
      <c r="J221" s="9"/>
      <c r="K221" s="9"/>
      <c r="L221" s="103"/>
      <c r="M221" s="108"/>
      <c r="N221" s="9"/>
    </row>
    <row r="222" spans="1:14" ht="13.95" customHeight="1">
      <c r="A222" s="1"/>
      <c r="B222" s="1" t="s">
        <v>103</v>
      </c>
      <c r="C222" s="34" t="s">
        <v>7</v>
      </c>
      <c r="D222" s="1"/>
      <c r="E222" s="3"/>
      <c r="F222" s="4"/>
      <c r="G222" s="5"/>
      <c r="I222" s="9"/>
      <c r="J222" s="9"/>
      <c r="K222" s="9"/>
      <c r="L222" s="103"/>
      <c r="M222" s="108"/>
      <c r="N222" s="9"/>
    </row>
    <row r="223" spans="1:14" ht="13.95" customHeight="1">
      <c r="A223" s="1"/>
      <c r="B223" s="1"/>
      <c r="C223" s="33"/>
      <c r="D223" s="1"/>
      <c r="E223" s="3"/>
      <c r="F223" s="4"/>
      <c r="G223" s="5"/>
      <c r="I223" s="9"/>
      <c r="J223" s="9"/>
      <c r="K223" s="9"/>
      <c r="L223" s="103"/>
      <c r="M223" s="108"/>
      <c r="N223" s="9"/>
    </row>
    <row r="224" spans="1:14" ht="13.95" customHeight="1">
      <c r="A224" s="1"/>
      <c r="B224" s="1"/>
      <c r="C224" s="33" t="s">
        <v>68</v>
      </c>
      <c r="D224" s="1"/>
      <c r="E224" s="3"/>
      <c r="F224" s="4"/>
      <c r="G224" s="5"/>
      <c r="I224" s="9"/>
      <c r="J224" s="9"/>
      <c r="K224" s="9"/>
      <c r="L224" s="103"/>
      <c r="M224" s="108"/>
      <c r="N224" s="9"/>
    </row>
    <row r="225" spans="1:14" ht="13.95" customHeight="1">
      <c r="A225" s="1"/>
      <c r="B225" s="1"/>
      <c r="C225" s="33"/>
      <c r="D225" s="1"/>
      <c r="E225" s="3"/>
      <c r="F225" s="4"/>
      <c r="G225" s="5"/>
      <c r="I225" s="9"/>
      <c r="J225" s="9"/>
      <c r="K225" s="9"/>
      <c r="L225" s="103"/>
      <c r="M225" s="108"/>
      <c r="N225" s="9"/>
    </row>
    <row r="226" spans="1:14" ht="22.95" customHeight="1">
      <c r="A226" s="1">
        <f>A220+1</f>
        <v>40</v>
      </c>
      <c r="B226" s="1"/>
      <c r="C226" s="33" t="s">
        <v>197</v>
      </c>
      <c r="D226" s="1" t="s">
        <v>60</v>
      </c>
      <c r="E226" s="3">
        <f>SUM(I226:N226)</f>
        <v>100</v>
      </c>
      <c r="F226" s="13">
        <v>165</v>
      </c>
      <c r="G226" s="5">
        <f t="shared" ref="G226" si="50">+E226*F226</f>
        <v>16500</v>
      </c>
      <c r="I226" s="9">
        <v>100</v>
      </c>
      <c r="J226" s="9"/>
      <c r="K226" s="9"/>
      <c r="L226" s="103"/>
      <c r="M226" s="108"/>
      <c r="N226" s="9"/>
    </row>
    <row r="227" spans="1:14" ht="13.95" customHeight="1">
      <c r="A227" s="1"/>
      <c r="B227" s="1"/>
      <c r="C227" s="33"/>
      <c r="D227" s="35"/>
      <c r="E227" s="3"/>
      <c r="F227" s="4"/>
      <c r="G227" s="5"/>
      <c r="I227" s="9"/>
      <c r="J227" s="9"/>
      <c r="K227" s="9"/>
      <c r="L227" s="103"/>
      <c r="M227" s="108"/>
      <c r="N227" s="9"/>
    </row>
    <row r="228" spans="1:14" ht="13.95" customHeight="1">
      <c r="A228" s="1"/>
      <c r="B228" s="1"/>
      <c r="C228" s="46" t="s">
        <v>231</v>
      </c>
      <c r="D228" s="1"/>
      <c r="E228" s="3"/>
      <c r="F228" s="4"/>
      <c r="G228" s="5"/>
      <c r="I228" s="9"/>
      <c r="J228" s="9"/>
      <c r="K228" s="9"/>
      <c r="L228" s="103"/>
      <c r="M228" s="108"/>
      <c r="N228" s="9"/>
    </row>
    <row r="229" spans="1:14" ht="13.95" customHeight="1">
      <c r="A229" s="1"/>
      <c r="B229" s="1"/>
      <c r="C229" s="47"/>
      <c r="D229" s="35"/>
      <c r="E229" s="3"/>
      <c r="F229" s="4"/>
      <c r="G229" s="5"/>
      <c r="I229" s="9"/>
      <c r="J229" s="9"/>
      <c r="K229" s="9"/>
      <c r="L229" s="103"/>
      <c r="M229" s="108"/>
      <c r="N229" s="9"/>
    </row>
    <row r="230" spans="1:14" ht="48.6" customHeight="1">
      <c r="A230" s="1">
        <f>A226+1</f>
        <v>41</v>
      </c>
      <c r="B230" s="1"/>
      <c r="C230" s="55" t="s">
        <v>75</v>
      </c>
      <c r="D230" s="1" t="s">
        <v>51</v>
      </c>
      <c r="E230" s="3">
        <f>SUM(I230:N230)</f>
        <v>0</v>
      </c>
      <c r="F230" s="3">
        <v>1185</v>
      </c>
      <c r="G230" s="5">
        <f t="shared" ref="G230" si="51">+E230*F230</f>
        <v>0</v>
      </c>
      <c r="I230" s="9"/>
      <c r="J230" s="9"/>
      <c r="K230" s="9"/>
      <c r="L230" s="103"/>
      <c r="M230" s="108"/>
      <c r="N230" s="9"/>
    </row>
    <row r="231" spans="1:14">
      <c r="A231" s="1"/>
      <c r="B231" s="1"/>
      <c r="C231" s="55"/>
      <c r="D231" s="35"/>
      <c r="E231" s="3"/>
      <c r="F231" s="3"/>
      <c r="G231" s="5"/>
      <c r="I231" s="9"/>
      <c r="J231" s="9"/>
      <c r="K231" s="9"/>
      <c r="L231" s="103"/>
      <c r="M231" s="108"/>
      <c r="N231" s="9"/>
    </row>
    <row r="232" spans="1:14">
      <c r="A232" s="1"/>
      <c r="B232" s="1"/>
      <c r="C232" s="55"/>
      <c r="D232" s="35"/>
      <c r="E232" s="3"/>
      <c r="F232" s="3"/>
      <c r="G232" s="5"/>
      <c r="I232" s="9"/>
      <c r="J232" s="9"/>
      <c r="K232" s="9"/>
      <c r="L232" s="103"/>
      <c r="M232" s="108"/>
      <c r="N232" s="9"/>
    </row>
    <row r="233" spans="1:14">
      <c r="A233" s="1"/>
      <c r="B233" s="1"/>
      <c r="C233" s="55"/>
      <c r="D233" s="35"/>
      <c r="E233" s="3"/>
      <c r="F233" s="3"/>
      <c r="G233" s="5"/>
      <c r="I233" s="9"/>
      <c r="J233" s="9"/>
      <c r="K233" s="9"/>
      <c r="L233" s="103"/>
      <c r="M233" s="108"/>
      <c r="N233" s="9"/>
    </row>
    <row r="234" spans="1:14">
      <c r="A234" s="1"/>
      <c r="B234" s="1"/>
      <c r="C234" s="55"/>
      <c r="D234" s="35"/>
      <c r="E234" s="3"/>
      <c r="F234" s="3"/>
      <c r="G234" s="5"/>
      <c r="I234" s="9"/>
      <c r="J234" s="9"/>
      <c r="K234" s="9"/>
      <c r="L234" s="103"/>
      <c r="M234" s="108"/>
      <c r="N234" s="9"/>
    </row>
    <row r="235" spans="1:14">
      <c r="A235" s="1"/>
      <c r="B235" s="1"/>
      <c r="C235" s="55"/>
      <c r="D235" s="35"/>
      <c r="E235" s="3"/>
      <c r="F235" s="3"/>
      <c r="G235" s="5"/>
      <c r="I235" s="9"/>
      <c r="J235" s="9"/>
      <c r="K235" s="9"/>
      <c r="L235" s="103"/>
      <c r="M235" s="108"/>
      <c r="N235" s="9"/>
    </row>
    <row r="236" spans="1:14">
      <c r="A236" s="1"/>
      <c r="B236" s="1"/>
      <c r="C236" s="55"/>
      <c r="D236" s="35"/>
      <c r="E236" s="3"/>
      <c r="F236" s="3"/>
      <c r="G236" s="5"/>
      <c r="I236" s="9"/>
      <c r="J236" s="9"/>
      <c r="K236" s="9"/>
      <c r="L236" s="103"/>
      <c r="M236" s="108"/>
      <c r="N236" s="9"/>
    </row>
    <row r="237" spans="1:14" ht="13.95" customHeight="1">
      <c r="A237" s="1"/>
      <c r="B237" s="1"/>
      <c r="C237" s="55"/>
      <c r="D237" s="35"/>
      <c r="E237" s="3"/>
      <c r="F237" s="4"/>
      <c r="G237" s="5"/>
      <c r="I237" s="9"/>
      <c r="J237" s="9"/>
      <c r="K237" s="9"/>
      <c r="L237" s="103"/>
      <c r="M237" s="108"/>
      <c r="N237" s="9"/>
    </row>
    <row r="238" spans="1:14" ht="13.95" customHeight="1">
      <c r="A238" s="1"/>
      <c r="B238" s="1"/>
      <c r="C238" s="55"/>
      <c r="D238" s="35"/>
      <c r="E238" s="3"/>
      <c r="F238" s="4"/>
      <c r="G238" s="5"/>
      <c r="I238" s="9"/>
      <c r="J238" s="9"/>
      <c r="K238" s="9"/>
      <c r="L238" s="103"/>
      <c r="M238" s="108"/>
      <c r="N238" s="9"/>
    </row>
    <row r="239" spans="1:14" ht="13.95" customHeight="1">
      <c r="A239" s="1"/>
      <c r="B239" s="1"/>
      <c r="C239" s="55"/>
      <c r="D239" s="35"/>
      <c r="E239" s="3"/>
      <c r="F239" s="4"/>
      <c r="G239" s="5"/>
      <c r="I239" s="9"/>
      <c r="J239" s="9"/>
      <c r="K239" s="9"/>
      <c r="L239" s="103"/>
      <c r="M239" s="108"/>
      <c r="N239" s="9"/>
    </row>
    <row r="240" spans="1:14" ht="13.95" customHeight="1">
      <c r="A240" s="1"/>
      <c r="B240" s="1"/>
      <c r="C240" s="55"/>
      <c r="D240" s="35"/>
      <c r="E240" s="3"/>
      <c r="F240" s="4"/>
      <c r="G240" s="5"/>
      <c r="I240" s="9"/>
      <c r="J240" s="9"/>
      <c r="K240" s="9"/>
      <c r="L240" s="103"/>
      <c r="M240" s="108"/>
      <c r="N240" s="9"/>
    </row>
    <row r="241" spans="1:14" ht="13.95" customHeight="1">
      <c r="A241" s="1"/>
      <c r="B241" s="1"/>
      <c r="C241" s="55"/>
      <c r="D241" s="35"/>
      <c r="E241" s="3"/>
      <c r="F241" s="4"/>
      <c r="G241" s="5"/>
      <c r="I241" s="9"/>
      <c r="J241" s="9"/>
      <c r="K241" s="9"/>
      <c r="L241" s="103"/>
      <c r="M241" s="108"/>
      <c r="N241" s="9"/>
    </row>
    <row r="242" spans="1:14" ht="20.100000000000001" customHeight="1">
      <c r="A242" s="149" t="s">
        <v>66</v>
      </c>
      <c r="B242" s="150"/>
      <c r="C242" s="150"/>
      <c r="D242" s="150"/>
      <c r="E242" s="150"/>
      <c r="F242" s="151"/>
      <c r="G242" s="116">
        <f>SUM(G202:G241)</f>
        <v>1071482.3399999999</v>
      </c>
      <c r="I242" s="9"/>
      <c r="J242" s="9"/>
      <c r="K242" s="9"/>
      <c r="L242" s="103"/>
      <c r="M242" s="108"/>
      <c r="N242" s="9"/>
    </row>
    <row r="243" spans="1:14" ht="13.95" customHeight="1">
      <c r="A243" s="39"/>
      <c r="B243" s="39"/>
      <c r="C243" s="39"/>
      <c r="D243" s="39"/>
      <c r="E243" s="39"/>
      <c r="F243" s="39"/>
      <c r="G243" s="113"/>
      <c r="I243" s="9"/>
      <c r="J243" s="9"/>
      <c r="K243" s="9"/>
      <c r="L243" s="103"/>
      <c r="M243" s="108"/>
      <c r="N243" s="9"/>
    </row>
    <row r="244" spans="1:14" ht="13.95" customHeight="1">
      <c r="A244" s="39"/>
      <c r="B244" s="39"/>
      <c r="C244" s="39"/>
      <c r="D244" s="39"/>
      <c r="E244" s="39"/>
      <c r="F244" s="39"/>
      <c r="G244" s="113"/>
      <c r="I244" s="9"/>
      <c r="J244" s="9"/>
      <c r="K244" s="9"/>
      <c r="L244" s="103"/>
      <c r="M244" s="108"/>
      <c r="N244" s="9"/>
    </row>
    <row r="245" spans="1:14" ht="22.2" customHeight="1">
      <c r="A245" s="44" t="s">
        <v>8</v>
      </c>
      <c r="B245" s="48" t="s">
        <v>9</v>
      </c>
      <c r="C245" s="44" t="s">
        <v>10</v>
      </c>
      <c r="D245" s="48" t="s">
        <v>11</v>
      </c>
      <c r="E245" s="48" t="s">
        <v>59</v>
      </c>
      <c r="F245" s="49" t="s">
        <v>12</v>
      </c>
      <c r="G245" s="111" t="s">
        <v>13</v>
      </c>
      <c r="I245" s="9"/>
      <c r="J245" s="9"/>
      <c r="K245" s="9"/>
      <c r="L245" s="103"/>
      <c r="M245" s="108"/>
      <c r="N245" s="9"/>
    </row>
    <row r="246" spans="1:14" ht="20.100000000000001" customHeight="1">
      <c r="A246" s="149" t="s">
        <v>67</v>
      </c>
      <c r="B246" s="150"/>
      <c r="C246" s="150"/>
      <c r="D246" s="150"/>
      <c r="E246" s="150"/>
      <c r="F246" s="151"/>
      <c r="G246" s="116">
        <f>+G242</f>
        <v>1071482.3399999999</v>
      </c>
      <c r="I246" s="9"/>
      <c r="J246" s="9"/>
      <c r="K246" s="9"/>
      <c r="L246" s="103"/>
      <c r="M246" s="108"/>
      <c r="N246" s="9"/>
    </row>
    <row r="247" spans="1:14" ht="13.95" customHeight="1">
      <c r="A247" s="1"/>
      <c r="B247" s="1"/>
      <c r="C247" s="55"/>
      <c r="D247" s="35"/>
      <c r="E247" s="3"/>
      <c r="F247" s="4"/>
      <c r="G247" s="5"/>
      <c r="I247" s="9"/>
      <c r="J247" s="9"/>
      <c r="K247" s="9"/>
      <c r="L247" s="103"/>
      <c r="M247" s="108"/>
      <c r="N247" s="9"/>
    </row>
    <row r="248" spans="1:14" ht="13.95" customHeight="1">
      <c r="A248" s="1"/>
      <c r="B248" s="1"/>
      <c r="C248" s="56" t="s">
        <v>230</v>
      </c>
      <c r="D248" s="9"/>
      <c r="E248" s="9"/>
      <c r="F248" s="122"/>
      <c r="G248" s="5"/>
      <c r="I248" s="9"/>
      <c r="J248" s="9"/>
      <c r="K248" s="9"/>
      <c r="L248" s="103"/>
      <c r="M248" s="108"/>
      <c r="N248" s="9"/>
    </row>
    <row r="249" spans="1:14" ht="13.95" customHeight="1">
      <c r="A249" s="1"/>
      <c r="B249" s="1"/>
      <c r="C249" s="57"/>
      <c r="D249" s="9"/>
      <c r="E249" s="9"/>
      <c r="F249" s="122"/>
      <c r="G249" s="5"/>
      <c r="I249" s="9"/>
      <c r="J249" s="9"/>
      <c r="K249" s="9"/>
      <c r="L249" s="103"/>
      <c r="M249" s="108"/>
      <c r="N249" s="9"/>
    </row>
    <row r="250" spans="1:14" ht="48" customHeight="1">
      <c r="A250" s="1"/>
      <c r="B250" s="1"/>
      <c r="C250" s="33" t="s">
        <v>242</v>
      </c>
      <c r="D250" s="57"/>
      <c r="E250" s="57"/>
      <c r="F250" s="57"/>
      <c r="G250" s="5"/>
      <c r="I250" s="9"/>
      <c r="J250" s="9"/>
      <c r="K250" s="9"/>
      <c r="L250" s="103"/>
      <c r="M250" s="108"/>
      <c r="N250" s="9"/>
    </row>
    <row r="251" spans="1:14" ht="13.95" customHeight="1">
      <c r="A251" s="1"/>
      <c r="B251" s="1"/>
      <c r="C251" s="33"/>
      <c r="D251" s="9"/>
      <c r="E251" s="9"/>
      <c r="F251" s="122"/>
      <c r="G251" s="5"/>
      <c r="I251" s="9"/>
      <c r="J251" s="9"/>
      <c r="K251" s="9"/>
      <c r="L251" s="103"/>
      <c r="M251" s="108"/>
      <c r="N251" s="9"/>
    </row>
    <row r="252" spans="1:14" ht="25.95" customHeight="1">
      <c r="A252" s="1"/>
      <c r="B252" s="1"/>
      <c r="C252" s="33" t="s">
        <v>232</v>
      </c>
      <c r="D252" s="9"/>
      <c r="E252" s="9"/>
      <c r="F252" s="122"/>
      <c r="G252" s="5"/>
      <c r="I252" s="9"/>
      <c r="J252" s="9"/>
      <c r="K252" s="9"/>
      <c r="L252" s="103"/>
      <c r="M252" s="108"/>
      <c r="N252" s="9"/>
    </row>
    <row r="253" spans="1:14" ht="13.95" customHeight="1">
      <c r="A253" s="1"/>
      <c r="B253" s="1"/>
      <c r="C253" s="33"/>
      <c r="D253" s="9"/>
      <c r="E253" s="9"/>
      <c r="F253" s="122"/>
      <c r="G253" s="5"/>
      <c r="I253" s="9"/>
      <c r="J253" s="9"/>
      <c r="K253" s="9"/>
      <c r="L253" s="103"/>
      <c r="M253" s="108"/>
      <c r="N253" s="9"/>
    </row>
    <row r="254" spans="1:14" ht="38.4" customHeight="1">
      <c r="A254" s="1">
        <f>A230+1</f>
        <v>42</v>
      </c>
      <c r="B254" s="1"/>
      <c r="C254" s="33" t="s">
        <v>233</v>
      </c>
      <c r="D254" s="9" t="s">
        <v>1</v>
      </c>
      <c r="E254" s="3">
        <f>SUM(I254:N254)</f>
        <v>4</v>
      </c>
      <c r="F254" s="144">
        <v>775</v>
      </c>
      <c r="G254" s="5">
        <f t="shared" ref="G254" si="52">+E254*F254</f>
        <v>3100</v>
      </c>
      <c r="I254" s="9"/>
      <c r="J254" s="9"/>
      <c r="K254" s="9">
        <v>4</v>
      </c>
      <c r="L254" s="103"/>
      <c r="M254" s="108"/>
      <c r="N254" s="9"/>
    </row>
    <row r="255" spans="1:14" ht="13.95" customHeight="1">
      <c r="A255" s="1"/>
      <c r="B255" s="1"/>
      <c r="C255" s="33"/>
      <c r="D255" s="9"/>
      <c r="E255" s="9"/>
      <c r="F255" s="144"/>
      <c r="G255" s="5"/>
      <c r="I255" s="9"/>
      <c r="J255" s="9"/>
      <c r="K255" s="9"/>
      <c r="L255" s="103"/>
      <c r="M255" s="108"/>
      <c r="N255" s="9"/>
    </row>
    <row r="256" spans="1:14" ht="25.95" customHeight="1">
      <c r="A256" s="1">
        <f>A254+1</f>
        <v>43</v>
      </c>
      <c r="B256" s="1"/>
      <c r="C256" s="33" t="s">
        <v>228</v>
      </c>
      <c r="D256" s="9" t="s">
        <v>6</v>
      </c>
      <c r="E256" s="3">
        <f>SUM(I256:N256)</f>
        <v>0</v>
      </c>
      <c r="F256" s="144">
        <v>275</v>
      </c>
      <c r="G256" s="5">
        <f t="shared" ref="G256" si="53">+E256*F256</f>
        <v>0</v>
      </c>
      <c r="I256" s="9"/>
      <c r="J256" s="9"/>
      <c r="K256" s="9"/>
      <c r="L256" s="103"/>
      <c r="M256" s="108"/>
      <c r="N256" s="9"/>
    </row>
    <row r="257" spans="1:14" ht="13.95" customHeight="1">
      <c r="A257" s="1"/>
      <c r="B257" s="1"/>
      <c r="C257" s="33"/>
      <c r="D257" s="9"/>
      <c r="E257" s="9"/>
      <c r="F257" s="144"/>
      <c r="G257" s="5"/>
      <c r="I257" s="9"/>
      <c r="J257" s="9"/>
      <c r="K257" s="9"/>
      <c r="L257" s="103"/>
      <c r="M257" s="108"/>
      <c r="N257" s="9"/>
    </row>
    <row r="258" spans="1:14" ht="13.95" customHeight="1">
      <c r="A258" s="1">
        <f>A256+1</f>
        <v>44</v>
      </c>
      <c r="B258" s="1"/>
      <c r="C258" s="33" t="s">
        <v>229</v>
      </c>
      <c r="D258" s="9" t="s">
        <v>6</v>
      </c>
      <c r="E258" s="3">
        <f>SUM(I258:N258)</f>
        <v>0</v>
      </c>
      <c r="F258" s="144">
        <v>650</v>
      </c>
      <c r="G258" s="5">
        <f t="shared" ref="G258" si="54">+E258*F258</f>
        <v>0</v>
      </c>
      <c r="I258" s="9"/>
      <c r="J258" s="9"/>
      <c r="K258" s="9"/>
      <c r="L258" s="103"/>
      <c r="M258" s="108"/>
      <c r="N258" s="9"/>
    </row>
    <row r="259" spans="1:14" ht="13.95" customHeight="1">
      <c r="A259" s="1"/>
      <c r="B259" s="1"/>
      <c r="C259" s="17"/>
      <c r="D259" s="35"/>
      <c r="E259" s="3"/>
      <c r="F259" s="14"/>
      <c r="G259" s="5"/>
      <c r="I259" s="9"/>
      <c r="J259" s="9"/>
      <c r="K259" s="9"/>
      <c r="L259" s="103"/>
      <c r="M259" s="108"/>
      <c r="N259" s="9"/>
    </row>
    <row r="260" spans="1:14">
      <c r="A260" s="16">
        <f>+A258+1</f>
        <v>45</v>
      </c>
      <c r="B260" s="16"/>
      <c r="C260" s="47" t="s">
        <v>241</v>
      </c>
      <c r="D260" s="58" t="s">
        <v>1</v>
      </c>
      <c r="E260" s="3">
        <f>SUM(I260:N260)</f>
        <v>0</v>
      </c>
      <c r="F260" s="13">
        <v>425</v>
      </c>
      <c r="G260" s="15">
        <f t="shared" ref="G260" si="55">+E260*F260</f>
        <v>0</v>
      </c>
      <c r="I260" s="9"/>
      <c r="J260" s="9"/>
      <c r="K260" s="9"/>
      <c r="L260" s="103"/>
      <c r="M260" s="108"/>
      <c r="N260" s="9"/>
    </row>
    <row r="261" spans="1:14" ht="13.95" customHeight="1">
      <c r="A261" s="1"/>
      <c r="B261" s="1"/>
      <c r="C261" s="17"/>
      <c r="D261" s="35"/>
      <c r="E261" s="3"/>
      <c r="F261" s="4"/>
      <c r="G261" s="5"/>
      <c r="I261" s="9"/>
      <c r="J261" s="9"/>
      <c r="K261" s="9"/>
      <c r="L261" s="103"/>
      <c r="M261" s="108"/>
      <c r="N261" s="9"/>
    </row>
    <row r="262" spans="1:14" ht="22.2" customHeight="1">
      <c r="A262" s="1"/>
      <c r="B262" s="51" t="s">
        <v>105</v>
      </c>
      <c r="C262" s="11" t="s">
        <v>204</v>
      </c>
      <c r="D262" s="40"/>
      <c r="E262" s="3"/>
      <c r="F262" s="4"/>
      <c r="G262" s="5"/>
      <c r="I262" s="9"/>
      <c r="J262" s="9"/>
      <c r="K262" s="9"/>
      <c r="L262" s="103"/>
      <c r="M262" s="108"/>
      <c r="N262" s="9"/>
    </row>
    <row r="263" spans="1:14" ht="13.95" customHeight="1">
      <c r="A263" s="1"/>
      <c r="B263" s="51"/>
      <c r="C263" s="6"/>
      <c r="D263" s="9"/>
      <c r="E263" s="3"/>
      <c r="F263" s="4"/>
      <c r="G263" s="5"/>
      <c r="I263" s="9"/>
      <c r="J263" s="9"/>
      <c r="K263" s="9"/>
      <c r="L263" s="103"/>
      <c r="M263" s="108"/>
      <c r="N263" s="9"/>
    </row>
    <row r="264" spans="1:14" ht="13.95" customHeight="1">
      <c r="A264" s="1"/>
      <c r="B264" s="51" t="s">
        <v>92</v>
      </c>
      <c r="C264" s="52" t="s">
        <v>205</v>
      </c>
      <c r="D264" s="9"/>
      <c r="E264" s="3"/>
      <c r="F264" s="4"/>
      <c r="G264" s="5"/>
      <c r="I264" s="9"/>
      <c r="J264" s="9"/>
      <c r="K264" s="9"/>
      <c r="L264" s="103"/>
      <c r="M264" s="108"/>
      <c r="N264" s="9"/>
    </row>
    <row r="265" spans="1:14" ht="13.95" customHeight="1">
      <c r="A265" s="1"/>
      <c r="B265" s="51"/>
      <c r="C265" s="6"/>
      <c r="D265" s="9"/>
      <c r="E265" s="3"/>
      <c r="F265" s="4"/>
      <c r="G265" s="5"/>
      <c r="I265" s="9"/>
      <c r="J265" s="9"/>
      <c r="K265" s="9"/>
      <c r="L265" s="103"/>
      <c r="M265" s="108"/>
      <c r="N265" s="9"/>
    </row>
    <row r="266" spans="1:14" ht="24" customHeight="1">
      <c r="A266" s="1"/>
      <c r="B266" s="51" t="s">
        <v>206</v>
      </c>
      <c r="C266" s="21" t="s">
        <v>207</v>
      </c>
      <c r="D266" s="9"/>
      <c r="E266" s="3"/>
      <c r="F266" s="4"/>
      <c r="G266" s="5"/>
      <c r="I266" s="9"/>
      <c r="J266" s="9"/>
      <c r="K266" s="9"/>
      <c r="L266" s="103"/>
      <c r="M266" s="108"/>
      <c r="N266" s="9"/>
    </row>
    <row r="267" spans="1:14" ht="13.95" customHeight="1">
      <c r="A267" s="1"/>
      <c r="B267" s="51"/>
      <c r="C267" s="6"/>
      <c r="D267" s="9"/>
      <c r="E267" s="3"/>
      <c r="F267" s="4"/>
      <c r="G267" s="5"/>
      <c r="I267" s="9"/>
      <c r="J267" s="9"/>
      <c r="K267" s="9"/>
      <c r="L267" s="103"/>
      <c r="M267" s="108"/>
      <c r="N267" s="9"/>
    </row>
    <row r="268" spans="1:14" ht="13.95" customHeight="1">
      <c r="A268" s="1">
        <f>A260+1</f>
        <v>46</v>
      </c>
      <c r="B268" s="51" t="s">
        <v>208</v>
      </c>
      <c r="C268" s="6" t="s">
        <v>21</v>
      </c>
      <c r="D268" s="9" t="s">
        <v>1</v>
      </c>
      <c r="E268" s="3">
        <f>SUM(I268:N268)</f>
        <v>0</v>
      </c>
      <c r="F268" s="13">
        <v>1950</v>
      </c>
      <c r="G268" s="5">
        <f t="shared" ref="G268" si="56">+E268*F268</f>
        <v>0</v>
      </c>
      <c r="I268" s="9"/>
      <c r="J268" s="9"/>
      <c r="K268" s="9"/>
      <c r="L268" s="103"/>
      <c r="M268" s="108"/>
      <c r="N268" s="9"/>
    </row>
    <row r="269" spans="1:14" ht="13.95" customHeight="1">
      <c r="A269" s="1"/>
      <c r="B269" s="51"/>
      <c r="C269" s="6"/>
      <c r="D269" s="9"/>
      <c r="E269" s="3"/>
      <c r="F269" s="13"/>
      <c r="G269" s="5"/>
      <c r="I269" s="9"/>
      <c r="J269" s="9"/>
      <c r="K269" s="9"/>
      <c r="L269" s="103"/>
      <c r="M269" s="108"/>
      <c r="N269" s="9"/>
    </row>
    <row r="270" spans="1:14" ht="12.6" customHeight="1">
      <c r="A270" s="1">
        <f>A268+1</f>
        <v>47</v>
      </c>
      <c r="B270" s="51" t="s">
        <v>209</v>
      </c>
      <c r="C270" s="18" t="s">
        <v>210</v>
      </c>
      <c r="D270" s="9" t="s">
        <v>6</v>
      </c>
      <c r="E270" s="3">
        <f>SUM(I270:N270)</f>
        <v>0</v>
      </c>
      <c r="F270" s="13">
        <v>350</v>
      </c>
      <c r="G270" s="5">
        <f t="shared" ref="G270" si="57">+E270*F270</f>
        <v>0</v>
      </c>
      <c r="I270" s="9"/>
      <c r="J270" s="9"/>
      <c r="K270" s="9"/>
      <c r="L270" s="103"/>
      <c r="M270" s="108"/>
      <c r="N270" s="9"/>
    </row>
    <row r="271" spans="1:14" ht="12.6" customHeight="1">
      <c r="A271" s="1"/>
      <c r="B271" s="1"/>
      <c r="C271" s="33"/>
      <c r="D271" s="35"/>
      <c r="E271" s="3"/>
      <c r="F271" s="13"/>
      <c r="G271" s="5"/>
      <c r="I271" s="9"/>
      <c r="J271" s="9"/>
      <c r="K271" s="9"/>
      <c r="L271" s="103"/>
      <c r="M271" s="108"/>
      <c r="N271" s="9"/>
    </row>
    <row r="272" spans="1:14" ht="12.6" customHeight="1">
      <c r="A272" s="1"/>
      <c r="B272" s="1"/>
      <c r="C272" s="123" t="s">
        <v>236</v>
      </c>
      <c r="D272" s="35"/>
      <c r="E272" s="3"/>
      <c r="F272" s="13"/>
      <c r="G272" s="5"/>
      <c r="I272" s="9"/>
      <c r="J272" s="9"/>
      <c r="K272" s="9"/>
      <c r="L272" s="103"/>
      <c r="M272" s="108"/>
      <c r="N272" s="9"/>
    </row>
    <row r="273" spans="1:14" ht="12.6" customHeight="1">
      <c r="A273" s="1"/>
      <c r="B273" s="1"/>
      <c r="C273" s="6"/>
      <c r="D273" s="35"/>
      <c r="E273" s="3"/>
      <c r="F273" s="13"/>
      <c r="G273" s="5"/>
      <c r="I273" s="9"/>
      <c r="J273" s="9"/>
      <c r="K273" s="9"/>
      <c r="L273" s="103"/>
      <c r="M273" s="108"/>
      <c r="N273" s="9"/>
    </row>
    <row r="274" spans="1:14" ht="12.6" customHeight="1">
      <c r="A274" s="1"/>
      <c r="B274" s="1"/>
      <c r="C274" s="124" t="s">
        <v>234</v>
      </c>
      <c r="D274" s="35"/>
      <c r="E274" s="3"/>
      <c r="F274" s="13"/>
      <c r="G274" s="5"/>
      <c r="I274" s="9"/>
      <c r="J274" s="9"/>
      <c r="K274" s="9"/>
      <c r="L274" s="103"/>
      <c r="M274" s="108"/>
      <c r="N274" s="9"/>
    </row>
    <row r="275" spans="1:14" ht="12.6" customHeight="1">
      <c r="A275" s="1"/>
      <c r="B275" s="1"/>
      <c r="C275" s="33"/>
      <c r="D275" s="35"/>
      <c r="E275" s="3"/>
      <c r="F275" s="13"/>
      <c r="G275" s="5"/>
      <c r="I275" s="9"/>
      <c r="J275" s="9"/>
      <c r="K275" s="9"/>
      <c r="L275" s="103"/>
      <c r="M275" s="108"/>
      <c r="N275" s="9"/>
    </row>
    <row r="276" spans="1:14" ht="38.4" customHeight="1">
      <c r="A276" s="1">
        <f>A270+1</f>
        <v>48</v>
      </c>
      <c r="B276" s="1"/>
      <c r="C276" s="125" t="s">
        <v>235</v>
      </c>
      <c r="D276" s="1" t="s">
        <v>60</v>
      </c>
      <c r="E276" s="3">
        <f>SUM(I276:N276)</f>
        <v>1</v>
      </c>
      <c r="F276" s="13">
        <v>3750</v>
      </c>
      <c r="G276" s="5">
        <f t="shared" ref="G276" si="58">+E276*F276</f>
        <v>3750</v>
      </c>
      <c r="I276" s="9"/>
      <c r="J276" s="9"/>
      <c r="K276" s="9">
        <v>1</v>
      </c>
      <c r="L276" s="103"/>
      <c r="M276" s="108"/>
      <c r="N276" s="9"/>
    </row>
    <row r="277" spans="1:14" ht="12.6" customHeight="1">
      <c r="A277" s="1"/>
      <c r="B277" s="1"/>
      <c r="C277" s="33"/>
      <c r="D277" s="35"/>
      <c r="E277" s="3"/>
      <c r="F277" s="13"/>
      <c r="G277" s="5"/>
      <c r="I277" s="9"/>
      <c r="J277" s="9"/>
      <c r="K277" s="9"/>
      <c r="L277" s="103"/>
      <c r="M277" s="108"/>
      <c r="N277" s="9"/>
    </row>
    <row r="278" spans="1:14" ht="13.95" customHeight="1">
      <c r="A278" s="1"/>
      <c r="B278" s="1"/>
      <c r="C278" s="34" t="s">
        <v>212</v>
      </c>
      <c r="D278" s="1" t="s">
        <v>64</v>
      </c>
      <c r="E278" s="3"/>
      <c r="F278" s="14"/>
      <c r="G278" s="5"/>
      <c r="I278" s="9"/>
      <c r="J278" s="9"/>
      <c r="K278" s="9"/>
      <c r="L278" s="103"/>
      <c r="M278" s="108"/>
      <c r="N278" s="9"/>
    </row>
    <row r="279" spans="1:14" ht="13.95" customHeight="1">
      <c r="A279" s="1"/>
      <c r="B279" s="1"/>
      <c r="C279" s="33" t="s">
        <v>64</v>
      </c>
      <c r="D279" s="1" t="s">
        <v>64</v>
      </c>
      <c r="E279" s="3"/>
      <c r="F279" s="4"/>
      <c r="G279" s="5"/>
      <c r="I279" s="9"/>
      <c r="J279" s="9"/>
      <c r="K279" s="9"/>
      <c r="L279" s="103"/>
      <c r="M279" s="108"/>
      <c r="N279" s="9"/>
    </row>
    <row r="280" spans="1:14" ht="22.2" customHeight="1">
      <c r="A280" s="1">
        <f>A276+1</f>
        <v>49</v>
      </c>
      <c r="B280" s="1"/>
      <c r="C280" s="33" t="s">
        <v>217</v>
      </c>
      <c r="D280" s="1" t="s">
        <v>60</v>
      </c>
      <c r="E280" s="3">
        <f>SUM(I280:N280)</f>
        <v>390</v>
      </c>
      <c r="F280" s="3">
        <v>885</v>
      </c>
      <c r="G280" s="5">
        <f t="shared" ref="G280" si="59">+E280*F280</f>
        <v>345150</v>
      </c>
      <c r="I280" s="9">
        <v>100</v>
      </c>
      <c r="J280" s="9">
        <v>290</v>
      </c>
      <c r="K280" s="9"/>
      <c r="L280" s="103"/>
      <c r="M280" s="108"/>
      <c r="N280" s="9"/>
    </row>
    <row r="281" spans="1:14">
      <c r="A281" s="1"/>
      <c r="B281" s="1"/>
      <c r="C281" s="33"/>
      <c r="D281" s="35"/>
      <c r="E281" s="3"/>
      <c r="F281" s="3"/>
      <c r="G281" s="5"/>
      <c r="I281" s="9"/>
      <c r="J281" s="9"/>
      <c r="K281" s="9"/>
      <c r="L281" s="103"/>
      <c r="M281" s="108"/>
      <c r="N281" s="9"/>
    </row>
    <row r="282" spans="1:14" ht="13.95" customHeight="1">
      <c r="A282" s="1"/>
      <c r="B282" s="1"/>
      <c r="C282" s="33"/>
      <c r="D282" s="35"/>
      <c r="E282" s="3"/>
      <c r="F282" s="4"/>
      <c r="G282" s="5"/>
      <c r="I282" s="9"/>
      <c r="J282" s="9"/>
      <c r="K282" s="9"/>
      <c r="L282" s="103"/>
      <c r="M282" s="108"/>
      <c r="N282" s="9"/>
    </row>
    <row r="283" spans="1:14" ht="13.95" customHeight="1">
      <c r="A283" s="1"/>
      <c r="B283" s="1"/>
      <c r="C283" s="33"/>
      <c r="D283" s="35"/>
      <c r="E283" s="3"/>
      <c r="F283" s="4"/>
      <c r="G283" s="5"/>
      <c r="I283" s="9"/>
      <c r="J283" s="9"/>
      <c r="K283" s="9"/>
      <c r="L283" s="103"/>
      <c r="M283" s="108"/>
      <c r="N283" s="9"/>
    </row>
    <row r="284" spans="1:14" ht="13.95" customHeight="1">
      <c r="A284" s="1"/>
      <c r="B284" s="1"/>
      <c r="C284" s="33"/>
      <c r="D284" s="35"/>
      <c r="E284" s="3"/>
      <c r="F284" s="4"/>
      <c r="G284" s="5"/>
      <c r="I284" s="9"/>
      <c r="J284" s="9"/>
      <c r="K284" s="9"/>
      <c r="L284" s="103"/>
      <c r="M284" s="108"/>
      <c r="N284" s="9"/>
    </row>
    <row r="285" spans="1:14" ht="20.100000000000001" customHeight="1">
      <c r="A285" s="149" t="s">
        <v>66</v>
      </c>
      <c r="B285" s="150"/>
      <c r="C285" s="150"/>
      <c r="D285" s="150"/>
      <c r="E285" s="150"/>
      <c r="F285" s="151"/>
      <c r="G285" s="116">
        <f>SUM(G246:G284)</f>
        <v>1423482.3399999999</v>
      </c>
      <c r="I285" s="9"/>
      <c r="J285" s="9"/>
      <c r="K285" s="9"/>
      <c r="L285" s="103"/>
      <c r="M285" s="108"/>
      <c r="N285" s="9"/>
    </row>
    <row r="286" spans="1:14" ht="13.95" customHeight="1">
      <c r="A286" s="39"/>
      <c r="B286" s="39"/>
      <c r="C286" s="39"/>
      <c r="D286" s="39"/>
      <c r="E286" s="39"/>
      <c r="F286" s="39"/>
      <c r="G286" s="113"/>
      <c r="I286" s="9"/>
      <c r="J286" s="9"/>
      <c r="K286" s="9"/>
      <c r="L286" s="103"/>
      <c r="M286" s="108"/>
      <c r="N286" s="9"/>
    </row>
    <row r="287" spans="1:14" ht="13.95" customHeight="1">
      <c r="A287" s="39"/>
      <c r="B287" s="39"/>
      <c r="C287" s="39"/>
      <c r="D287" s="39"/>
      <c r="E287" s="39"/>
      <c r="F287" s="39"/>
      <c r="G287" s="113"/>
      <c r="I287" s="9"/>
      <c r="J287" s="9"/>
      <c r="K287" s="9"/>
      <c r="L287" s="103"/>
      <c r="M287" s="108"/>
      <c r="N287" s="9"/>
    </row>
    <row r="288" spans="1:14" ht="22.2" customHeight="1">
      <c r="A288" s="44" t="s">
        <v>8</v>
      </c>
      <c r="B288" s="48" t="s">
        <v>9</v>
      </c>
      <c r="C288" s="44" t="s">
        <v>10</v>
      </c>
      <c r="D288" s="48" t="s">
        <v>11</v>
      </c>
      <c r="E288" s="48" t="s">
        <v>59</v>
      </c>
      <c r="F288" s="49" t="s">
        <v>12</v>
      </c>
      <c r="G288" s="111" t="s">
        <v>13</v>
      </c>
      <c r="I288" s="9"/>
      <c r="J288" s="9"/>
      <c r="K288" s="9"/>
      <c r="L288" s="103"/>
      <c r="M288" s="108"/>
      <c r="N288" s="9"/>
    </row>
    <row r="289" spans="1:14" ht="20.100000000000001" customHeight="1">
      <c r="A289" s="149" t="s">
        <v>67</v>
      </c>
      <c r="B289" s="150"/>
      <c r="C289" s="150"/>
      <c r="D289" s="150"/>
      <c r="E289" s="150"/>
      <c r="F289" s="151"/>
      <c r="G289" s="116">
        <f>+G285</f>
        <v>1423482.3399999999</v>
      </c>
      <c r="I289" s="9"/>
      <c r="J289" s="9"/>
      <c r="K289" s="9"/>
      <c r="L289" s="103"/>
      <c r="M289" s="108"/>
      <c r="N289" s="9"/>
    </row>
    <row r="290" spans="1:14" ht="13.95" customHeight="1">
      <c r="A290" s="1"/>
      <c r="B290" s="1"/>
      <c r="C290" s="33"/>
      <c r="D290" s="35"/>
      <c r="E290" s="3"/>
      <c r="F290" s="4"/>
      <c r="G290" s="5"/>
      <c r="I290" s="9"/>
      <c r="J290" s="9"/>
      <c r="K290" s="9"/>
      <c r="L290" s="103"/>
      <c r="M290" s="108"/>
      <c r="N290" s="9"/>
    </row>
    <row r="291" spans="1:14" ht="13.95" customHeight="1">
      <c r="A291" s="16"/>
      <c r="B291" s="76" t="s">
        <v>167</v>
      </c>
      <c r="C291" s="74" t="s">
        <v>168</v>
      </c>
      <c r="D291" s="93"/>
      <c r="E291" s="94"/>
      <c r="F291" s="14"/>
      <c r="G291" s="15"/>
      <c r="I291" s="9"/>
      <c r="J291" s="9"/>
      <c r="K291" s="9"/>
      <c r="L291" s="103"/>
      <c r="M291" s="108"/>
      <c r="N291" s="9"/>
    </row>
    <row r="292" spans="1:14" ht="13.95" customHeight="1">
      <c r="A292" s="16"/>
      <c r="B292" s="12"/>
      <c r="C292" s="75"/>
      <c r="D292" s="93"/>
      <c r="E292" s="94"/>
      <c r="F292" s="14"/>
      <c r="G292" s="15"/>
      <c r="I292" s="9"/>
      <c r="J292" s="9"/>
      <c r="K292" s="9"/>
      <c r="L292" s="103"/>
      <c r="M292" s="108"/>
      <c r="N292" s="9"/>
    </row>
    <row r="293" spans="1:14" ht="13.95" customHeight="1">
      <c r="A293" s="16"/>
      <c r="B293" s="12" t="s">
        <v>193</v>
      </c>
      <c r="C293" s="70" t="s">
        <v>164</v>
      </c>
      <c r="D293" s="12"/>
      <c r="E293" s="94"/>
      <c r="F293" s="14"/>
      <c r="G293" s="15"/>
      <c r="I293" s="9"/>
      <c r="J293" s="9"/>
      <c r="K293" s="9"/>
      <c r="L293" s="103"/>
      <c r="M293" s="108"/>
      <c r="N293" s="9"/>
    </row>
    <row r="294" spans="1:14" ht="13.95" customHeight="1">
      <c r="A294" s="16"/>
      <c r="B294" s="73"/>
      <c r="C294" s="62"/>
      <c r="D294" s="12"/>
      <c r="E294" s="94"/>
      <c r="F294" s="14"/>
      <c r="G294" s="15"/>
      <c r="I294" s="9"/>
      <c r="J294" s="9"/>
      <c r="K294" s="9"/>
      <c r="L294" s="103"/>
      <c r="M294" s="108"/>
      <c r="N294" s="9"/>
    </row>
    <row r="295" spans="1:14" ht="13.95" customHeight="1">
      <c r="A295" s="16">
        <v>50</v>
      </c>
      <c r="B295" s="73"/>
      <c r="C295" s="75" t="s">
        <v>112</v>
      </c>
      <c r="D295" s="12" t="s">
        <v>60</v>
      </c>
      <c r="E295" s="3">
        <f>SUM(I295:N295)</f>
        <v>0</v>
      </c>
      <c r="F295" s="13">
        <v>890</v>
      </c>
      <c r="G295" s="15">
        <f>+E295*F295</f>
        <v>0</v>
      </c>
      <c r="I295" s="9"/>
      <c r="J295" s="9"/>
      <c r="K295" s="9"/>
      <c r="L295" s="103"/>
      <c r="M295" s="108"/>
      <c r="N295" s="9"/>
    </row>
    <row r="296" spans="1:14" ht="13.95" customHeight="1">
      <c r="A296" s="16"/>
      <c r="B296" s="73"/>
      <c r="C296" s="62"/>
      <c r="D296" s="12"/>
      <c r="E296" s="94"/>
      <c r="F296" s="14"/>
      <c r="G296" s="15"/>
      <c r="I296" s="9"/>
      <c r="J296" s="9"/>
      <c r="K296" s="9"/>
      <c r="L296" s="103"/>
      <c r="M296" s="108"/>
      <c r="N296" s="9"/>
    </row>
    <row r="297" spans="1:14" ht="13.95" customHeight="1">
      <c r="A297" s="16"/>
      <c r="B297" s="12" t="s">
        <v>195</v>
      </c>
      <c r="C297" s="70" t="s">
        <v>194</v>
      </c>
      <c r="D297" s="12"/>
      <c r="E297" s="94"/>
      <c r="F297" s="14"/>
      <c r="G297" s="15"/>
      <c r="I297" s="9"/>
      <c r="J297" s="9"/>
      <c r="K297" s="9"/>
      <c r="L297" s="103"/>
      <c r="M297" s="108"/>
      <c r="N297" s="9"/>
    </row>
    <row r="298" spans="1:14" ht="13.95" customHeight="1">
      <c r="A298" s="16"/>
      <c r="B298" s="73"/>
      <c r="C298" s="62"/>
      <c r="D298" s="12"/>
      <c r="E298" s="94"/>
      <c r="F298" s="14"/>
      <c r="G298" s="15"/>
      <c r="I298" s="9"/>
      <c r="J298" s="9"/>
      <c r="K298" s="9"/>
      <c r="L298" s="103"/>
      <c r="M298" s="108"/>
      <c r="N298" s="9"/>
    </row>
    <row r="299" spans="1:14" ht="13.95" customHeight="1">
      <c r="A299" s="16">
        <v>51</v>
      </c>
      <c r="B299" s="73"/>
      <c r="C299" s="75" t="s">
        <v>165</v>
      </c>
      <c r="D299" s="12" t="s">
        <v>60</v>
      </c>
      <c r="E299" s="3">
        <f>SUM(I299:N299)</f>
        <v>0</v>
      </c>
      <c r="F299" s="14">
        <v>325</v>
      </c>
      <c r="G299" s="15">
        <f t="shared" ref="G299" si="60">+E299*F299</f>
        <v>0</v>
      </c>
      <c r="I299" s="9"/>
      <c r="J299" s="9"/>
      <c r="K299" s="9"/>
      <c r="L299" s="103"/>
      <c r="M299" s="108"/>
      <c r="N299" s="9"/>
    </row>
    <row r="300" spans="1:14" ht="13.95" customHeight="1">
      <c r="A300" s="16"/>
      <c r="B300" s="12"/>
      <c r="C300" s="75"/>
      <c r="D300" s="93"/>
      <c r="E300" s="94"/>
      <c r="F300" s="14"/>
      <c r="G300" s="15"/>
      <c r="I300" s="9"/>
      <c r="J300" s="9"/>
      <c r="K300" s="9"/>
      <c r="L300" s="103"/>
      <c r="M300" s="108"/>
      <c r="N300" s="9"/>
    </row>
    <row r="301" spans="1:14" ht="24">
      <c r="A301" s="16"/>
      <c r="B301" s="76" t="s">
        <v>169</v>
      </c>
      <c r="C301" s="46" t="s">
        <v>216</v>
      </c>
      <c r="D301" s="12"/>
      <c r="E301" s="12"/>
      <c r="F301" s="145"/>
      <c r="G301" s="15"/>
      <c r="I301" s="9"/>
      <c r="J301" s="9"/>
      <c r="K301" s="9"/>
      <c r="L301" s="103"/>
      <c r="M301" s="108"/>
      <c r="N301" s="9"/>
    </row>
    <row r="302" spans="1:14" ht="13.95" customHeight="1">
      <c r="A302" s="16"/>
      <c r="B302" s="76"/>
      <c r="C302" s="75"/>
      <c r="D302" s="12"/>
      <c r="E302" s="12"/>
      <c r="F302" s="145"/>
      <c r="G302" s="15"/>
      <c r="I302" s="9"/>
      <c r="J302" s="9"/>
      <c r="K302" s="9"/>
      <c r="L302" s="103"/>
      <c r="M302" s="108"/>
      <c r="N302" s="9"/>
    </row>
    <row r="303" spans="1:14" ht="13.95" customHeight="1">
      <c r="A303" s="16"/>
      <c r="B303" s="76" t="s">
        <v>169</v>
      </c>
      <c r="C303" s="75" t="s">
        <v>170</v>
      </c>
      <c r="D303" s="12"/>
      <c r="E303" s="12"/>
      <c r="F303" s="145"/>
      <c r="G303" s="15"/>
      <c r="I303" s="9"/>
      <c r="J303" s="9"/>
      <c r="K303" s="9"/>
      <c r="L303" s="103"/>
      <c r="M303" s="108"/>
      <c r="N303" s="9"/>
    </row>
    <row r="304" spans="1:14" ht="13.95" customHeight="1">
      <c r="A304" s="16"/>
      <c r="B304" s="76"/>
      <c r="C304" s="75"/>
      <c r="D304" s="12"/>
      <c r="E304" s="12"/>
      <c r="F304" s="145"/>
      <c r="G304" s="15"/>
      <c r="I304" s="9"/>
      <c r="J304" s="9"/>
      <c r="K304" s="9"/>
      <c r="L304" s="103"/>
      <c r="M304" s="108"/>
      <c r="N304" s="9"/>
    </row>
    <row r="305" spans="1:15" ht="13.95" customHeight="1">
      <c r="A305" s="16">
        <v>52</v>
      </c>
      <c r="B305" s="76" t="s">
        <v>171</v>
      </c>
      <c r="C305" s="75" t="s">
        <v>172</v>
      </c>
      <c r="D305" s="12" t="s">
        <v>60</v>
      </c>
      <c r="E305" s="3">
        <f>SUM(I305:N305)</f>
        <v>0</v>
      </c>
      <c r="F305" s="94">
        <v>275</v>
      </c>
      <c r="G305" s="15">
        <f t="shared" ref="G305:G313" si="61">+E305*F305</f>
        <v>0</v>
      </c>
      <c r="I305" s="9"/>
      <c r="J305" s="9"/>
      <c r="K305" s="9"/>
      <c r="L305" s="103"/>
      <c r="M305" s="108"/>
      <c r="N305" s="9"/>
    </row>
    <row r="306" spans="1:15" ht="13.95" customHeight="1">
      <c r="A306" s="16"/>
      <c r="B306" s="12"/>
      <c r="C306" s="75"/>
      <c r="D306" s="93"/>
      <c r="E306" s="94"/>
      <c r="F306" s="14"/>
      <c r="G306" s="15"/>
      <c r="I306" s="9"/>
      <c r="J306" s="9"/>
      <c r="K306" s="9"/>
      <c r="L306" s="103"/>
      <c r="M306" s="108"/>
      <c r="N306" s="9"/>
    </row>
    <row r="307" spans="1:15" ht="13.95" customHeight="1">
      <c r="A307" s="16"/>
      <c r="B307" s="12" t="s">
        <v>102</v>
      </c>
      <c r="C307" s="74" t="s">
        <v>166</v>
      </c>
      <c r="D307" s="12"/>
      <c r="E307" s="94"/>
      <c r="F307" s="14"/>
      <c r="G307" s="15"/>
      <c r="I307" s="9"/>
      <c r="J307" s="9"/>
      <c r="K307" s="9"/>
      <c r="L307" s="103"/>
      <c r="M307" s="108"/>
      <c r="N307" s="9"/>
    </row>
    <row r="308" spans="1:15" ht="13.95" customHeight="1">
      <c r="A308" s="16"/>
      <c r="B308" s="12"/>
      <c r="C308" s="95"/>
      <c r="D308" s="12"/>
      <c r="E308" s="94"/>
      <c r="F308" s="14"/>
      <c r="G308" s="15"/>
      <c r="I308" s="9"/>
      <c r="J308" s="9"/>
      <c r="K308" s="103"/>
      <c r="L308" s="103"/>
      <c r="M308" s="108"/>
      <c r="N308" s="9"/>
    </row>
    <row r="309" spans="1:15" ht="13.95" customHeight="1">
      <c r="A309" s="16"/>
      <c r="B309" s="12"/>
      <c r="C309" s="75" t="s">
        <v>78</v>
      </c>
      <c r="D309" s="12"/>
      <c r="E309" s="94"/>
      <c r="F309" s="14"/>
      <c r="G309" s="15"/>
      <c r="I309" s="103"/>
      <c r="J309" s="103"/>
      <c r="K309" s="103"/>
      <c r="L309" s="103"/>
      <c r="M309" s="134"/>
      <c r="N309" s="9"/>
    </row>
    <row r="310" spans="1:15" ht="13.95" customHeight="1">
      <c r="A310" s="16"/>
      <c r="B310" s="12"/>
      <c r="C310" s="75"/>
      <c r="D310" s="12"/>
      <c r="E310" s="94"/>
      <c r="F310" s="14"/>
      <c r="G310" s="15"/>
      <c r="I310" s="103"/>
      <c r="J310" s="103"/>
      <c r="K310" s="103"/>
      <c r="L310" s="103"/>
      <c r="M310" s="134"/>
      <c r="N310" s="9"/>
    </row>
    <row r="311" spans="1:15" ht="36">
      <c r="A311" s="16">
        <v>53</v>
      </c>
      <c r="B311" s="12"/>
      <c r="C311" s="47" t="s">
        <v>203</v>
      </c>
      <c r="D311" s="12" t="s">
        <v>6</v>
      </c>
      <c r="E311" s="3">
        <f>SUM(I311:N311)</f>
        <v>0</v>
      </c>
      <c r="F311" s="13">
        <v>16000</v>
      </c>
      <c r="G311" s="15">
        <f t="shared" si="61"/>
        <v>0</v>
      </c>
      <c r="I311" s="103"/>
      <c r="J311" s="103"/>
      <c r="K311" s="103"/>
      <c r="L311" s="103"/>
      <c r="M311" s="134"/>
      <c r="N311" s="103"/>
      <c r="O311" s="41"/>
    </row>
    <row r="312" spans="1:15" ht="13.95" customHeight="1">
      <c r="A312" s="16"/>
      <c r="B312" s="12"/>
      <c r="C312" s="75"/>
      <c r="D312" s="93"/>
      <c r="E312" s="94"/>
      <c r="F312" s="13"/>
      <c r="G312" s="15"/>
      <c r="I312" s="103"/>
      <c r="J312" s="103"/>
      <c r="K312" s="103"/>
      <c r="L312" s="103"/>
      <c r="M312" s="134"/>
      <c r="N312" s="103"/>
      <c r="O312" s="41"/>
    </row>
    <row r="313" spans="1:15" ht="36">
      <c r="A313" s="16">
        <v>54</v>
      </c>
      <c r="B313" s="12"/>
      <c r="C313" s="47" t="s">
        <v>286</v>
      </c>
      <c r="D313" s="12" t="s">
        <v>6</v>
      </c>
      <c r="E313" s="3">
        <f>SUM(I313:N313)</f>
        <v>0</v>
      </c>
      <c r="F313" s="13">
        <v>65000</v>
      </c>
      <c r="G313" s="15">
        <f t="shared" si="61"/>
        <v>0</v>
      </c>
      <c r="I313" s="103"/>
      <c r="J313" s="103"/>
      <c r="K313" s="103"/>
      <c r="L313" s="103"/>
      <c r="M313" s="134"/>
      <c r="N313" s="103"/>
      <c r="O313" s="41"/>
    </row>
    <row r="314" spans="1:15" ht="13.95" customHeight="1">
      <c r="A314" s="16"/>
      <c r="B314" s="12"/>
      <c r="C314" s="75"/>
      <c r="D314" s="93"/>
      <c r="E314" s="3"/>
      <c r="F314" s="13"/>
      <c r="G314" s="15"/>
      <c r="I314" s="103"/>
      <c r="J314" s="103"/>
      <c r="K314" s="103"/>
      <c r="L314" s="103"/>
      <c r="M314" s="134"/>
      <c r="N314" s="103"/>
      <c r="O314" s="41"/>
    </row>
    <row r="315" spans="1:15" ht="13.95" customHeight="1">
      <c r="A315" s="16"/>
      <c r="B315" s="12"/>
      <c r="C315" s="75"/>
      <c r="D315" s="93"/>
      <c r="E315" s="3"/>
      <c r="F315" s="13"/>
      <c r="G315" s="15"/>
      <c r="I315" s="103"/>
      <c r="J315" s="103"/>
      <c r="K315" s="103"/>
      <c r="L315" s="103"/>
      <c r="M315" s="134"/>
      <c r="N315" s="103"/>
      <c r="O315" s="41"/>
    </row>
    <row r="316" spans="1:15" ht="13.95" customHeight="1">
      <c r="A316" s="16"/>
      <c r="B316" s="12"/>
      <c r="C316" s="75"/>
      <c r="D316" s="93"/>
      <c r="E316" s="3"/>
      <c r="F316" s="13"/>
      <c r="G316" s="15"/>
      <c r="I316" s="103"/>
      <c r="J316" s="103"/>
      <c r="K316" s="103"/>
      <c r="L316" s="103"/>
      <c r="M316" s="134"/>
      <c r="N316" s="103"/>
      <c r="O316" s="41"/>
    </row>
    <row r="317" spans="1:15" ht="13.95" customHeight="1">
      <c r="A317" s="16"/>
      <c r="B317" s="12"/>
      <c r="C317" s="75"/>
      <c r="D317" s="93"/>
      <c r="E317" s="3"/>
      <c r="F317" s="13"/>
      <c r="G317" s="15"/>
      <c r="I317" s="103"/>
      <c r="J317" s="103"/>
      <c r="K317" s="103"/>
      <c r="L317" s="103"/>
      <c r="M317" s="134"/>
      <c r="N317" s="103"/>
      <c r="O317" s="41"/>
    </row>
    <row r="318" spans="1:15" ht="13.95" customHeight="1">
      <c r="A318" s="16"/>
      <c r="B318" s="12"/>
      <c r="C318" s="75"/>
      <c r="D318" s="93"/>
      <c r="E318" s="3"/>
      <c r="F318" s="13"/>
      <c r="G318" s="15"/>
      <c r="I318" s="103"/>
      <c r="J318" s="103"/>
      <c r="K318" s="103"/>
      <c r="L318" s="103"/>
      <c r="M318" s="134"/>
      <c r="N318" s="103"/>
      <c r="O318" s="41"/>
    </row>
    <row r="319" spans="1:15" ht="13.95" customHeight="1">
      <c r="A319" s="16"/>
      <c r="B319" s="12"/>
      <c r="C319" s="75"/>
      <c r="D319" s="93"/>
      <c r="E319" s="3"/>
      <c r="F319" s="13"/>
      <c r="G319" s="15"/>
      <c r="I319" s="103"/>
      <c r="J319" s="103"/>
      <c r="K319" s="103"/>
      <c r="L319" s="103"/>
      <c r="M319" s="134"/>
      <c r="N319" s="103"/>
      <c r="O319" s="41"/>
    </row>
    <row r="320" spans="1:15" ht="13.95" customHeight="1">
      <c r="A320" s="16"/>
      <c r="B320" s="12"/>
      <c r="C320" s="75"/>
      <c r="D320" s="93"/>
      <c r="E320" s="3"/>
      <c r="F320" s="13"/>
      <c r="G320" s="15"/>
      <c r="I320" s="103"/>
      <c r="J320" s="103"/>
      <c r="K320" s="103"/>
      <c r="L320" s="103"/>
      <c r="M320" s="134"/>
      <c r="N320" s="103"/>
      <c r="O320" s="41"/>
    </row>
    <row r="321" spans="1:15" ht="13.95" customHeight="1">
      <c r="A321" s="16"/>
      <c r="B321" s="12"/>
      <c r="C321" s="75"/>
      <c r="D321" s="93"/>
      <c r="E321" s="3"/>
      <c r="F321" s="13"/>
      <c r="G321" s="15"/>
      <c r="I321" s="103"/>
      <c r="J321" s="103"/>
      <c r="K321" s="103"/>
      <c r="L321" s="103"/>
      <c r="M321" s="134"/>
      <c r="N321" s="103"/>
      <c r="O321" s="41"/>
    </row>
    <row r="322" spans="1:15" ht="13.95" customHeight="1">
      <c r="A322" s="16"/>
      <c r="B322" s="12"/>
      <c r="C322" s="75"/>
      <c r="D322" s="93"/>
      <c r="E322" s="3"/>
      <c r="F322" s="13"/>
      <c r="G322" s="15"/>
      <c r="I322" s="103"/>
      <c r="J322" s="103"/>
      <c r="K322" s="103"/>
      <c r="L322" s="103"/>
      <c r="M322" s="134"/>
      <c r="N322" s="103"/>
      <c r="O322" s="41"/>
    </row>
    <row r="323" spans="1:15" ht="13.95" customHeight="1">
      <c r="A323" s="16"/>
      <c r="B323" s="12"/>
      <c r="C323" s="75"/>
      <c r="D323" s="93"/>
      <c r="E323" s="3"/>
      <c r="F323" s="13"/>
      <c r="G323" s="15"/>
      <c r="I323" s="103"/>
      <c r="J323" s="103"/>
      <c r="K323" s="103"/>
      <c r="L323" s="103"/>
      <c r="M323" s="134"/>
      <c r="N323" s="103"/>
      <c r="O323" s="41"/>
    </row>
    <row r="324" spans="1:15" ht="13.95" customHeight="1">
      <c r="A324" s="16"/>
      <c r="B324" s="12"/>
      <c r="C324" s="75"/>
      <c r="D324" s="93"/>
      <c r="E324" s="3"/>
      <c r="F324" s="13"/>
      <c r="G324" s="15"/>
      <c r="I324" s="103"/>
      <c r="J324" s="103"/>
      <c r="K324" s="103"/>
      <c r="L324" s="103"/>
      <c r="M324" s="134"/>
      <c r="N324" s="103"/>
      <c r="O324" s="41"/>
    </row>
    <row r="325" spans="1:15" ht="13.95" customHeight="1">
      <c r="A325" s="16"/>
      <c r="B325" s="12"/>
      <c r="C325" s="75"/>
      <c r="D325" s="93"/>
      <c r="E325" s="3"/>
      <c r="F325" s="13"/>
      <c r="G325" s="15"/>
      <c r="I325" s="103"/>
      <c r="J325" s="103"/>
      <c r="K325" s="103"/>
      <c r="L325" s="103"/>
      <c r="M325" s="134"/>
      <c r="N325" s="103"/>
      <c r="O325" s="41"/>
    </row>
    <row r="326" spans="1:15" ht="13.95" customHeight="1">
      <c r="A326" s="16"/>
      <c r="B326" s="12"/>
      <c r="C326" s="75"/>
      <c r="D326" s="93"/>
      <c r="E326" s="3"/>
      <c r="F326" s="13"/>
      <c r="G326" s="15"/>
      <c r="I326" s="103"/>
      <c r="J326" s="103"/>
      <c r="K326" s="103"/>
      <c r="L326" s="103"/>
      <c r="M326" s="134"/>
      <c r="N326" s="103"/>
      <c r="O326" s="41"/>
    </row>
    <row r="327" spans="1:15" ht="13.95" customHeight="1">
      <c r="A327" s="16"/>
      <c r="B327" s="12"/>
      <c r="C327" s="75"/>
      <c r="D327" s="93"/>
      <c r="E327" s="3"/>
      <c r="F327" s="13"/>
      <c r="G327" s="15"/>
      <c r="I327" s="103"/>
      <c r="J327" s="103"/>
      <c r="K327" s="103"/>
      <c r="L327" s="103"/>
      <c r="M327" s="134"/>
      <c r="N327" s="103"/>
      <c r="O327" s="41"/>
    </row>
    <row r="328" spans="1:15" ht="13.95" customHeight="1">
      <c r="A328" s="16"/>
      <c r="B328" s="12"/>
      <c r="C328" s="75"/>
      <c r="D328" s="93"/>
      <c r="E328" s="3"/>
      <c r="F328" s="13"/>
      <c r="G328" s="15"/>
      <c r="I328" s="103"/>
      <c r="J328" s="103"/>
      <c r="K328" s="103"/>
      <c r="L328" s="103"/>
      <c r="M328" s="134"/>
      <c r="N328" s="103"/>
      <c r="O328" s="41"/>
    </row>
    <row r="329" spans="1:15" ht="13.95" customHeight="1">
      <c r="A329" s="16"/>
      <c r="B329" s="12"/>
      <c r="C329" s="75"/>
      <c r="D329" s="93"/>
      <c r="E329" s="3"/>
      <c r="F329" s="13"/>
      <c r="G329" s="15"/>
      <c r="I329" s="103"/>
      <c r="J329" s="103"/>
      <c r="K329" s="103"/>
      <c r="L329" s="103"/>
      <c r="M329" s="134"/>
      <c r="N329" s="103"/>
      <c r="O329" s="41"/>
    </row>
    <row r="330" spans="1:15" ht="13.95" customHeight="1">
      <c r="A330" s="16"/>
      <c r="B330" s="12"/>
      <c r="C330" s="75"/>
      <c r="D330" s="93"/>
      <c r="E330" s="3"/>
      <c r="F330" s="13"/>
      <c r="G330" s="15"/>
      <c r="I330" s="103"/>
      <c r="J330" s="103"/>
      <c r="K330" s="103"/>
      <c r="L330" s="103"/>
      <c r="M330" s="134"/>
      <c r="N330" s="103"/>
      <c r="O330" s="41"/>
    </row>
    <row r="331" spans="1:15" ht="13.95" customHeight="1">
      <c r="A331" s="16"/>
      <c r="B331" s="16"/>
      <c r="C331" s="47"/>
      <c r="D331" s="58"/>
      <c r="E331" s="13"/>
      <c r="F331" s="14"/>
      <c r="G331" s="15"/>
      <c r="I331" s="105"/>
      <c r="J331" s="105"/>
      <c r="K331" s="105"/>
      <c r="L331" s="105"/>
      <c r="M331" s="135"/>
      <c r="N331" s="53"/>
      <c r="O331" s="41"/>
    </row>
    <row r="332" spans="1:15">
      <c r="A332" s="16"/>
      <c r="B332" s="16"/>
      <c r="C332" s="47"/>
      <c r="D332" s="58"/>
      <c r="E332" s="13"/>
      <c r="F332" s="14"/>
      <c r="G332" s="15"/>
    </row>
    <row r="333" spans="1:15">
      <c r="A333" s="16"/>
      <c r="B333" s="16"/>
      <c r="C333" s="47"/>
      <c r="D333" s="58"/>
      <c r="E333" s="13"/>
      <c r="F333" s="14"/>
      <c r="G333" s="15"/>
    </row>
    <row r="334" spans="1:15">
      <c r="A334" s="16"/>
      <c r="B334" s="16"/>
      <c r="C334" s="47"/>
      <c r="D334" s="58"/>
      <c r="E334" s="13"/>
      <c r="F334" s="14"/>
      <c r="G334" s="15"/>
    </row>
    <row r="335" spans="1:15" ht="20.399999999999999" customHeight="1">
      <c r="A335" s="156" t="s">
        <v>161</v>
      </c>
      <c r="B335" s="157"/>
      <c r="C335" s="157"/>
      <c r="D335" s="157"/>
      <c r="E335" s="157"/>
      <c r="F335" s="158"/>
      <c r="G335" s="78">
        <f>SUM(G289:G334)</f>
        <v>1423482.3399999999</v>
      </c>
    </row>
  </sheetData>
  <mergeCells count="13">
    <mergeCell ref="A152:F152"/>
    <mergeCell ref="A48:F48"/>
    <mergeCell ref="A52:F52"/>
    <mergeCell ref="A96:F96"/>
    <mergeCell ref="A100:F100"/>
    <mergeCell ref="A148:F148"/>
    <mergeCell ref="A335:F335"/>
    <mergeCell ref="A198:F198"/>
    <mergeCell ref="A202:F202"/>
    <mergeCell ref="A242:F242"/>
    <mergeCell ref="A246:F246"/>
    <mergeCell ref="A285:F285"/>
    <mergeCell ref="A289:F289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79D88-1F9E-4566-B70C-263E506CCF7A}">
  <dimension ref="A1:O335"/>
  <sheetViews>
    <sheetView showGridLines="0" view="pageBreakPreview" topLeftCell="A2" zoomScaleNormal="100" zoomScaleSheetLayoutView="100" workbookViewId="0">
      <selection activeCell="I2" sqref="I1:N1048576"/>
    </sheetView>
  </sheetViews>
  <sheetFormatPr defaultColWidth="13.109375" defaultRowHeight="12"/>
  <cols>
    <col min="1" max="1" width="4.88671875" style="22" customWidth="1"/>
    <col min="2" max="2" width="8.33203125" style="20" customWidth="1"/>
    <col min="3" max="3" width="40.6640625" style="21" customWidth="1"/>
    <col min="4" max="4" width="5.109375" style="22" customWidth="1"/>
    <col min="5" max="5" width="7.6640625" style="22" customWidth="1"/>
    <col min="6" max="6" width="8.6640625" style="23" customWidth="1"/>
    <col min="7" max="7" width="11.6640625" style="24" customWidth="1"/>
    <col min="8" max="8" width="4.33203125" style="6" customWidth="1"/>
    <col min="9" max="9" width="11.33203125" style="22" hidden="1" customWidth="1"/>
    <col min="10" max="10" width="11.109375" style="22" hidden="1" customWidth="1"/>
    <col min="11" max="11" width="10.88671875" style="22" hidden="1" customWidth="1"/>
    <col min="12" max="12" width="11.6640625" style="22" hidden="1" customWidth="1"/>
    <col min="13" max="13" width="13.109375" style="106" hidden="1" customWidth="1"/>
    <col min="14" max="14" width="0" style="22" hidden="1" customWidth="1"/>
    <col min="15" max="16384" width="13.109375" style="6"/>
  </cols>
  <sheetData>
    <row r="1" spans="1:14" ht="20.399999999999999" hidden="1" customHeight="1">
      <c r="A1" s="19" t="s">
        <v>80</v>
      </c>
    </row>
    <row r="2" spans="1:14" ht="15" customHeight="1">
      <c r="A2" s="142" t="str">
        <f>Summary!A2</f>
        <v>NAFASI WATER - ARNOT WASTE TREATMENT PLANT</v>
      </c>
      <c r="G2" s="25" t="str">
        <f>Summary!C2</f>
        <v>Revision T1</v>
      </c>
    </row>
    <row r="3" spans="1:14" ht="15" customHeight="1">
      <c r="A3" s="19" t="str">
        <f>Summary!A3</f>
        <v>PILING AND CIVIL WORK</v>
      </c>
      <c r="G3" s="26"/>
    </row>
    <row r="4" spans="1:14" ht="15" customHeight="1">
      <c r="A4" s="19" t="s">
        <v>279</v>
      </c>
      <c r="G4" s="143">
        <f>Summary!C4</f>
        <v>45183</v>
      </c>
    </row>
    <row r="5" spans="1:14" ht="15" customHeight="1">
      <c r="A5" s="27"/>
      <c r="B5" s="28"/>
      <c r="C5" s="28"/>
      <c r="E5" s="29"/>
      <c r="G5" s="30"/>
    </row>
    <row r="6" spans="1:14" s="42" customFormat="1" ht="37.200000000000003" customHeight="1">
      <c r="A6" s="44" t="s">
        <v>8</v>
      </c>
      <c r="B6" s="48" t="s">
        <v>9</v>
      </c>
      <c r="C6" s="44" t="s">
        <v>10</v>
      </c>
      <c r="D6" s="48" t="s">
        <v>11</v>
      </c>
      <c r="E6" s="48" t="s">
        <v>59</v>
      </c>
      <c r="F6" s="49" t="s">
        <v>12</v>
      </c>
      <c r="G6" s="49" t="s">
        <v>13</v>
      </c>
      <c r="I6" s="100" t="s">
        <v>245</v>
      </c>
      <c r="J6" s="100" t="s">
        <v>275</v>
      </c>
      <c r="K6" s="100" t="s">
        <v>281</v>
      </c>
      <c r="L6" s="101" t="s">
        <v>272</v>
      </c>
      <c r="M6" s="100" t="s">
        <v>282</v>
      </c>
      <c r="N6" s="48"/>
    </row>
    <row r="7" spans="1:14" s="42" customFormat="1" ht="4.95" customHeight="1">
      <c r="A7" s="2"/>
      <c r="B7" s="40"/>
      <c r="C7" s="50"/>
      <c r="D7" s="40"/>
      <c r="E7" s="40"/>
      <c r="F7" s="54"/>
      <c r="G7" s="54"/>
      <c r="I7" s="40"/>
      <c r="J7" s="40"/>
      <c r="K7" s="40"/>
      <c r="L7" s="102"/>
      <c r="M7" s="107"/>
      <c r="N7" s="109"/>
    </row>
    <row r="8" spans="1:14" ht="19.2" customHeight="1">
      <c r="A8" s="1"/>
      <c r="B8" s="2"/>
      <c r="C8" s="11" t="s">
        <v>280</v>
      </c>
      <c r="D8" s="1"/>
      <c r="E8" s="1"/>
      <c r="F8" s="4"/>
      <c r="G8" s="5"/>
      <c r="I8" s="9"/>
      <c r="J8" s="9"/>
      <c r="K8" s="9"/>
      <c r="L8" s="103"/>
      <c r="M8" s="108"/>
      <c r="N8" s="9"/>
    </row>
    <row r="9" spans="1:14" ht="10.95" customHeight="1">
      <c r="A9" s="1"/>
      <c r="B9" s="2"/>
      <c r="C9" s="11"/>
      <c r="D9" s="1"/>
      <c r="E9" s="1"/>
      <c r="F9" s="4"/>
      <c r="G9" s="5"/>
      <c r="I9" s="9"/>
      <c r="J9" s="9"/>
      <c r="K9" s="9"/>
      <c r="L9" s="103"/>
      <c r="M9" s="108"/>
      <c r="N9" s="9"/>
    </row>
    <row r="10" spans="1:14" ht="22.2" customHeight="1">
      <c r="A10" s="1"/>
      <c r="B10" s="1" t="s">
        <v>22</v>
      </c>
      <c r="C10" s="34" t="s">
        <v>69</v>
      </c>
      <c r="D10" s="1"/>
      <c r="E10" s="3" t="str">
        <f>IF(SUM(H10:M10)&gt;0,SUM(H10:M10),"")</f>
        <v/>
      </c>
      <c r="F10" s="4"/>
      <c r="G10" s="5"/>
      <c r="I10" s="9"/>
      <c r="J10" s="9"/>
      <c r="K10" s="9"/>
      <c r="L10" s="103"/>
      <c r="M10" s="108"/>
      <c r="N10" s="9"/>
    </row>
    <row r="11" spans="1:14" ht="13.95" customHeight="1">
      <c r="A11" s="1"/>
      <c r="B11" s="1"/>
      <c r="C11" s="34"/>
      <c r="D11" s="1"/>
      <c r="E11" s="3" t="str">
        <f>IF(SUM(H11:M11)&gt;0,SUM(H11:M11),"")</f>
        <v/>
      </c>
      <c r="F11" s="4"/>
      <c r="G11" s="5"/>
      <c r="I11" s="9"/>
      <c r="J11" s="9"/>
      <c r="K11" s="9"/>
      <c r="L11" s="103"/>
      <c r="M11" s="108"/>
      <c r="N11" s="9"/>
    </row>
    <row r="12" spans="1:14" ht="13.95" customHeight="1">
      <c r="A12" s="1"/>
      <c r="B12" s="1"/>
      <c r="C12" s="32" t="s">
        <v>55</v>
      </c>
      <c r="D12" s="1"/>
      <c r="E12" s="3" t="str">
        <f>IF(SUM(H12:M12)&gt;0,SUM(H12:M12),"")</f>
        <v/>
      </c>
      <c r="F12" s="4"/>
      <c r="G12" s="5"/>
      <c r="I12" s="9"/>
      <c r="J12" s="9"/>
      <c r="K12" s="9"/>
      <c r="L12" s="103"/>
      <c r="M12" s="108"/>
      <c r="N12" s="9"/>
    </row>
    <row r="13" spans="1:14" ht="13.95" customHeight="1">
      <c r="A13" s="1"/>
      <c r="B13" s="1"/>
      <c r="C13" s="32"/>
      <c r="D13" s="1"/>
      <c r="E13" s="3" t="str">
        <f>IF(SUM(H13:M13)&gt;0,SUM(H13:M13),"")</f>
        <v/>
      </c>
      <c r="F13" s="4"/>
      <c r="G13" s="5"/>
      <c r="I13" s="9"/>
      <c r="J13" s="9"/>
      <c r="K13" s="9"/>
      <c r="L13" s="103"/>
      <c r="M13" s="108"/>
      <c r="N13" s="9"/>
    </row>
    <row r="14" spans="1:14" ht="22.2" customHeight="1">
      <c r="A14" s="1">
        <v>1</v>
      </c>
      <c r="B14" s="1"/>
      <c r="C14" s="33" t="s">
        <v>218</v>
      </c>
      <c r="D14" s="1" t="s">
        <v>6</v>
      </c>
      <c r="E14" s="3">
        <f>SUM(I14:N14)</f>
        <v>0</v>
      </c>
      <c r="F14" s="13">
        <v>1150</v>
      </c>
      <c r="G14" s="5">
        <f t="shared" ref="G14" si="0">+E14*F14</f>
        <v>0</v>
      </c>
      <c r="I14" s="137">
        <v>0</v>
      </c>
      <c r="J14" s="137">
        <v>0</v>
      </c>
      <c r="K14" s="137">
        <v>0</v>
      </c>
      <c r="L14" s="137">
        <v>0</v>
      </c>
      <c r="M14" s="137">
        <v>0</v>
      </c>
      <c r="N14" s="137">
        <v>0</v>
      </c>
    </row>
    <row r="15" spans="1:14" ht="13.95" customHeight="1">
      <c r="A15" s="1"/>
      <c r="B15" s="1"/>
      <c r="C15" s="32"/>
      <c r="D15" s="1"/>
      <c r="E15" s="3"/>
      <c r="F15" s="14"/>
      <c r="G15" s="5"/>
      <c r="I15" s="13"/>
      <c r="J15" s="13"/>
      <c r="K15" s="13"/>
      <c r="L15" s="13"/>
      <c r="M15" s="13"/>
      <c r="N15" s="13"/>
    </row>
    <row r="16" spans="1:14" ht="13.95" customHeight="1">
      <c r="A16" s="1"/>
      <c r="B16" s="1"/>
      <c r="C16" s="32" t="s">
        <v>221</v>
      </c>
      <c r="D16" s="1"/>
      <c r="E16" s="3"/>
      <c r="F16" s="14"/>
      <c r="G16" s="5"/>
      <c r="I16" s="13"/>
      <c r="J16" s="13"/>
      <c r="K16" s="13"/>
      <c r="L16" s="13"/>
      <c r="M16" s="13"/>
      <c r="N16" s="13"/>
    </row>
    <row r="17" spans="1:14" ht="34.950000000000003" customHeight="1">
      <c r="A17" s="1"/>
      <c r="B17" s="1"/>
      <c r="C17" s="33" t="s">
        <v>219</v>
      </c>
      <c r="D17" s="1"/>
      <c r="E17" s="3"/>
      <c r="F17" s="14"/>
      <c r="G17" s="5"/>
      <c r="I17" s="13"/>
      <c r="J17" s="13"/>
      <c r="K17" s="13"/>
      <c r="L17" s="13"/>
      <c r="M17" s="13"/>
      <c r="N17" s="13"/>
    </row>
    <row r="18" spans="1:14" ht="10.95" customHeight="1">
      <c r="A18" s="1"/>
      <c r="B18" s="1"/>
      <c r="C18" s="32"/>
      <c r="D18" s="1"/>
      <c r="E18" s="3"/>
      <c r="F18" s="13"/>
      <c r="G18" s="5"/>
      <c r="I18" s="13"/>
      <c r="J18" s="13"/>
      <c r="K18" s="13"/>
      <c r="L18" s="13"/>
      <c r="M18" s="13"/>
      <c r="N18" s="13"/>
    </row>
    <row r="19" spans="1:14" ht="13.2" customHeight="1">
      <c r="A19" s="1">
        <v>2</v>
      </c>
      <c r="B19" s="1"/>
      <c r="C19" s="33" t="s">
        <v>33</v>
      </c>
      <c r="D19" s="1" t="s">
        <v>1</v>
      </c>
      <c r="E19" s="3">
        <f>SUM(I19:N19)</f>
        <v>0</v>
      </c>
      <c r="F19" s="13">
        <v>1850</v>
      </c>
      <c r="G19" s="5">
        <f t="shared" ref="G19" si="1">+E19*F19</f>
        <v>0</v>
      </c>
      <c r="I19" s="138">
        <f t="shared" ref="I19:N19" si="2">I14*10</f>
        <v>0</v>
      </c>
      <c r="J19" s="138">
        <f t="shared" si="2"/>
        <v>0</v>
      </c>
      <c r="K19" s="138">
        <f t="shared" si="2"/>
        <v>0</v>
      </c>
      <c r="L19" s="138">
        <f t="shared" si="2"/>
        <v>0</v>
      </c>
      <c r="M19" s="138">
        <f t="shared" si="2"/>
        <v>0</v>
      </c>
      <c r="N19" s="138">
        <f t="shared" si="2"/>
        <v>0</v>
      </c>
    </row>
    <row r="20" spans="1:14" ht="13.2" customHeight="1">
      <c r="A20" s="1"/>
      <c r="B20" s="1"/>
      <c r="C20" s="32"/>
      <c r="D20" s="1"/>
      <c r="E20" s="3"/>
      <c r="F20" s="13"/>
      <c r="G20" s="5"/>
      <c r="I20" s="138"/>
      <c r="J20" s="138"/>
      <c r="K20" s="138"/>
      <c r="L20" s="138"/>
      <c r="M20" s="138"/>
      <c r="N20" s="138"/>
    </row>
    <row r="21" spans="1:14" ht="13.2" customHeight="1">
      <c r="A21" s="1">
        <v>3</v>
      </c>
      <c r="B21" s="1"/>
      <c r="C21" s="33" t="s">
        <v>34</v>
      </c>
      <c r="D21" s="1" t="s">
        <v>1</v>
      </c>
      <c r="E21" s="3">
        <f>SUM(I21:N21)</f>
        <v>0</v>
      </c>
      <c r="F21" s="13">
        <f>F19</f>
        <v>1850</v>
      </c>
      <c r="G21" s="5">
        <f t="shared" ref="G21" si="3">+E21*F21</f>
        <v>0</v>
      </c>
      <c r="I21" s="138">
        <f t="shared" ref="I21:N21" si="4">I14*5</f>
        <v>0</v>
      </c>
      <c r="J21" s="138">
        <f t="shared" si="4"/>
        <v>0</v>
      </c>
      <c r="K21" s="138">
        <f t="shared" si="4"/>
        <v>0</v>
      </c>
      <c r="L21" s="138">
        <f t="shared" si="4"/>
        <v>0</v>
      </c>
      <c r="M21" s="138">
        <f t="shared" si="4"/>
        <v>0</v>
      </c>
      <c r="N21" s="138">
        <f t="shared" si="4"/>
        <v>0</v>
      </c>
    </row>
    <row r="22" spans="1:14" ht="13.2" customHeight="1">
      <c r="A22" s="1"/>
      <c r="B22" s="1"/>
      <c r="C22" s="32"/>
      <c r="D22" s="1"/>
      <c r="E22" s="3"/>
      <c r="F22" s="13"/>
      <c r="G22" s="5"/>
      <c r="I22" s="138"/>
      <c r="J22" s="138"/>
      <c r="K22" s="138"/>
      <c r="L22" s="138"/>
      <c r="M22" s="138"/>
      <c r="N22" s="138"/>
    </row>
    <row r="23" spans="1:14" ht="13.2" customHeight="1">
      <c r="A23" s="1"/>
      <c r="B23" s="1"/>
      <c r="C23" s="32" t="s">
        <v>76</v>
      </c>
      <c r="D23" s="1"/>
      <c r="E23" s="3"/>
      <c r="F23" s="13"/>
      <c r="G23" s="5"/>
      <c r="I23" s="138"/>
      <c r="J23" s="138"/>
      <c r="K23" s="138"/>
      <c r="L23" s="138"/>
      <c r="M23" s="138"/>
      <c r="N23" s="138"/>
    </row>
    <row r="24" spans="1:14" ht="13.2" customHeight="1">
      <c r="A24" s="1"/>
      <c r="B24" s="1"/>
      <c r="C24" s="32"/>
      <c r="D24" s="1"/>
      <c r="E24" s="3"/>
      <c r="F24" s="13"/>
      <c r="G24" s="5"/>
      <c r="I24" s="138"/>
      <c r="J24" s="138"/>
      <c r="K24" s="138"/>
      <c r="L24" s="138"/>
      <c r="M24" s="138"/>
      <c r="N24" s="138"/>
    </row>
    <row r="25" spans="1:14" ht="13.2" customHeight="1">
      <c r="A25" s="1">
        <v>4</v>
      </c>
      <c r="B25" s="1"/>
      <c r="C25" s="47" t="s">
        <v>77</v>
      </c>
      <c r="D25" s="1" t="s">
        <v>6</v>
      </c>
      <c r="E25" s="3">
        <f>SUM(I25:N25)</f>
        <v>0</v>
      </c>
      <c r="F25" s="13">
        <v>1250</v>
      </c>
      <c r="G25" s="5">
        <f t="shared" ref="G25" si="5">+E25*F25</f>
        <v>0</v>
      </c>
      <c r="I25" s="138">
        <f t="shared" ref="I25:N25" si="6">I14</f>
        <v>0</v>
      </c>
      <c r="J25" s="138">
        <f t="shared" si="6"/>
        <v>0</v>
      </c>
      <c r="K25" s="138">
        <f t="shared" si="6"/>
        <v>0</v>
      </c>
      <c r="L25" s="138">
        <f t="shared" si="6"/>
        <v>0</v>
      </c>
      <c r="M25" s="138">
        <f t="shared" si="6"/>
        <v>0</v>
      </c>
      <c r="N25" s="138">
        <f t="shared" si="6"/>
        <v>0</v>
      </c>
    </row>
    <row r="26" spans="1:14" ht="13.2" customHeight="1">
      <c r="A26" s="1"/>
      <c r="B26" s="1"/>
      <c r="C26" s="32"/>
      <c r="D26" s="1"/>
      <c r="E26" s="3"/>
      <c r="F26" s="13"/>
      <c r="G26" s="5"/>
      <c r="I26" s="138"/>
      <c r="J26" s="138"/>
      <c r="K26" s="138"/>
      <c r="L26" s="138"/>
      <c r="M26" s="138"/>
      <c r="N26" s="138"/>
    </row>
    <row r="27" spans="1:14" ht="12.6" customHeight="1">
      <c r="A27" s="1"/>
      <c r="B27" s="1"/>
      <c r="C27" s="32" t="s">
        <v>71</v>
      </c>
      <c r="D27" s="1"/>
      <c r="E27" s="3"/>
      <c r="F27" s="13"/>
      <c r="G27" s="5"/>
      <c r="I27" s="138"/>
      <c r="J27" s="138"/>
      <c r="K27" s="138"/>
      <c r="L27" s="138"/>
      <c r="M27" s="138"/>
      <c r="N27" s="138"/>
    </row>
    <row r="28" spans="1:14" ht="12.6" customHeight="1">
      <c r="A28" s="1"/>
      <c r="B28" s="1"/>
      <c r="C28" s="33"/>
      <c r="D28" s="1"/>
      <c r="E28" s="3"/>
      <c r="F28" s="13"/>
      <c r="G28" s="5"/>
      <c r="I28" s="138"/>
      <c r="J28" s="138"/>
      <c r="K28" s="138"/>
      <c r="L28" s="138"/>
      <c r="M28" s="138"/>
      <c r="N28" s="138"/>
    </row>
    <row r="29" spans="1:14" ht="12.6" customHeight="1">
      <c r="A29" s="1">
        <v>5</v>
      </c>
      <c r="B29" s="1"/>
      <c r="C29" s="33" t="s">
        <v>223</v>
      </c>
      <c r="D29" s="1" t="s">
        <v>2</v>
      </c>
      <c r="E29" s="3">
        <f>SUM(I29:N29)</f>
        <v>0</v>
      </c>
      <c r="F29" s="13">
        <v>29500</v>
      </c>
      <c r="G29" s="5">
        <f t="shared" ref="G29" si="7">+E29*F29</f>
        <v>0</v>
      </c>
      <c r="I29" s="139">
        <f t="shared" ref="I29:N29" si="8">(I19+I21)*0.00325</f>
        <v>0</v>
      </c>
      <c r="J29" s="139">
        <f t="shared" si="8"/>
        <v>0</v>
      </c>
      <c r="K29" s="139">
        <f t="shared" si="8"/>
        <v>0</v>
      </c>
      <c r="L29" s="139">
        <f t="shared" si="8"/>
        <v>0</v>
      </c>
      <c r="M29" s="139">
        <f t="shared" si="8"/>
        <v>0</v>
      </c>
      <c r="N29" s="139">
        <f t="shared" si="8"/>
        <v>0</v>
      </c>
    </row>
    <row r="30" spans="1:14" ht="12.6" customHeight="1">
      <c r="A30" s="1"/>
      <c r="B30" s="1"/>
      <c r="C30" s="33"/>
      <c r="D30" s="1"/>
      <c r="E30" s="3"/>
      <c r="F30" s="13"/>
      <c r="G30" s="5"/>
      <c r="I30" s="138"/>
      <c r="J30" s="138"/>
      <c r="K30" s="138"/>
      <c r="L30" s="138"/>
      <c r="M30" s="138"/>
      <c r="N30" s="138"/>
    </row>
    <row r="31" spans="1:14" ht="12.6" customHeight="1">
      <c r="A31" s="1">
        <v>6</v>
      </c>
      <c r="B31" s="1"/>
      <c r="C31" s="33" t="s">
        <v>222</v>
      </c>
      <c r="D31" s="1" t="s">
        <v>2</v>
      </c>
      <c r="E31" s="3">
        <f>SUM(I31:AG31)</f>
        <v>0</v>
      </c>
      <c r="F31" s="13">
        <v>28000</v>
      </c>
      <c r="G31" s="5">
        <f t="shared" ref="G31" si="9">+E31*F31</f>
        <v>0</v>
      </c>
      <c r="I31" s="139">
        <f t="shared" ref="I31:N31" si="10">(I19+I21)*0.0215</f>
        <v>0</v>
      </c>
      <c r="J31" s="139">
        <f t="shared" si="10"/>
        <v>0</v>
      </c>
      <c r="K31" s="139">
        <f t="shared" si="10"/>
        <v>0</v>
      </c>
      <c r="L31" s="139">
        <f t="shared" si="10"/>
        <v>0</v>
      </c>
      <c r="M31" s="139">
        <f t="shared" si="10"/>
        <v>0</v>
      </c>
      <c r="N31" s="139">
        <f t="shared" si="10"/>
        <v>0</v>
      </c>
    </row>
    <row r="32" spans="1:14" ht="12.6" customHeight="1">
      <c r="A32" s="1"/>
      <c r="B32" s="1"/>
      <c r="C32" s="33"/>
      <c r="D32" s="1"/>
      <c r="E32" s="3"/>
      <c r="F32" s="13"/>
      <c r="G32" s="5"/>
      <c r="I32" s="138"/>
      <c r="J32" s="138"/>
      <c r="K32" s="138"/>
      <c r="L32" s="138"/>
      <c r="M32" s="138"/>
      <c r="N32" s="138"/>
    </row>
    <row r="33" spans="1:14" ht="12.6" customHeight="1">
      <c r="A33" s="1"/>
      <c r="B33" s="1"/>
      <c r="C33" s="32" t="s">
        <v>56</v>
      </c>
      <c r="D33" s="1"/>
      <c r="E33" s="3"/>
      <c r="F33" s="13"/>
      <c r="G33" s="5"/>
      <c r="I33" s="138"/>
      <c r="J33" s="138"/>
      <c r="K33" s="138"/>
      <c r="L33" s="138"/>
      <c r="M33" s="138"/>
      <c r="N33" s="138"/>
    </row>
    <row r="34" spans="1:14" ht="13.2" customHeight="1">
      <c r="A34" s="1"/>
      <c r="B34" s="1"/>
      <c r="C34" s="33"/>
      <c r="D34" s="1"/>
      <c r="E34" s="3"/>
      <c r="F34" s="13"/>
      <c r="G34" s="5"/>
      <c r="I34" s="138"/>
      <c r="J34" s="138"/>
      <c r="K34" s="138"/>
      <c r="L34" s="138"/>
      <c r="M34" s="138"/>
      <c r="N34" s="138"/>
    </row>
    <row r="35" spans="1:14" ht="13.2" customHeight="1">
      <c r="A35" s="1">
        <v>7</v>
      </c>
      <c r="B35" s="1"/>
      <c r="C35" s="33" t="s">
        <v>220</v>
      </c>
      <c r="D35" s="1"/>
      <c r="E35" s="3"/>
      <c r="F35" s="13"/>
      <c r="G35" s="5"/>
      <c r="I35" s="138"/>
      <c r="J35" s="138"/>
      <c r="K35" s="138"/>
      <c r="L35" s="138"/>
      <c r="M35" s="138"/>
      <c r="N35" s="138"/>
    </row>
    <row r="36" spans="1:14" ht="13.2" customHeight="1">
      <c r="A36" s="1"/>
      <c r="B36" s="1"/>
      <c r="C36" s="1"/>
      <c r="D36" s="1"/>
      <c r="E36" s="3"/>
      <c r="F36" s="13"/>
      <c r="G36" s="5"/>
      <c r="I36" s="138"/>
      <c r="J36" s="138"/>
      <c r="K36" s="138"/>
      <c r="L36" s="138"/>
      <c r="M36" s="138"/>
      <c r="N36" s="138"/>
    </row>
    <row r="37" spans="1:14" ht="13.2" customHeight="1">
      <c r="A37" s="1"/>
      <c r="B37" s="1"/>
      <c r="C37" s="33" t="s">
        <v>38</v>
      </c>
      <c r="D37" s="1" t="s">
        <v>51</v>
      </c>
      <c r="E37" s="3">
        <f>SUM(I37:N37)</f>
        <v>0</v>
      </c>
      <c r="F37" s="13">
        <v>3500</v>
      </c>
      <c r="G37" s="5">
        <f t="shared" ref="G37" si="11">+E37*F37</f>
        <v>0</v>
      </c>
      <c r="I37" s="139">
        <f t="shared" ref="I37:N37" si="12">((I19+I21)*0.292)+(I14*0.75)</f>
        <v>0</v>
      </c>
      <c r="J37" s="139">
        <f t="shared" si="12"/>
        <v>0</v>
      </c>
      <c r="K37" s="139">
        <f t="shared" si="12"/>
        <v>0</v>
      </c>
      <c r="L37" s="139">
        <f t="shared" si="12"/>
        <v>0</v>
      </c>
      <c r="M37" s="139">
        <f t="shared" si="12"/>
        <v>0</v>
      </c>
      <c r="N37" s="139">
        <f t="shared" si="12"/>
        <v>0</v>
      </c>
    </row>
    <row r="38" spans="1:14" ht="13.2" customHeight="1">
      <c r="A38" s="1"/>
      <c r="B38" s="1"/>
      <c r="C38" s="33"/>
      <c r="D38" s="1"/>
      <c r="E38" s="3"/>
      <c r="F38" s="13"/>
      <c r="G38" s="5"/>
      <c r="I38" s="138"/>
      <c r="J38" s="138"/>
      <c r="K38" s="138"/>
      <c r="L38" s="138"/>
      <c r="M38" s="138"/>
      <c r="N38" s="138"/>
    </row>
    <row r="39" spans="1:14" ht="13.2" customHeight="1">
      <c r="A39" s="1"/>
      <c r="B39" s="1" t="s">
        <v>23</v>
      </c>
      <c r="C39" s="32" t="s">
        <v>35</v>
      </c>
      <c r="D39" s="1"/>
      <c r="E39" s="3"/>
      <c r="F39" s="13"/>
      <c r="G39" s="5"/>
      <c r="I39" s="138"/>
      <c r="J39" s="138"/>
      <c r="K39" s="138"/>
      <c r="L39" s="138"/>
      <c r="M39" s="138"/>
      <c r="N39" s="138"/>
    </row>
    <row r="40" spans="1:14" ht="13.2" customHeight="1">
      <c r="A40" s="1"/>
      <c r="B40" s="1"/>
      <c r="C40" s="32"/>
      <c r="D40" s="1"/>
      <c r="E40" s="3"/>
      <c r="F40" s="13"/>
      <c r="G40" s="5"/>
      <c r="I40" s="138"/>
      <c r="J40" s="138"/>
      <c r="K40" s="138"/>
      <c r="L40" s="138"/>
      <c r="M40" s="138"/>
      <c r="N40" s="138"/>
    </row>
    <row r="41" spans="1:14" ht="13.2" customHeight="1">
      <c r="A41" s="1">
        <v>8</v>
      </c>
      <c r="B41" s="1"/>
      <c r="C41" s="33" t="s">
        <v>259</v>
      </c>
      <c r="D41" s="1" t="s">
        <v>6</v>
      </c>
      <c r="E41" s="3">
        <f>SUM(I41:N41)</f>
        <v>0</v>
      </c>
      <c r="F41" s="13">
        <v>875</v>
      </c>
      <c r="G41" s="5">
        <f t="shared" ref="G41" si="13">+E41*F41</f>
        <v>0</v>
      </c>
      <c r="I41" s="138">
        <f t="shared" ref="I41:N41" si="14">I14</f>
        <v>0</v>
      </c>
      <c r="J41" s="138">
        <f t="shared" si="14"/>
        <v>0</v>
      </c>
      <c r="K41" s="138">
        <f t="shared" si="14"/>
        <v>0</v>
      </c>
      <c r="L41" s="138">
        <f t="shared" si="14"/>
        <v>0</v>
      </c>
      <c r="M41" s="138">
        <f t="shared" si="14"/>
        <v>0</v>
      </c>
      <c r="N41" s="138">
        <f t="shared" si="14"/>
        <v>0</v>
      </c>
    </row>
    <row r="42" spans="1:14" ht="13.2" customHeight="1">
      <c r="A42" s="1"/>
      <c r="B42" s="2"/>
      <c r="C42" s="11"/>
      <c r="D42" s="1"/>
      <c r="E42" s="1"/>
      <c r="F42" s="13"/>
      <c r="G42" s="5"/>
      <c r="I42" s="1"/>
      <c r="J42" s="1"/>
      <c r="K42" s="1"/>
      <c r="L42" s="103"/>
      <c r="M42" s="108"/>
      <c r="N42" s="9"/>
    </row>
    <row r="43" spans="1:14" ht="24">
      <c r="A43" s="1"/>
      <c r="B43" s="2" t="s">
        <v>100</v>
      </c>
      <c r="C43" s="31" t="s">
        <v>79</v>
      </c>
      <c r="D43" s="1"/>
      <c r="E43" s="3"/>
      <c r="F43" s="14"/>
      <c r="G43" s="5"/>
      <c r="I43" s="3"/>
      <c r="J43" s="3"/>
      <c r="K43" s="3"/>
      <c r="L43" s="103"/>
      <c r="M43" s="108"/>
      <c r="N43" s="9"/>
    </row>
    <row r="44" spans="1:14" ht="13.95" customHeight="1">
      <c r="A44" s="1"/>
      <c r="B44" s="2"/>
      <c r="C44" s="8" t="s">
        <v>81</v>
      </c>
      <c r="D44" s="1"/>
      <c r="E44" s="3"/>
      <c r="F44" s="14"/>
      <c r="G44" s="5"/>
      <c r="I44" s="3"/>
      <c r="J44" s="3"/>
      <c r="K44" s="3"/>
      <c r="L44" s="103"/>
      <c r="M44" s="108"/>
      <c r="N44" s="9"/>
    </row>
    <row r="45" spans="1:14" ht="50.4" customHeight="1">
      <c r="A45" s="16">
        <v>9</v>
      </c>
      <c r="B45" s="33" t="s">
        <v>162</v>
      </c>
      <c r="C45" s="33" t="s">
        <v>163</v>
      </c>
      <c r="D45" s="9" t="s">
        <v>60</v>
      </c>
      <c r="E45" s="3">
        <f>SUM(I45:N45)</f>
        <v>169</v>
      </c>
      <c r="F45" s="13">
        <v>225</v>
      </c>
      <c r="G45" s="5">
        <f t="shared" ref="G45" si="15">+E45*F45</f>
        <v>38025</v>
      </c>
      <c r="I45" s="9">
        <v>169</v>
      </c>
      <c r="J45" s="9"/>
      <c r="K45" s="9"/>
      <c r="L45" s="103"/>
      <c r="M45" s="108"/>
      <c r="N45" s="9"/>
    </row>
    <row r="46" spans="1:14">
      <c r="A46" s="16"/>
      <c r="B46" s="33"/>
      <c r="D46" s="9"/>
      <c r="E46" s="3"/>
      <c r="F46" s="13"/>
      <c r="G46" s="5"/>
      <c r="I46" s="9"/>
      <c r="J46" s="9"/>
      <c r="K46" s="9"/>
      <c r="L46" s="103"/>
      <c r="M46" s="108"/>
      <c r="N46" s="9"/>
    </row>
    <row r="47" spans="1:14" ht="13.95" customHeight="1">
      <c r="A47" s="1"/>
      <c r="B47" s="2"/>
      <c r="C47" s="8"/>
      <c r="D47" s="9"/>
      <c r="E47" s="3"/>
      <c r="F47" s="4"/>
      <c r="G47" s="5"/>
      <c r="I47" s="9"/>
      <c r="J47" s="9"/>
      <c r="K47" s="9"/>
      <c r="L47" s="103"/>
      <c r="M47" s="108"/>
      <c r="N47" s="9"/>
    </row>
    <row r="48" spans="1:14" ht="20.100000000000001" customHeight="1">
      <c r="A48" s="149" t="s">
        <v>66</v>
      </c>
      <c r="B48" s="150"/>
      <c r="C48" s="150"/>
      <c r="D48" s="150"/>
      <c r="E48" s="150"/>
      <c r="F48" s="151"/>
      <c r="G48" s="116">
        <f>SUM(G8:G47)</f>
        <v>38025</v>
      </c>
      <c r="I48" s="9"/>
      <c r="J48" s="9"/>
      <c r="K48" s="9"/>
      <c r="L48" s="103"/>
      <c r="M48" s="108"/>
      <c r="N48" s="9"/>
    </row>
    <row r="49" spans="1:14">
      <c r="A49" s="39"/>
      <c r="B49" s="39"/>
      <c r="C49" s="39"/>
      <c r="D49" s="39"/>
      <c r="E49" s="39"/>
      <c r="F49" s="39"/>
      <c r="G49" s="113"/>
      <c r="I49" s="9"/>
      <c r="J49" s="9"/>
      <c r="K49" s="9"/>
      <c r="L49" s="103"/>
      <c r="M49" s="108"/>
      <c r="N49" s="9"/>
    </row>
    <row r="50" spans="1:14" ht="13.95" customHeight="1">
      <c r="A50" s="39"/>
      <c r="B50" s="39"/>
      <c r="C50" s="39"/>
      <c r="D50" s="39"/>
      <c r="E50" s="39"/>
      <c r="F50" s="39"/>
      <c r="G50" s="113"/>
      <c r="I50" s="9"/>
      <c r="J50" s="9"/>
      <c r="K50" s="9"/>
      <c r="L50" s="103"/>
      <c r="M50" s="108"/>
      <c r="N50" s="9"/>
    </row>
    <row r="51" spans="1:14" ht="24" customHeight="1">
      <c r="A51" s="44" t="s">
        <v>8</v>
      </c>
      <c r="B51" s="48" t="s">
        <v>9</v>
      </c>
      <c r="C51" s="44" t="s">
        <v>10</v>
      </c>
      <c r="D51" s="48" t="s">
        <v>11</v>
      </c>
      <c r="E51" s="48" t="s">
        <v>59</v>
      </c>
      <c r="F51" s="49" t="s">
        <v>12</v>
      </c>
      <c r="G51" s="111" t="s">
        <v>13</v>
      </c>
      <c r="I51" s="9"/>
      <c r="J51" s="9"/>
      <c r="K51" s="9"/>
      <c r="L51" s="103"/>
      <c r="M51" s="108"/>
      <c r="N51" s="9"/>
    </row>
    <row r="52" spans="1:14" ht="20.100000000000001" customHeight="1">
      <c r="A52" s="149" t="s">
        <v>67</v>
      </c>
      <c r="B52" s="150"/>
      <c r="C52" s="150"/>
      <c r="D52" s="150"/>
      <c r="E52" s="150"/>
      <c r="F52" s="151"/>
      <c r="G52" s="116">
        <f>+G48</f>
        <v>38025</v>
      </c>
      <c r="I52" s="9"/>
      <c r="J52" s="9"/>
      <c r="K52" s="9"/>
      <c r="L52" s="103"/>
      <c r="M52" s="108"/>
      <c r="N52" s="9"/>
    </row>
    <row r="53" spans="1:14" ht="9" customHeight="1">
      <c r="A53" s="1"/>
      <c r="B53" s="2"/>
      <c r="C53" s="8"/>
      <c r="D53" s="9"/>
      <c r="E53" s="3"/>
      <c r="F53" s="4"/>
      <c r="G53" s="5"/>
      <c r="I53" s="3"/>
      <c r="J53" s="3"/>
      <c r="K53" s="3"/>
      <c r="L53" s="103"/>
      <c r="M53" s="108"/>
      <c r="N53" s="9"/>
    </row>
    <row r="54" spans="1:14" ht="13.95" customHeight="1">
      <c r="A54" s="1"/>
      <c r="B54" s="2" t="s">
        <v>173</v>
      </c>
      <c r="C54" s="31" t="s">
        <v>79</v>
      </c>
      <c r="D54" s="1"/>
      <c r="E54" s="3"/>
      <c r="F54" s="4"/>
      <c r="G54" s="5"/>
      <c r="I54" s="3"/>
      <c r="J54" s="3"/>
      <c r="K54" s="3"/>
      <c r="L54" s="103"/>
      <c r="M54" s="108"/>
      <c r="N54" s="9"/>
    </row>
    <row r="55" spans="1:14" ht="13.95" customHeight="1">
      <c r="A55" s="1"/>
      <c r="B55" s="2"/>
      <c r="C55" s="8" t="s">
        <v>81</v>
      </c>
      <c r="D55" s="1"/>
      <c r="E55" s="3"/>
      <c r="F55" s="4"/>
      <c r="G55" s="5"/>
      <c r="I55" s="3"/>
      <c r="J55" s="3"/>
      <c r="K55" s="3"/>
      <c r="L55" s="103"/>
      <c r="M55" s="108"/>
      <c r="N55" s="9"/>
    </row>
    <row r="56" spans="1:14" ht="13.95" customHeight="1">
      <c r="A56" s="1"/>
      <c r="B56" s="1" t="s">
        <v>87</v>
      </c>
      <c r="C56" s="37" t="s">
        <v>0</v>
      </c>
      <c r="D56" s="1"/>
      <c r="E56" s="3"/>
      <c r="F56" s="4"/>
      <c r="G56" s="5"/>
      <c r="I56" s="3"/>
      <c r="J56" s="3"/>
      <c r="K56" s="3"/>
      <c r="L56" s="103"/>
      <c r="M56" s="108"/>
      <c r="N56" s="9"/>
    </row>
    <row r="57" spans="1:14" ht="13.95" customHeight="1">
      <c r="A57" s="1"/>
      <c r="B57" s="1"/>
      <c r="C57" s="33"/>
      <c r="D57" s="1"/>
      <c r="E57" s="3"/>
      <c r="F57" s="4"/>
      <c r="G57" s="5"/>
      <c r="I57" s="3"/>
      <c r="J57" s="3"/>
      <c r="K57" s="3"/>
      <c r="L57" s="103"/>
      <c r="M57" s="108"/>
      <c r="N57" s="9"/>
    </row>
    <row r="58" spans="1:14" ht="22.95" customHeight="1">
      <c r="A58" s="1"/>
      <c r="B58" s="1"/>
      <c r="C58" s="33" t="s">
        <v>61</v>
      </c>
      <c r="D58" s="1"/>
      <c r="E58" s="3"/>
      <c r="F58" s="4"/>
      <c r="G58" s="5"/>
      <c r="I58" s="3"/>
      <c r="J58" s="3"/>
      <c r="K58" s="3"/>
      <c r="L58" s="103"/>
      <c r="M58" s="108"/>
      <c r="N58" s="9"/>
    </row>
    <row r="59" spans="1:14" ht="13.95" customHeight="1">
      <c r="A59" s="1"/>
      <c r="B59" s="1"/>
      <c r="C59" s="6"/>
      <c r="D59" s="1"/>
      <c r="E59" s="3"/>
      <c r="F59" s="4"/>
      <c r="G59" s="5"/>
      <c r="I59" s="3"/>
      <c r="J59" s="3"/>
      <c r="K59" s="3"/>
      <c r="L59" s="103"/>
      <c r="M59" s="108"/>
      <c r="N59" s="9"/>
    </row>
    <row r="60" spans="1:14" ht="13.95" customHeight="1">
      <c r="A60" s="1">
        <v>10</v>
      </c>
      <c r="B60" s="1"/>
      <c r="C60" s="33" t="s">
        <v>14</v>
      </c>
      <c r="D60" s="1" t="s">
        <v>51</v>
      </c>
      <c r="E60" s="3">
        <f>SUM(I60:N60)</f>
        <v>86.15</v>
      </c>
      <c r="F60" s="13">
        <v>175</v>
      </c>
      <c r="G60" s="5">
        <f t="shared" ref="G60" si="16">+E60*F60</f>
        <v>15076.250000000002</v>
      </c>
      <c r="I60" s="3"/>
      <c r="J60" s="3">
        <v>69</v>
      </c>
      <c r="K60" s="3"/>
      <c r="L60" s="103">
        <v>17.149999999999999</v>
      </c>
      <c r="M60" s="108"/>
      <c r="N60" s="9"/>
    </row>
    <row r="61" spans="1:14" ht="9.75" customHeight="1">
      <c r="A61" s="1"/>
      <c r="B61" s="1"/>
      <c r="C61" s="33"/>
      <c r="D61" s="1"/>
      <c r="E61" s="3"/>
      <c r="F61" s="13"/>
      <c r="G61" s="5"/>
      <c r="I61" s="3"/>
      <c r="J61" s="3"/>
      <c r="K61" s="3"/>
      <c r="L61" s="103"/>
      <c r="M61" s="108"/>
      <c r="N61" s="9"/>
    </row>
    <row r="62" spans="1:14" ht="13.95" customHeight="1">
      <c r="A62" s="1"/>
      <c r="B62" s="1"/>
      <c r="C62" s="37" t="s">
        <v>111</v>
      </c>
      <c r="D62" s="1"/>
      <c r="E62" s="3"/>
      <c r="F62" s="13"/>
      <c r="G62" s="5"/>
      <c r="I62" s="3"/>
      <c r="J62" s="3"/>
      <c r="K62" s="3"/>
      <c r="L62" s="103"/>
      <c r="M62" s="108"/>
      <c r="N62" s="9"/>
    </row>
    <row r="63" spans="1:14" ht="9" customHeight="1">
      <c r="A63" s="1"/>
      <c r="B63" s="1"/>
      <c r="C63" s="33"/>
      <c r="D63" s="1"/>
      <c r="E63" s="3"/>
      <c r="F63" s="13"/>
      <c r="G63" s="5"/>
      <c r="I63" s="3"/>
      <c r="J63" s="3"/>
      <c r="K63" s="3"/>
      <c r="L63" s="103"/>
      <c r="M63" s="108"/>
      <c r="N63" s="9"/>
    </row>
    <row r="64" spans="1:14" ht="28.95" customHeight="1">
      <c r="A64" s="1">
        <v>11</v>
      </c>
      <c r="B64" s="1"/>
      <c r="C64" s="33" t="s">
        <v>54</v>
      </c>
      <c r="D64" s="1" t="s">
        <v>51</v>
      </c>
      <c r="E64" s="3">
        <f>SUM(I64:N64)</f>
        <v>0</v>
      </c>
      <c r="F64" s="13">
        <v>950</v>
      </c>
      <c r="G64" s="5">
        <f t="shared" ref="G64" si="17">+E64*F64</f>
        <v>0</v>
      </c>
      <c r="I64" s="3"/>
      <c r="J64" s="3"/>
      <c r="K64" s="3"/>
      <c r="L64" s="103"/>
      <c r="M64" s="108"/>
      <c r="N64" s="9"/>
    </row>
    <row r="65" spans="1:14" ht="13.95" customHeight="1">
      <c r="A65" s="1"/>
      <c r="B65" s="1"/>
      <c r="C65" s="33"/>
      <c r="D65" s="1"/>
      <c r="E65" s="3"/>
      <c r="F65" s="13"/>
      <c r="G65" s="5"/>
      <c r="I65" s="3"/>
      <c r="J65" s="3"/>
      <c r="K65" s="3"/>
      <c r="L65" s="103"/>
      <c r="M65" s="108"/>
      <c r="N65" s="9"/>
    </row>
    <row r="66" spans="1:14" ht="22.2" customHeight="1">
      <c r="A66" s="1"/>
      <c r="B66" s="1"/>
      <c r="C66" s="33" t="s">
        <v>57</v>
      </c>
      <c r="D66" s="1"/>
      <c r="E66" s="3"/>
      <c r="F66" s="13"/>
      <c r="G66" s="5"/>
      <c r="I66" s="3"/>
      <c r="J66" s="3"/>
      <c r="K66" s="3"/>
      <c r="L66" s="103"/>
      <c r="M66" s="108"/>
      <c r="N66" s="9"/>
    </row>
    <row r="67" spans="1:14" ht="13.95" customHeight="1">
      <c r="A67" s="1"/>
      <c r="B67" s="2"/>
      <c r="C67" s="8"/>
      <c r="D67" s="9"/>
      <c r="E67" s="3"/>
      <c r="F67" s="13"/>
      <c r="G67" s="5"/>
      <c r="I67" s="3"/>
      <c r="J67" s="3"/>
      <c r="K67" s="3"/>
      <c r="L67" s="103"/>
      <c r="M67" s="108"/>
      <c r="N67" s="9"/>
    </row>
    <row r="68" spans="1:14" ht="13.95" customHeight="1">
      <c r="A68" s="1"/>
      <c r="B68" s="1" t="s">
        <v>83</v>
      </c>
      <c r="C68" s="10" t="s">
        <v>25</v>
      </c>
      <c r="D68" s="9"/>
      <c r="E68" s="3"/>
      <c r="F68" s="13"/>
      <c r="G68" s="5"/>
      <c r="I68" s="3"/>
      <c r="J68" s="3"/>
      <c r="K68" s="3"/>
      <c r="L68" s="103"/>
      <c r="M68" s="108"/>
      <c r="N68" s="9"/>
    </row>
    <row r="69" spans="1:14" ht="13.95" customHeight="1">
      <c r="A69" s="1"/>
      <c r="B69" s="2"/>
      <c r="C69" s="8"/>
      <c r="D69" s="9"/>
      <c r="E69" s="3"/>
      <c r="F69" s="13"/>
      <c r="G69" s="5"/>
      <c r="I69" s="3"/>
      <c r="J69" s="3"/>
      <c r="K69" s="3"/>
      <c r="L69" s="103"/>
      <c r="M69" s="108"/>
      <c r="N69" s="9"/>
    </row>
    <row r="70" spans="1:14" ht="23.4" customHeight="1">
      <c r="A70" s="1"/>
      <c r="B70" s="2"/>
      <c r="C70" s="8" t="s">
        <v>109</v>
      </c>
      <c r="D70" s="9"/>
      <c r="E70" s="3"/>
      <c r="F70" s="13"/>
      <c r="G70" s="5"/>
      <c r="I70" s="3"/>
      <c r="J70" s="3"/>
      <c r="K70" s="3"/>
      <c r="L70" s="103"/>
      <c r="M70" s="108"/>
      <c r="N70" s="9"/>
    </row>
    <row r="71" spans="1:14" ht="13.95" customHeight="1">
      <c r="A71" s="1"/>
      <c r="B71" s="2"/>
      <c r="C71" s="8"/>
      <c r="D71" s="9"/>
      <c r="E71" s="3"/>
      <c r="F71" s="13"/>
      <c r="G71" s="5"/>
      <c r="I71" s="3"/>
      <c r="J71" s="3"/>
      <c r="K71" s="3"/>
      <c r="L71" s="103"/>
      <c r="M71" s="108"/>
      <c r="N71" s="9"/>
    </row>
    <row r="72" spans="1:14" ht="33.6" customHeight="1">
      <c r="A72" s="1">
        <v>12</v>
      </c>
      <c r="B72" s="2"/>
      <c r="C72" s="8" t="s">
        <v>108</v>
      </c>
      <c r="D72" s="9" t="s">
        <v>51</v>
      </c>
      <c r="E72" s="3">
        <f>SUM(I72:N72)</f>
        <v>61.78</v>
      </c>
      <c r="F72" s="13">
        <v>725</v>
      </c>
      <c r="G72" s="5">
        <f t="shared" ref="G72" si="18">+E72*F72</f>
        <v>44790.5</v>
      </c>
      <c r="I72" s="3"/>
      <c r="J72" s="3">
        <v>49</v>
      </c>
      <c r="K72" s="3"/>
      <c r="L72" s="103">
        <v>12.78</v>
      </c>
      <c r="M72" s="108"/>
      <c r="N72" s="9"/>
    </row>
    <row r="73" spans="1:14" ht="13.95" customHeight="1">
      <c r="A73" s="1"/>
      <c r="B73" s="2"/>
      <c r="C73" s="8"/>
      <c r="D73" s="9"/>
      <c r="E73" s="3"/>
      <c r="F73" s="13"/>
      <c r="G73" s="5"/>
      <c r="I73" s="3"/>
      <c r="J73" s="3"/>
      <c r="K73" s="3"/>
      <c r="L73" s="103"/>
      <c r="M73" s="108"/>
      <c r="N73" s="9"/>
    </row>
    <row r="74" spans="1:14" ht="21.6" customHeight="1">
      <c r="A74" s="1"/>
      <c r="B74" s="2" t="s">
        <v>101</v>
      </c>
      <c r="C74" s="34" t="s">
        <v>155</v>
      </c>
      <c r="D74" s="1"/>
      <c r="E74" s="3"/>
      <c r="F74" s="13"/>
      <c r="G74" s="5"/>
      <c r="I74" s="3"/>
      <c r="J74" s="3"/>
      <c r="K74" s="3"/>
      <c r="L74" s="103"/>
      <c r="M74" s="108"/>
      <c r="N74" s="9"/>
    </row>
    <row r="75" spans="1:14" ht="13.95" customHeight="1">
      <c r="A75" s="1"/>
      <c r="B75" s="1"/>
      <c r="C75" s="33"/>
      <c r="D75" s="1"/>
      <c r="E75" s="3"/>
      <c r="F75" s="13"/>
      <c r="G75" s="5"/>
      <c r="I75" s="3"/>
      <c r="J75" s="3"/>
      <c r="K75" s="3"/>
      <c r="L75" s="103"/>
      <c r="M75" s="108"/>
      <c r="N75" s="9"/>
    </row>
    <row r="76" spans="1:14" ht="13.95" customHeight="1">
      <c r="A76" s="1"/>
      <c r="B76" s="1" t="s">
        <v>88</v>
      </c>
      <c r="C76" s="32" t="s">
        <v>15</v>
      </c>
      <c r="D76" s="1"/>
      <c r="E76" s="3"/>
      <c r="F76" s="13"/>
      <c r="G76" s="5"/>
      <c r="I76" s="3"/>
      <c r="J76" s="3"/>
      <c r="K76" s="3"/>
      <c r="L76" s="103"/>
      <c r="M76" s="108"/>
      <c r="N76" s="9"/>
    </row>
    <row r="77" spans="1:14" ht="13.95" customHeight="1">
      <c r="A77" s="1"/>
      <c r="B77" s="1"/>
      <c r="C77" s="33"/>
      <c r="D77" s="1"/>
      <c r="E77" s="3"/>
      <c r="F77" s="13"/>
      <c r="G77" s="5"/>
      <c r="I77" s="3"/>
      <c r="J77" s="3"/>
      <c r="K77" s="3"/>
      <c r="L77" s="103"/>
      <c r="M77" s="108"/>
      <c r="N77" s="9"/>
    </row>
    <row r="78" spans="1:14" ht="13.95" customHeight="1">
      <c r="A78" s="1"/>
      <c r="B78" s="1" t="s">
        <v>82</v>
      </c>
      <c r="C78" s="34" t="s">
        <v>16</v>
      </c>
      <c r="D78" s="1"/>
      <c r="E78" s="3"/>
      <c r="F78" s="13"/>
      <c r="G78" s="5"/>
      <c r="I78" s="3"/>
      <c r="J78" s="3"/>
      <c r="K78" s="3"/>
      <c r="L78" s="103"/>
      <c r="M78" s="108"/>
      <c r="N78" s="9"/>
    </row>
    <row r="79" spans="1:14" ht="13.95" customHeight="1">
      <c r="A79" s="1"/>
      <c r="B79" s="1"/>
      <c r="C79" s="33"/>
      <c r="D79" s="1"/>
      <c r="E79" s="3"/>
      <c r="F79" s="13"/>
      <c r="G79" s="5"/>
      <c r="I79" s="3"/>
      <c r="J79" s="3"/>
      <c r="K79" s="3"/>
      <c r="L79" s="103"/>
      <c r="M79" s="108"/>
      <c r="N79" s="9"/>
    </row>
    <row r="80" spans="1:14" ht="13.95" customHeight="1">
      <c r="A80" s="1"/>
      <c r="B80" s="1"/>
      <c r="C80" s="37" t="s">
        <v>17</v>
      </c>
      <c r="D80" s="1"/>
      <c r="E80" s="3"/>
      <c r="F80" s="13"/>
      <c r="G80" s="5"/>
      <c r="I80" s="3"/>
      <c r="J80" s="3"/>
      <c r="K80" s="3"/>
      <c r="L80" s="103"/>
      <c r="M80" s="108"/>
      <c r="N80" s="9"/>
    </row>
    <row r="81" spans="1:14" ht="13.95" customHeight="1">
      <c r="A81" s="1"/>
      <c r="B81" s="1"/>
      <c r="C81" s="37"/>
      <c r="D81" s="1"/>
      <c r="E81" s="3"/>
      <c r="F81" s="13"/>
      <c r="G81" s="5"/>
      <c r="I81" s="3"/>
      <c r="J81" s="3"/>
      <c r="K81" s="3"/>
      <c r="L81" s="103"/>
      <c r="M81" s="108"/>
      <c r="N81" s="9"/>
    </row>
    <row r="82" spans="1:14" ht="13.95" customHeight="1">
      <c r="A82" s="1">
        <v>13</v>
      </c>
      <c r="B82" s="1"/>
      <c r="C82" s="33" t="s">
        <v>28</v>
      </c>
      <c r="D82" s="1" t="s">
        <v>60</v>
      </c>
      <c r="E82" s="3">
        <f>SUM(I82:N82)</f>
        <v>44.68</v>
      </c>
      <c r="F82" s="13">
        <v>475</v>
      </c>
      <c r="G82" s="5">
        <f t="shared" ref="G82" si="19">+E82*F82</f>
        <v>21223</v>
      </c>
      <c r="I82" s="3"/>
      <c r="J82" s="3">
        <v>41</v>
      </c>
      <c r="K82" s="3"/>
      <c r="L82" s="103">
        <v>3.68</v>
      </c>
      <c r="M82" s="108"/>
      <c r="N82" s="9"/>
    </row>
    <row r="83" spans="1:14" ht="13.95" customHeight="1">
      <c r="A83" s="1"/>
      <c r="B83" s="1"/>
      <c r="C83" s="33"/>
      <c r="D83" s="1"/>
      <c r="E83" s="3"/>
      <c r="F83" s="13"/>
      <c r="G83" s="5"/>
      <c r="I83" s="3"/>
      <c r="J83" s="3"/>
      <c r="K83" s="3"/>
      <c r="L83" s="103"/>
      <c r="M83" s="108"/>
      <c r="N83" s="9"/>
    </row>
    <row r="84" spans="1:14" ht="19.95" customHeight="1">
      <c r="A84" s="1"/>
      <c r="B84" s="1" t="s">
        <v>86</v>
      </c>
      <c r="C84" s="34" t="s">
        <v>26</v>
      </c>
      <c r="D84" s="1"/>
      <c r="E84" s="3"/>
      <c r="F84" s="13"/>
      <c r="G84" s="5"/>
      <c r="I84" s="3"/>
      <c r="J84" s="3"/>
      <c r="K84" s="3"/>
      <c r="L84" s="103"/>
      <c r="M84" s="108"/>
      <c r="N84" s="9"/>
    </row>
    <row r="85" spans="1:14" ht="13.95" customHeight="1">
      <c r="A85" s="1"/>
      <c r="B85" s="1"/>
      <c r="C85" s="33"/>
      <c r="D85" s="1"/>
      <c r="E85" s="3"/>
      <c r="F85" s="13"/>
      <c r="G85" s="5"/>
      <c r="I85" s="3"/>
      <c r="J85" s="3"/>
      <c r="K85" s="3"/>
      <c r="L85" s="103"/>
      <c r="M85" s="108"/>
      <c r="N85" s="9"/>
    </row>
    <row r="86" spans="1:14" ht="13.95" customHeight="1">
      <c r="A86" s="1"/>
      <c r="B86" s="1"/>
      <c r="C86" s="37" t="s">
        <v>17</v>
      </c>
      <c r="D86" s="1"/>
      <c r="E86" s="3"/>
      <c r="F86" s="13"/>
      <c r="G86" s="5"/>
      <c r="I86" s="3"/>
      <c r="J86" s="3"/>
      <c r="K86" s="3"/>
      <c r="L86" s="103"/>
      <c r="M86" s="108"/>
      <c r="N86" s="9"/>
    </row>
    <row r="87" spans="1:14" ht="13.95" customHeight="1">
      <c r="A87" s="1"/>
      <c r="B87" s="1"/>
      <c r="C87" s="33"/>
      <c r="D87" s="1"/>
      <c r="E87" s="3"/>
      <c r="F87" s="13"/>
      <c r="G87" s="5"/>
      <c r="I87" s="3"/>
      <c r="J87" s="3"/>
      <c r="K87" s="3"/>
      <c r="L87" s="103"/>
      <c r="M87" s="108"/>
      <c r="N87" s="9"/>
    </row>
    <row r="88" spans="1:14" ht="13.95" customHeight="1">
      <c r="A88" s="1">
        <v>14</v>
      </c>
      <c r="B88" s="1"/>
      <c r="C88" s="33" t="s">
        <v>201</v>
      </c>
      <c r="D88" s="1" t="s">
        <v>60</v>
      </c>
      <c r="E88" s="3">
        <f>SUM(I88:N88)</f>
        <v>20</v>
      </c>
      <c r="F88" s="13">
        <v>750</v>
      </c>
      <c r="G88" s="5">
        <f t="shared" ref="G88" si="20">+E88*F88</f>
        <v>15000</v>
      </c>
      <c r="I88" s="3"/>
      <c r="J88" s="3"/>
      <c r="K88" s="3">
        <v>15</v>
      </c>
      <c r="L88" s="103"/>
      <c r="M88" s="108">
        <v>5</v>
      </c>
      <c r="N88" s="9"/>
    </row>
    <row r="89" spans="1:14" ht="13.95" customHeight="1">
      <c r="A89" s="1"/>
      <c r="B89" s="1"/>
      <c r="C89" s="33"/>
      <c r="D89" s="1"/>
      <c r="E89" s="3"/>
      <c r="F89" s="13"/>
      <c r="G89" s="5"/>
      <c r="I89" s="3"/>
      <c r="J89" s="3"/>
      <c r="K89" s="3"/>
      <c r="L89" s="103"/>
      <c r="M89" s="108"/>
      <c r="N89" s="9"/>
    </row>
    <row r="90" spans="1:14" ht="13.95" customHeight="1">
      <c r="A90" s="1">
        <v>15</v>
      </c>
      <c r="B90" s="1"/>
      <c r="C90" s="33" t="s">
        <v>224</v>
      </c>
      <c r="D90" s="1" t="s">
        <v>60</v>
      </c>
      <c r="E90" s="3">
        <f>SUM(I90:N90)</f>
        <v>0</v>
      </c>
      <c r="F90" s="13">
        <v>635</v>
      </c>
      <c r="G90" s="5">
        <f t="shared" ref="G90" si="21">+E90*F90</f>
        <v>0</v>
      </c>
      <c r="I90" s="3"/>
      <c r="J90" s="3"/>
      <c r="K90" s="3"/>
      <c r="L90" s="103"/>
      <c r="M90" s="108"/>
      <c r="N90" s="9"/>
    </row>
    <row r="91" spans="1:14" ht="13.95" customHeight="1">
      <c r="A91" s="1"/>
      <c r="B91" s="1"/>
      <c r="C91" s="33"/>
      <c r="D91" s="1"/>
      <c r="E91" s="3"/>
      <c r="F91" s="13"/>
      <c r="G91" s="5"/>
      <c r="I91" s="3"/>
      <c r="J91" s="3"/>
      <c r="K91" s="3"/>
      <c r="L91" s="103"/>
      <c r="M91" s="108"/>
      <c r="N91" s="9"/>
    </row>
    <row r="92" spans="1:14" ht="13.95" customHeight="1">
      <c r="A92" s="1">
        <v>16</v>
      </c>
      <c r="B92" s="1"/>
      <c r="C92" s="33" t="s">
        <v>39</v>
      </c>
      <c r="D92" s="1" t="s">
        <v>60</v>
      </c>
      <c r="E92" s="3">
        <f>SUM(I92:N92)</f>
        <v>107</v>
      </c>
      <c r="F92" s="13">
        <v>850</v>
      </c>
      <c r="G92" s="5">
        <f t="shared" ref="G92" si="22">+E92*F92</f>
        <v>90950</v>
      </c>
      <c r="I92" s="3"/>
      <c r="J92" s="3">
        <v>102</v>
      </c>
      <c r="K92" s="3"/>
      <c r="L92" s="103">
        <v>5</v>
      </c>
      <c r="M92" s="108"/>
      <c r="N92" s="9"/>
    </row>
    <row r="93" spans="1:14" ht="13.95" customHeight="1">
      <c r="A93" s="1"/>
      <c r="B93" s="1"/>
      <c r="C93" s="33"/>
      <c r="D93" s="1"/>
      <c r="E93" s="3"/>
      <c r="F93" s="13"/>
      <c r="G93" s="5"/>
      <c r="I93" s="3"/>
      <c r="J93" s="3"/>
      <c r="K93" s="3"/>
      <c r="L93" s="103"/>
      <c r="M93" s="108"/>
      <c r="N93" s="9"/>
    </row>
    <row r="94" spans="1:14" ht="13.95" customHeight="1">
      <c r="A94" s="1">
        <v>17</v>
      </c>
      <c r="B94" s="1"/>
      <c r="C94" s="33" t="s">
        <v>247</v>
      </c>
      <c r="D94" s="1" t="s">
        <v>60</v>
      </c>
      <c r="E94" s="3">
        <f>SUM(I94:N94)</f>
        <v>0</v>
      </c>
      <c r="F94" s="13">
        <v>775</v>
      </c>
      <c r="G94" s="5">
        <f t="shared" ref="G94" si="23">+E94*F94</f>
        <v>0</v>
      </c>
      <c r="I94" s="3"/>
      <c r="J94" s="3"/>
      <c r="K94" s="3"/>
      <c r="L94" s="103"/>
      <c r="M94" s="108"/>
      <c r="N94" s="9"/>
    </row>
    <row r="95" spans="1:14" ht="13.95" customHeight="1">
      <c r="A95" s="1"/>
      <c r="B95" s="1"/>
      <c r="C95" s="33"/>
      <c r="D95" s="1"/>
      <c r="E95" s="3"/>
      <c r="F95" s="4"/>
      <c r="G95" s="5"/>
      <c r="I95" s="3"/>
      <c r="J95" s="3"/>
      <c r="K95" s="3"/>
      <c r="L95" s="103"/>
      <c r="M95" s="108"/>
      <c r="N95" s="9"/>
    </row>
    <row r="96" spans="1:14" ht="20.100000000000001" customHeight="1">
      <c r="A96" s="149" t="s">
        <v>66</v>
      </c>
      <c r="B96" s="150"/>
      <c r="C96" s="150"/>
      <c r="D96" s="150"/>
      <c r="E96" s="150"/>
      <c r="F96" s="151"/>
      <c r="G96" s="116">
        <f>SUM(G52:G95)</f>
        <v>225064.75</v>
      </c>
      <c r="I96" s="9"/>
      <c r="J96" s="9"/>
      <c r="K96" s="9"/>
      <c r="L96" s="103"/>
      <c r="M96" s="108"/>
      <c r="N96" s="9"/>
    </row>
    <row r="97" spans="1:14" ht="13.95" customHeight="1">
      <c r="A97" s="39"/>
      <c r="B97" s="39"/>
      <c r="C97" s="39"/>
      <c r="D97" s="39"/>
      <c r="E97" s="39"/>
      <c r="F97" s="39"/>
      <c r="G97" s="113"/>
      <c r="I97" s="9"/>
      <c r="J97" s="9"/>
      <c r="K97" s="9"/>
      <c r="L97" s="103"/>
      <c r="M97" s="108"/>
      <c r="N97" s="9"/>
    </row>
    <row r="98" spans="1:14" ht="13.95" customHeight="1">
      <c r="A98" s="39"/>
      <c r="B98" s="39"/>
      <c r="C98" s="39"/>
      <c r="D98" s="39"/>
      <c r="E98" s="39"/>
      <c r="F98" s="39"/>
      <c r="G98" s="113"/>
      <c r="I98" s="9"/>
      <c r="J98" s="9"/>
      <c r="K98" s="9"/>
      <c r="L98" s="103"/>
      <c r="M98" s="108"/>
      <c r="N98" s="9"/>
    </row>
    <row r="99" spans="1:14" ht="22.2" customHeight="1">
      <c r="A99" s="44" t="s">
        <v>8</v>
      </c>
      <c r="B99" s="48" t="s">
        <v>9</v>
      </c>
      <c r="C99" s="44" t="s">
        <v>10</v>
      </c>
      <c r="D99" s="48" t="s">
        <v>11</v>
      </c>
      <c r="E99" s="48" t="s">
        <v>59</v>
      </c>
      <c r="F99" s="49" t="s">
        <v>12</v>
      </c>
      <c r="G99" s="111" t="s">
        <v>13</v>
      </c>
      <c r="I99" s="9"/>
      <c r="J99" s="9"/>
      <c r="K99" s="9"/>
      <c r="L99" s="103"/>
      <c r="M99" s="108"/>
      <c r="N99" s="9"/>
    </row>
    <row r="100" spans="1:14" ht="20.100000000000001" customHeight="1">
      <c r="A100" s="149" t="s">
        <v>67</v>
      </c>
      <c r="B100" s="150"/>
      <c r="C100" s="150"/>
      <c r="D100" s="150"/>
      <c r="E100" s="150"/>
      <c r="F100" s="151"/>
      <c r="G100" s="116">
        <f>+G96</f>
        <v>225064.75</v>
      </c>
      <c r="I100" s="9"/>
      <c r="J100" s="9"/>
      <c r="K100" s="9"/>
      <c r="L100" s="103"/>
      <c r="M100" s="108"/>
      <c r="N100" s="9"/>
    </row>
    <row r="101" spans="1:14" ht="13.95" customHeight="1">
      <c r="A101" s="1"/>
      <c r="B101" s="1"/>
      <c r="C101" s="33"/>
      <c r="D101" s="1"/>
      <c r="E101" s="3"/>
      <c r="F101" s="13"/>
      <c r="G101" s="5"/>
      <c r="I101" s="9"/>
      <c r="J101" s="9"/>
      <c r="K101" s="9"/>
      <c r="L101" s="103"/>
      <c r="M101" s="108"/>
      <c r="N101" s="9"/>
    </row>
    <row r="102" spans="1:14" ht="13.95" customHeight="1">
      <c r="A102" s="1"/>
      <c r="B102" s="1"/>
      <c r="C102" s="37" t="s">
        <v>248</v>
      </c>
      <c r="D102" s="1"/>
      <c r="E102" s="3"/>
      <c r="F102" s="13"/>
      <c r="G102" s="5"/>
      <c r="I102" s="3"/>
      <c r="J102" s="3"/>
      <c r="K102" s="3"/>
      <c r="L102" s="103"/>
      <c r="M102" s="108"/>
      <c r="N102" s="9"/>
    </row>
    <row r="103" spans="1:14" ht="13.95" customHeight="1">
      <c r="A103" s="1"/>
      <c r="B103" s="1"/>
      <c r="C103" s="33"/>
      <c r="D103" s="1"/>
      <c r="E103" s="3"/>
      <c r="F103" s="13"/>
      <c r="G103" s="5"/>
      <c r="I103" s="3"/>
      <c r="J103" s="3"/>
      <c r="K103" s="3"/>
      <c r="L103" s="103"/>
      <c r="M103" s="108"/>
      <c r="N103" s="9"/>
    </row>
    <row r="104" spans="1:14" ht="13.95" customHeight="1">
      <c r="A104" s="1">
        <v>18</v>
      </c>
      <c r="B104" s="1"/>
      <c r="C104" s="33" t="s">
        <v>249</v>
      </c>
      <c r="D104" s="1" t="s">
        <v>60</v>
      </c>
      <c r="E104" s="3">
        <f>SUM(I104:N104)</f>
        <v>0</v>
      </c>
      <c r="F104" s="13">
        <v>1150</v>
      </c>
      <c r="G104" s="5">
        <f t="shared" ref="G104" si="24">+E104*F104</f>
        <v>0</v>
      </c>
      <c r="I104" s="3"/>
      <c r="J104" s="3"/>
      <c r="K104" s="3"/>
      <c r="L104" s="103"/>
      <c r="M104" s="108"/>
      <c r="N104" s="9"/>
    </row>
    <row r="105" spans="1:14" ht="13.95" customHeight="1">
      <c r="A105" s="1"/>
      <c r="B105" s="1"/>
      <c r="C105" s="33"/>
      <c r="D105" s="1"/>
      <c r="E105" s="3"/>
      <c r="F105" s="13"/>
      <c r="G105" s="5"/>
      <c r="I105" s="9"/>
      <c r="J105" s="9"/>
      <c r="K105" s="9"/>
      <c r="L105" s="103"/>
      <c r="M105" s="108"/>
      <c r="N105" s="9"/>
    </row>
    <row r="106" spans="1:14" ht="13.95" customHeight="1">
      <c r="A106" s="1"/>
      <c r="B106" s="1" t="s">
        <v>89</v>
      </c>
      <c r="C106" s="32" t="s">
        <v>156</v>
      </c>
      <c r="D106" s="1"/>
      <c r="E106" s="3"/>
      <c r="F106" s="4"/>
      <c r="G106" s="5"/>
      <c r="I106" s="9"/>
      <c r="J106" s="9"/>
      <c r="K106" s="9"/>
      <c r="L106" s="103"/>
      <c r="M106" s="108"/>
      <c r="N106" s="9"/>
    </row>
    <row r="107" spans="1:14" ht="13.95" customHeight="1">
      <c r="A107" s="1"/>
      <c r="B107" s="1"/>
      <c r="C107" s="33"/>
      <c r="D107" s="1"/>
      <c r="E107" s="3"/>
      <c r="F107" s="4"/>
      <c r="G107" s="5"/>
      <c r="I107" s="9"/>
      <c r="J107" s="9"/>
      <c r="K107" s="9"/>
      <c r="L107" s="103"/>
      <c r="M107" s="108"/>
      <c r="N107" s="9"/>
    </row>
    <row r="108" spans="1:14" ht="13.95" customHeight="1">
      <c r="A108" s="1">
        <v>19</v>
      </c>
      <c r="B108" s="1"/>
      <c r="C108" s="47" t="s">
        <v>244</v>
      </c>
      <c r="D108" s="1" t="s">
        <v>1</v>
      </c>
      <c r="E108" s="3">
        <f>SUM(I108:N108)</f>
        <v>51</v>
      </c>
      <c r="F108" s="3">
        <v>135</v>
      </c>
      <c r="G108" s="5">
        <f t="shared" ref="G108" si="25">+E108*F108</f>
        <v>6885</v>
      </c>
      <c r="I108" s="3">
        <v>51</v>
      </c>
      <c r="J108" s="3"/>
      <c r="K108" s="3"/>
      <c r="L108" s="103"/>
      <c r="M108" s="108"/>
      <c r="N108" s="9"/>
    </row>
    <row r="109" spans="1:14" ht="13.95" customHeight="1">
      <c r="A109" s="1"/>
      <c r="B109" s="1"/>
      <c r="C109" s="33"/>
      <c r="D109" s="1"/>
      <c r="E109" s="3"/>
      <c r="F109" s="4"/>
      <c r="G109" s="5"/>
      <c r="I109" s="3"/>
      <c r="J109" s="3"/>
      <c r="K109" s="3"/>
      <c r="L109" s="103"/>
      <c r="M109" s="108"/>
      <c r="N109" s="9"/>
    </row>
    <row r="110" spans="1:14" ht="13.95" customHeight="1">
      <c r="A110" s="1"/>
      <c r="B110" s="1" t="s">
        <v>90</v>
      </c>
      <c r="C110" s="32" t="s">
        <v>36</v>
      </c>
      <c r="D110" s="1"/>
      <c r="E110" s="3"/>
      <c r="F110" s="4"/>
      <c r="G110" s="5"/>
      <c r="I110" s="3"/>
      <c r="J110" s="3"/>
      <c r="K110" s="3"/>
      <c r="L110" s="103"/>
      <c r="M110" s="108"/>
      <c r="N110" s="9"/>
    </row>
    <row r="111" spans="1:14" ht="13.95" customHeight="1">
      <c r="A111" s="1"/>
      <c r="B111" s="1"/>
      <c r="C111" s="33"/>
      <c r="D111" s="1"/>
      <c r="E111" s="3"/>
      <c r="F111" s="4"/>
      <c r="G111" s="5"/>
      <c r="I111" s="3"/>
      <c r="J111" s="3"/>
      <c r="K111" s="3"/>
      <c r="L111" s="103"/>
      <c r="M111" s="108"/>
      <c r="N111" s="9"/>
    </row>
    <row r="112" spans="1:14" ht="24" customHeight="1">
      <c r="A112" s="1"/>
      <c r="B112" s="1"/>
      <c r="C112" s="33" t="s">
        <v>225</v>
      </c>
      <c r="D112" s="1"/>
      <c r="E112" s="3"/>
      <c r="F112" s="4"/>
      <c r="G112" s="5"/>
      <c r="I112" s="3"/>
      <c r="J112" s="3"/>
      <c r="K112" s="3"/>
      <c r="L112" s="103"/>
      <c r="M112" s="108"/>
      <c r="N112" s="9"/>
    </row>
    <row r="113" spans="1:14" ht="13.95" customHeight="1">
      <c r="A113" s="1"/>
      <c r="B113" s="1"/>
      <c r="C113" s="33"/>
      <c r="D113" s="1"/>
      <c r="E113" s="3"/>
      <c r="F113" s="4"/>
      <c r="G113" s="5"/>
      <c r="I113" s="3"/>
      <c r="J113" s="3"/>
      <c r="K113" s="3"/>
      <c r="L113" s="103"/>
      <c r="M113" s="108"/>
      <c r="N113" s="9"/>
    </row>
    <row r="114" spans="1:14" ht="13.95" customHeight="1">
      <c r="A114" s="1">
        <v>20</v>
      </c>
      <c r="B114" s="1"/>
      <c r="C114" s="33" t="s">
        <v>37</v>
      </c>
      <c r="D114" s="1" t="s">
        <v>6</v>
      </c>
      <c r="E114" s="3">
        <f>SUM(I114:N114)</f>
        <v>8</v>
      </c>
      <c r="F114" s="3">
        <v>75</v>
      </c>
      <c r="G114" s="5">
        <f t="shared" ref="G114" si="26">+E114*F114</f>
        <v>600</v>
      </c>
      <c r="I114" s="3"/>
      <c r="J114" s="3"/>
      <c r="K114" s="3">
        <v>8</v>
      </c>
      <c r="L114" s="103"/>
      <c r="M114" s="108"/>
      <c r="N114" s="9"/>
    </row>
    <row r="115" spans="1:14" ht="13.95" customHeight="1">
      <c r="A115" s="1"/>
      <c r="B115" s="1"/>
      <c r="C115" s="33"/>
      <c r="D115" s="1"/>
      <c r="E115" s="3"/>
      <c r="F115" s="3"/>
      <c r="G115" s="5"/>
      <c r="I115" s="3"/>
      <c r="J115" s="3"/>
      <c r="K115" s="3"/>
      <c r="L115" s="103"/>
      <c r="M115" s="108"/>
      <c r="N115" s="9"/>
    </row>
    <row r="116" spans="1:14" ht="13.95" customHeight="1">
      <c r="A116" s="1"/>
      <c r="B116" s="1"/>
      <c r="C116" s="33" t="s">
        <v>226</v>
      </c>
      <c r="D116" s="1" t="s">
        <v>6</v>
      </c>
      <c r="E116" s="3">
        <f>SUM(I116:N116)</f>
        <v>0</v>
      </c>
      <c r="F116" s="3">
        <v>275</v>
      </c>
      <c r="G116" s="5">
        <f t="shared" ref="G116" si="27">+E116*F116</f>
        <v>0</v>
      </c>
      <c r="I116" s="3"/>
      <c r="J116" s="3"/>
      <c r="K116" s="3"/>
      <c r="L116" s="103"/>
      <c r="M116" s="108"/>
      <c r="N116" s="9"/>
    </row>
    <row r="117" spans="1:14" ht="13.95" customHeight="1">
      <c r="A117" s="1"/>
      <c r="B117" s="1"/>
      <c r="D117" s="1"/>
      <c r="E117" s="3"/>
      <c r="F117" s="4"/>
      <c r="G117" s="5"/>
      <c r="I117" s="3"/>
      <c r="J117" s="3"/>
      <c r="K117" s="3"/>
      <c r="L117" s="103"/>
      <c r="M117" s="108"/>
      <c r="N117" s="9"/>
    </row>
    <row r="118" spans="1:14" ht="13.95" customHeight="1">
      <c r="A118" s="1"/>
      <c r="B118" s="1"/>
      <c r="C118" s="42" t="s">
        <v>104</v>
      </c>
      <c r="D118" s="1"/>
      <c r="E118" s="3"/>
      <c r="F118" s="4"/>
      <c r="G118" s="5"/>
      <c r="I118" s="3"/>
      <c r="J118" s="3"/>
      <c r="K118" s="3"/>
      <c r="L118" s="103"/>
      <c r="M118" s="108"/>
      <c r="N118" s="9"/>
    </row>
    <row r="119" spans="1:14" ht="13.95" customHeight="1">
      <c r="A119" s="1"/>
      <c r="B119" s="1"/>
      <c r="C119" s="6"/>
      <c r="D119" s="1"/>
      <c r="E119" s="3"/>
      <c r="F119" s="4"/>
      <c r="G119" s="5"/>
      <c r="I119" s="3"/>
      <c r="J119" s="3"/>
      <c r="K119" s="3"/>
      <c r="L119" s="103"/>
      <c r="M119" s="108"/>
      <c r="N119" s="9"/>
    </row>
    <row r="120" spans="1:14" ht="13.95" customHeight="1">
      <c r="A120" s="1">
        <f>A114+1</f>
        <v>21</v>
      </c>
      <c r="B120" s="1"/>
      <c r="C120" s="6" t="s">
        <v>106</v>
      </c>
      <c r="D120" s="1" t="s">
        <v>1</v>
      </c>
      <c r="E120" s="3">
        <f>SUM(I120:AG120)</f>
        <v>167</v>
      </c>
      <c r="F120" s="3">
        <v>36</v>
      </c>
      <c r="G120" s="5">
        <f t="shared" ref="G120" si="28">+E120*F120</f>
        <v>6012</v>
      </c>
      <c r="I120" s="3"/>
      <c r="J120" s="3">
        <v>102</v>
      </c>
      <c r="K120" s="3">
        <v>50</v>
      </c>
      <c r="L120" s="103"/>
      <c r="M120" s="108">
        <v>15</v>
      </c>
      <c r="N120" s="9"/>
    </row>
    <row r="121" spans="1:14" ht="13.95" customHeight="1">
      <c r="A121" s="1"/>
      <c r="B121" s="1"/>
      <c r="C121" s="6"/>
      <c r="D121" s="1"/>
      <c r="E121" s="3"/>
      <c r="F121" s="4"/>
      <c r="G121" s="5"/>
      <c r="I121" s="3"/>
      <c r="J121" s="3"/>
      <c r="K121" s="3"/>
      <c r="L121" s="103"/>
      <c r="M121" s="108"/>
      <c r="N121" s="9"/>
    </row>
    <row r="122" spans="1:14" ht="13.95" customHeight="1">
      <c r="A122" s="1"/>
      <c r="B122" s="2" t="s">
        <v>91</v>
      </c>
      <c r="C122" s="34" t="s">
        <v>18</v>
      </c>
      <c r="D122" s="1"/>
      <c r="E122" s="3"/>
      <c r="F122" s="4"/>
      <c r="G122" s="5"/>
      <c r="I122" s="3"/>
      <c r="J122" s="3"/>
      <c r="K122" s="3"/>
      <c r="L122" s="103"/>
      <c r="M122" s="108"/>
      <c r="N122" s="9"/>
    </row>
    <row r="123" spans="1:14" ht="13.95" customHeight="1">
      <c r="A123" s="1"/>
      <c r="B123" s="1"/>
      <c r="C123" s="33"/>
      <c r="D123" s="1"/>
      <c r="E123" s="3"/>
      <c r="F123" s="4"/>
      <c r="G123" s="5"/>
      <c r="I123" s="3"/>
      <c r="J123" s="3"/>
      <c r="K123" s="3"/>
      <c r="L123" s="103"/>
      <c r="M123" s="108"/>
      <c r="N123" s="9"/>
    </row>
    <row r="124" spans="1:14" ht="13.95" customHeight="1">
      <c r="A124" s="1"/>
      <c r="B124" s="1" t="s">
        <v>84</v>
      </c>
      <c r="C124" s="32" t="s">
        <v>19</v>
      </c>
      <c r="D124" s="1"/>
      <c r="E124" s="3"/>
      <c r="F124" s="4"/>
      <c r="G124" s="5"/>
      <c r="I124" s="3"/>
      <c r="J124" s="3"/>
      <c r="K124" s="3"/>
      <c r="L124" s="103"/>
      <c r="M124" s="108"/>
      <c r="N124" s="9"/>
    </row>
    <row r="125" spans="1:14" ht="13.95" customHeight="1">
      <c r="A125" s="1"/>
      <c r="B125" s="1"/>
      <c r="C125" s="33"/>
      <c r="D125" s="1"/>
      <c r="E125" s="3"/>
      <c r="F125" s="4"/>
      <c r="G125" s="5"/>
      <c r="I125" s="3"/>
      <c r="J125" s="3"/>
      <c r="K125" s="3"/>
      <c r="L125" s="103"/>
      <c r="M125" s="108"/>
      <c r="N125" s="9"/>
    </row>
    <row r="126" spans="1:14" ht="13.95" customHeight="1">
      <c r="A126" s="1">
        <f>A120+1</f>
        <v>22</v>
      </c>
      <c r="B126" s="1"/>
      <c r="C126" s="33" t="s">
        <v>72</v>
      </c>
      <c r="D126" s="1" t="s">
        <v>2</v>
      </c>
      <c r="E126" s="3">
        <f>SUM(I126:N126)</f>
        <v>7.82</v>
      </c>
      <c r="F126" s="3">
        <v>25750</v>
      </c>
      <c r="G126" s="5">
        <f t="shared" ref="G126" si="29">+E126*F126</f>
        <v>201365</v>
      </c>
      <c r="I126" s="4"/>
      <c r="J126" s="4">
        <v>4.2</v>
      </c>
      <c r="K126" s="4">
        <v>3</v>
      </c>
      <c r="L126" s="103">
        <v>0.4</v>
      </c>
      <c r="M126" s="108">
        <v>0.22</v>
      </c>
      <c r="N126" s="9"/>
    </row>
    <row r="127" spans="1:14" ht="13.95" customHeight="1">
      <c r="A127" s="1"/>
      <c r="B127" s="1"/>
      <c r="C127" s="33"/>
      <c r="D127" s="1"/>
      <c r="E127" s="3"/>
      <c r="F127" s="4"/>
      <c r="G127" s="5"/>
      <c r="I127" s="3"/>
      <c r="J127" s="3"/>
      <c r="K127" s="3"/>
      <c r="L127" s="103"/>
      <c r="M127" s="108"/>
      <c r="N127" s="9"/>
    </row>
    <row r="128" spans="1:14" ht="13.95" customHeight="1">
      <c r="A128" s="1"/>
      <c r="B128" s="1" t="s">
        <v>92</v>
      </c>
      <c r="C128" s="32" t="s">
        <v>3</v>
      </c>
      <c r="D128" s="1"/>
      <c r="E128" s="3"/>
      <c r="F128" s="4"/>
      <c r="G128" s="5"/>
      <c r="I128" s="3"/>
      <c r="J128" s="3"/>
      <c r="K128" s="3"/>
      <c r="L128" s="103"/>
      <c r="M128" s="108"/>
      <c r="N128" s="9"/>
    </row>
    <row r="129" spans="1:14" ht="13.95" customHeight="1">
      <c r="A129" s="1"/>
      <c r="B129" s="1"/>
      <c r="C129" s="33"/>
      <c r="D129" s="1"/>
      <c r="E129" s="3"/>
      <c r="F129" s="4"/>
      <c r="G129" s="5"/>
      <c r="I129" s="3"/>
      <c r="J129" s="3"/>
      <c r="K129" s="3"/>
      <c r="L129" s="103"/>
      <c r="M129" s="108"/>
      <c r="N129" s="9"/>
    </row>
    <row r="130" spans="1:14" ht="13.95" customHeight="1">
      <c r="A130" s="1">
        <f>A126+1</f>
        <v>23</v>
      </c>
      <c r="B130" s="1"/>
      <c r="C130" s="33" t="s">
        <v>73</v>
      </c>
      <c r="D130" s="1" t="s">
        <v>60</v>
      </c>
      <c r="E130" s="3">
        <f>SUM(I130:N130)</f>
        <v>154</v>
      </c>
      <c r="F130" s="13">
        <v>345</v>
      </c>
      <c r="G130" s="5">
        <f t="shared" ref="G130" si="30">+E130*F130</f>
        <v>53130</v>
      </c>
      <c r="I130" s="3">
        <v>154</v>
      </c>
      <c r="J130" s="3"/>
      <c r="K130" s="3"/>
      <c r="L130" s="103"/>
      <c r="M130" s="108"/>
      <c r="N130" s="9"/>
    </row>
    <row r="131" spans="1:14" ht="13.95" customHeight="1">
      <c r="A131" s="1"/>
      <c r="B131" s="1"/>
      <c r="C131" s="33"/>
      <c r="D131" s="1"/>
      <c r="E131" s="3"/>
      <c r="F131" s="4"/>
      <c r="G131" s="5"/>
      <c r="I131" s="3"/>
      <c r="J131" s="3"/>
      <c r="K131" s="3"/>
      <c r="L131" s="103"/>
      <c r="M131" s="108"/>
      <c r="N131" s="9"/>
    </row>
    <row r="132" spans="1:14" ht="13.95" customHeight="1">
      <c r="A132" s="1"/>
      <c r="B132" s="36" t="s">
        <v>93</v>
      </c>
      <c r="C132" s="34" t="s">
        <v>4</v>
      </c>
      <c r="D132" s="1"/>
      <c r="E132" s="3"/>
      <c r="F132" s="4"/>
      <c r="G132" s="5"/>
      <c r="I132" s="3"/>
      <c r="J132" s="3"/>
      <c r="K132" s="3"/>
      <c r="L132" s="103"/>
      <c r="M132" s="108"/>
      <c r="N132" s="9"/>
    </row>
    <row r="133" spans="1:14" ht="13.95" customHeight="1">
      <c r="A133" s="1"/>
      <c r="C133" s="33"/>
      <c r="D133" s="1"/>
      <c r="E133" s="3"/>
      <c r="F133" s="4"/>
      <c r="G133" s="5"/>
      <c r="I133" s="3"/>
      <c r="J133" s="3"/>
      <c r="K133" s="3"/>
      <c r="L133" s="103"/>
      <c r="M133" s="108"/>
      <c r="N133" s="9"/>
    </row>
    <row r="134" spans="1:14" ht="13.95" customHeight="1">
      <c r="A134" s="1"/>
      <c r="B134" s="20" t="s">
        <v>94</v>
      </c>
      <c r="C134" s="32" t="s">
        <v>5</v>
      </c>
      <c r="D134" s="1"/>
      <c r="E134" s="3"/>
      <c r="F134" s="4"/>
      <c r="G134" s="5"/>
      <c r="I134" s="3"/>
      <c r="J134" s="3"/>
      <c r="K134" s="3"/>
      <c r="L134" s="103"/>
      <c r="M134" s="108"/>
      <c r="N134" s="9"/>
    </row>
    <row r="135" spans="1:14" ht="13.95" customHeight="1">
      <c r="A135" s="1"/>
      <c r="C135" s="33"/>
      <c r="D135" s="1"/>
      <c r="E135" s="3"/>
      <c r="F135" s="4"/>
      <c r="G135" s="5"/>
      <c r="I135" s="3"/>
      <c r="J135" s="3"/>
      <c r="K135" s="3"/>
      <c r="L135" s="103"/>
      <c r="M135" s="108"/>
      <c r="N135" s="9"/>
    </row>
    <row r="136" spans="1:14" ht="13.95" customHeight="1">
      <c r="A136" s="1"/>
      <c r="C136" s="33" t="s">
        <v>74</v>
      </c>
      <c r="D136" s="1"/>
      <c r="E136" s="3"/>
      <c r="F136" s="4"/>
      <c r="G136" s="5"/>
      <c r="I136" s="3"/>
      <c r="J136" s="3"/>
      <c r="K136" s="3"/>
      <c r="L136" s="103"/>
      <c r="M136" s="108"/>
      <c r="N136" s="9"/>
    </row>
    <row r="137" spans="1:14" ht="13.95" customHeight="1">
      <c r="A137" s="1"/>
      <c r="C137" s="33"/>
      <c r="D137" s="1"/>
      <c r="E137" s="3"/>
      <c r="F137" s="4"/>
      <c r="G137" s="5"/>
      <c r="I137" s="3"/>
      <c r="J137" s="3"/>
      <c r="K137" s="3"/>
      <c r="L137" s="103"/>
      <c r="M137" s="108"/>
      <c r="N137" s="9"/>
    </row>
    <row r="138" spans="1:14" ht="13.95" customHeight="1">
      <c r="A138" s="1">
        <f>A130+1</f>
        <v>24</v>
      </c>
      <c r="C138" s="33" t="s">
        <v>24</v>
      </c>
      <c r="D138" s="1" t="s">
        <v>60</v>
      </c>
      <c r="E138" s="3">
        <f>SUM(I138:N138)</f>
        <v>56.29</v>
      </c>
      <c r="F138" s="3">
        <v>175</v>
      </c>
      <c r="G138" s="5">
        <f t="shared" ref="G138" si="31">+E138*F138</f>
        <v>9850.75</v>
      </c>
      <c r="I138" s="3"/>
      <c r="J138" s="3">
        <v>51</v>
      </c>
      <c r="K138" s="3"/>
      <c r="L138" s="103">
        <v>5.29</v>
      </c>
      <c r="M138" s="108"/>
      <c r="N138" s="9"/>
    </row>
    <row r="139" spans="1:14" ht="13.95" customHeight="1">
      <c r="A139" s="1"/>
      <c r="C139" s="33"/>
      <c r="D139" s="1"/>
      <c r="E139" s="3"/>
      <c r="F139" s="3"/>
      <c r="G139" s="5"/>
      <c r="I139" s="3"/>
      <c r="J139" s="3"/>
      <c r="K139" s="3"/>
      <c r="L139" s="103"/>
      <c r="M139" s="108"/>
      <c r="N139" s="9"/>
    </row>
    <row r="140" spans="1:14" ht="13.95" customHeight="1">
      <c r="A140" s="1"/>
      <c r="C140" s="33"/>
      <c r="D140" s="1"/>
      <c r="E140" s="3"/>
      <c r="F140" s="3"/>
      <c r="G140" s="5"/>
      <c r="I140" s="3"/>
      <c r="J140" s="3"/>
      <c r="K140" s="3"/>
      <c r="L140" s="103"/>
      <c r="M140" s="108"/>
      <c r="N140" s="9"/>
    </row>
    <row r="141" spans="1:14" ht="13.95" customHeight="1">
      <c r="A141" s="1"/>
      <c r="C141" s="33"/>
      <c r="D141" s="1"/>
      <c r="E141" s="3"/>
      <c r="F141" s="3"/>
      <c r="G141" s="5"/>
      <c r="I141" s="3"/>
      <c r="J141" s="3"/>
      <c r="K141" s="3"/>
      <c r="L141" s="103"/>
      <c r="M141" s="108"/>
      <c r="N141" s="9"/>
    </row>
    <row r="142" spans="1:14" ht="13.95" customHeight="1">
      <c r="A142" s="1"/>
      <c r="C142" s="33"/>
      <c r="D142" s="1"/>
      <c r="E142" s="3"/>
      <c r="F142" s="3"/>
      <c r="G142" s="5"/>
      <c r="I142" s="3"/>
      <c r="J142" s="3"/>
      <c r="K142" s="3"/>
      <c r="L142" s="103"/>
      <c r="M142" s="108"/>
      <c r="N142" s="9"/>
    </row>
    <row r="143" spans="1:14" ht="13.95" customHeight="1">
      <c r="A143" s="1"/>
      <c r="C143" s="33"/>
      <c r="D143" s="1"/>
      <c r="E143" s="3"/>
      <c r="F143" s="3"/>
      <c r="G143" s="5"/>
      <c r="I143" s="3"/>
      <c r="J143" s="3"/>
      <c r="K143" s="3"/>
      <c r="L143" s="103"/>
      <c r="M143" s="108"/>
      <c r="N143" s="9"/>
    </row>
    <row r="144" spans="1:14" ht="13.95" customHeight="1">
      <c r="A144" s="1"/>
      <c r="C144" s="33"/>
      <c r="D144" s="1"/>
      <c r="E144" s="3"/>
      <c r="F144" s="3"/>
      <c r="G144" s="5"/>
      <c r="I144" s="3"/>
      <c r="J144" s="3"/>
      <c r="K144" s="3"/>
      <c r="L144" s="103"/>
      <c r="M144" s="108"/>
      <c r="N144" s="9"/>
    </row>
    <row r="145" spans="1:14" ht="13.95" customHeight="1">
      <c r="A145" s="1"/>
      <c r="B145" s="1"/>
      <c r="C145" s="33"/>
      <c r="D145" s="1"/>
      <c r="E145" s="3"/>
      <c r="F145" s="4"/>
      <c r="G145" s="5"/>
      <c r="I145" s="3"/>
      <c r="J145" s="3"/>
      <c r="K145" s="3"/>
      <c r="L145" s="103"/>
      <c r="M145" s="108"/>
      <c r="N145" s="9"/>
    </row>
    <row r="146" spans="1:14" ht="13.95" customHeight="1">
      <c r="A146" s="1"/>
      <c r="B146" s="1"/>
      <c r="C146" s="33"/>
      <c r="D146" s="1"/>
      <c r="E146" s="3"/>
      <c r="F146" s="4"/>
      <c r="G146" s="5"/>
      <c r="I146" s="3"/>
      <c r="J146" s="3"/>
      <c r="K146" s="3"/>
      <c r="L146" s="103"/>
      <c r="M146" s="108"/>
      <c r="N146" s="9"/>
    </row>
    <row r="147" spans="1:14" ht="13.95" customHeight="1">
      <c r="A147" s="1"/>
      <c r="B147" s="1"/>
      <c r="C147" s="33"/>
      <c r="D147" s="1"/>
      <c r="E147" s="3"/>
      <c r="F147" s="4"/>
      <c r="G147" s="5"/>
      <c r="I147" s="3"/>
      <c r="J147" s="3"/>
      <c r="K147" s="3"/>
      <c r="L147" s="103"/>
      <c r="M147" s="108"/>
      <c r="N147" s="9"/>
    </row>
    <row r="148" spans="1:14" ht="20.100000000000001" customHeight="1">
      <c r="A148" s="149" t="s">
        <v>66</v>
      </c>
      <c r="B148" s="150"/>
      <c r="C148" s="150"/>
      <c r="D148" s="150"/>
      <c r="E148" s="150"/>
      <c r="F148" s="151"/>
      <c r="G148" s="116">
        <f>SUM(G100:G147)</f>
        <v>502907.5</v>
      </c>
      <c r="I148" s="9"/>
      <c r="J148" s="9"/>
      <c r="K148" s="9"/>
      <c r="L148" s="103"/>
      <c r="M148" s="108"/>
      <c r="N148" s="9"/>
    </row>
    <row r="149" spans="1:14" ht="13.95" customHeight="1">
      <c r="A149" s="39"/>
      <c r="B149" s="39"/>
      <c r="C149" s="39"/>
      <c r="D149" s="39"/>
      <c r="E149" s="39"/>
      <c r="F149" s="39"/>
      <c r="G149" s="113"/>
      <c r="I149" s="9"/>
      <c r="J149" s="9"/>
      <c r="K149" s="9"/>
      <c r="L149" s="103"/>
      <c r="M149" s="108"/>
      <c r="N149" s="9"/>
    </row>
    <row r="150" spans="1:14" ht="13.95" customHeight="1">
      <c r="A150" s="39"/>
      <c r="B150" s="39"/>
      <c r="C150" s="39"/>
      <c r="D150" s="39"/>
      <c r="E150" s="39"/>
      <c r="F150" s="39"/>
      <c r="G150" s="113"/>
      <c r="I150" s="9"/>
      <c r="J150" s="9"/>
      <c r="K150" s="9"/>
      <c r="L150" s="103"/>
      <c r="M150" s="108"/>
      <c r="N150" s="9"/>
    </row>
    <row r="151" spans="1:14" ht="22.2" customHeight="1">
      <c r="A151" s="44" t="s">
        <v>8</v>
      </c>
      <c r="B151" s="48" t="s">
        <v>9</v>
      </c>
      <c r="C151" s="44" t="s">
        <v>10</v>
      </c>
      <c r="D151" s="48" t="s">
        <v>11</v>
      </c>
      <c r="E151" s="48" t="s">
        <v>59</v>
      </c>
      <c r="F151" s="49" t="s">
        <v>12</v>
      </c>
      <c r="G151" s="111" t="s">
        <v>13</v>
      </c>
      <c r="I151" s="9"/>
      <c r="J151" s="9"/>
      <c r="K151" s="9"/>
      <c r="L151" s="103"/>
      <c r="M151" s="108"/>
      <c r="N151" s="9"/>
    </row>
    <row r="152" spans="1:14" ht="20.100000000000001" customHeight="1">
      <c r="A152" s="149" t="s">
        <v>67</v>
      </c>
      <c r="B152" s="150"/>
      <c r="C152" s="150"/>
      <c r="D152" s="150"/>
      <c r="E152" s="150"/>
      <c r="F152" s="151"/>
      <c r="G152" s="116">
        <f>+G148</f>
        <v>502907.5</v>
      </c>
      <c r="I152" s="9"/>
      <c r="J152" s="9"/>
      <c r="K152" s="9"/>
      <c r="L152" s="103"/>
      <c r="M152" s="108"/>
      <c r="N152" s="9"/>
    </row>
    <row r="153" spans="1:14" ht="13.95" customHeight="1">
      <c r="A153" s="1"/>
      <c r="B153" s="1"/>
      <c r="C153" s="33"/>
      <c r="D153" s="1"/>
      <c r="E153" s="3"/>
      <c r="F153" s="4"/>
      <c r="G153" s="5"/>
      <c r="I153" s="3"/>
      <c r="J153" s="3"/>
      <c r="K153" s="3"/>
      <c r="L153" s="103"/>
      <c r="M153" s="108"/>
      <c r="N153" s="9"/>
    </row>
    <row r="154" spans="1:14" ht="13.95" customHeight="1">
      <c r="A154" s="1"/>
      <c r="B154" s="1"/>
      <c r="C154" s="32" t="s">
        <v>158</v>
      </c>
      <c r="D154" s="1"/>
      <c r="E154" s="3"/>
      <c r="F154" s="4"/>
      <c r="G154" s="5"/>
      <c r="I154" s="3"/>
      <c r="J154" s="3"/>
      <c r="K154" s="3"/>
      <c r="L154" s="103"/>
      <c r="M154" s="108"/>
      <c r="N154" s="9"/>
    </row>
    <row r="155" spans="1:14" ht="13.95" customHeight="1">
      <c r="A155" s="1"/>
      <c r="B155" s="1"/>
      <c r="C155" s="33"/>
      <c r="D155" s="1"/>
      <c r="E155" s="3"/>
      <c r="F155" s="4"/>
      <c r="G155" s="5"/>
      <c r="I155" s="3"/>
      <c r="J155" s="3"/>
      <c r="K155" s="3"/>
      <c r="L155" s="103"/>
      <c r="M155" s="108"/>
      <c r="N155" s="9"/>
    </row>
    <row r="156" spans="1:14" ht="13.95" customHeight="1">
      <c r="A156" s="1">
        <f>A138+1</f>
        <v>25</v>
      </c>
      <c r="B156" s="1"/>
      <c r="C156" s="33" t="s">
        <v>202</v>
      </c>
      <c r="D156" s="1" t="s">
        <v>51</v>
      </c>
      <c r="E156" s="3">
        <f>SUM(I156:N156)</f>
        <v>25</v>
      </c>
      <c r="F156" s="3">
        <v>3550</v>
      </c>
      <c r="G156" s="5">
        <f t="shared" ref="G156" si="32">+E156*F156</f>
        <v>88750</v>
      </c>
      <c r="I156" s="3"/>
      <c r="J156" s="3"/>
      <c r="K156" s="3">
        <v>23</v>
      </c>
      <c r="L156" s="103"/>
      <c r="M156" s="108">
        <v>2</v>
      </c>
      <c r="N156" s="9"/>
    </row>
    <row r="157" spans="1:14" ht="13.95" customHeight="1">
      <c r="A157" s="1"/>
      <c r="B157" s="1"/>
      <c r="C157" s="33"/>
      <c r="D157" s="1"/>
      <c r="E157" s="3"/>
      <c r="F157" s="3"/>
      <c r="G157" s="5"/>
      <c r="I157" s="3"/>
      <c r="J157" s="3"/>
      <c r="K157" s="3"/>
      <c r="L157" s="103"/>
      <c r="M157" s="108"/>
      <c r="N157" s="9"/>
    </row>
    <row r="158" spans="1:14" ht="13.95" customHeight="1">
      <c r="A158" s="1">
        <f>A156+1</f>
        <v>26</v>
      </c>
      <c r="B158" s="1"/>
      <c r="C158" s="33" t="s">
        <v>28</v>
      </c>
      <c r="D158" s="1" t="s">
        <v>51</v>
      </c>
      <c r="E158" s="3">
        <f>SUM(I158:N158)</f>
        <v>22.12</v>
      </c>
      <c r="F158" s="3">
        <v>3200</v>
      </c>
      <c r="G158" s="5">
        <f t="shared" ref="G158" si="33">+E158*F158</f>
        <v>70784</v>
      </c>
      <c r="I158" s="3"/>
      <c r="J158" s="3">
        <v>20</v>
      </c>
      <c r="K158" s="3"/>
      <c r="L158" s="103">
        <v>2.12</v>
      </c>
      <c r="M158" s="108"/>
      <c r="N158" s="9"/>
    </row>
    <row r="159" spans="1:14" ht="13.95" customHeight="1">
      <c r="A159" s="1"/>
      <c r="B159" s="1"/>
      <c r="C159" s="33"/>
      <c r="D159" s="1"/>
      <c r="E159" s="3"/>
      <c r="F159" s="3"/>
      <c r="G159" s="5"/>
      <c r="I159" s="3"/>
      <c r="J159" s="3"/>
      <c r="K159" s="3"/>
      <c r="L159" s="103"/>
      <c r="M159" s="108"/>
      <c r="N159" s="9"/>
    </row>
    <row r="160" spans="1:14" ht="13.95" customHeight="1">
      <c r="A160" s="1">
        <v>25</v>
      </c>
      <c r="B160" s="1"/>
      <c r="C160" s="33" t="s">
        <v>62</v>
      </c>
      <c r="D160" s="1" t="s">
        <v>51</v>
      </c>
      <c r="E160" s="3">
        <f>SUM(I160:N160)</f>
        <v>14.25</v>
      </c>
      <c r="F160" s="3">
        <v>3350</v>
      </c>
      <c r="G160" s="5">
        <f t="shared" ref="G160" si="34">+E160*F160</f>
        <v>47737.5</v>
      </c>
      <c r="I160" s="3"/>
      <c r="J160" s="3">
        <v>13</v>
      </c>
      <c r="K160" s="3"/>
      <c r="L160" s="103">
        <v>1.25</v>
      </c>
      <c r="M160" s="108"/>
      <c r="N160" s="9"/>
    </row>
    <row r="161" spans="1:14" ht="13.95" customHeight="1">
      <c r="A161" s="1"/>
      <c r="B161" s="1"/>
      <c r="C161" s="33"/>
      <c r="D161" s="1"/>
      <c r="E161" s="3"/>
      <c r="F161" s="3"/>
      <c r="G161" s="5"/>
      <c r="I161" s="3"/>
      <c r="J161" s="3"/>
      <c r="K161" s="3"/>
      <c r="L161" s="103"/>
      <c r="M161" s="108"/>
      <c r="N161" s="9"/>
    </row>
    <row r="162" spans="1:14" ht="13.95" customHeight="1">
      <c r="A162" s="1">
        <v>26</v>
      </c>
      <c r="B162" s="1"/>
      <c r="C162" s="33" t="s">
        <v>27</v>
      </c>
      <c r="D162" s="1" t="s">
        <v>51</v>
      </c>
      <c r="E162" s="3">
        <f>SUM(I162:N162)</f>
        <v>31</v>
      </c>
      <c r="F162" s="3">
        <v>3200</v>
      </c>
      <c r="G162" s="5">
        <f t="shared" ref="G162" si="35">+E162*F162</f>
        <v>99200</v>
      </c>
      <c r="I162" s="3">
        <v>31</v>
      </c>
      <c r="J162" s="3"/>
      <c r="K162" s="3"/>
      <c r="L162" s="103"/>
      <c r="M162" s="108"/>
      <c r="N162" s="9"/>
    </row>
    <row r="163" spans="1:14" ht="13.95" customHeight="1">
      <c r="A163" s="1"/>
      <c r="B163" s="1"/>
      <c r="C163" s="33"/>
      <c r="D163" s="1"/>
      <c r="E163" s="3"/>
      <c r="F163" s="3"/>
      <c r="G163" s="5"/>
      <c r="I163" s="3"/>
      <c r="J163" s="3"/>
      <c r="K163" s="3"/>
      <c r="L163" s="103"/>
      <c r="M163" s="108"/>
      <c r="N163" s="9"/>
    </row>
    <row r="164" spans="1:14" ht="13.95" customHeight="1">
      <c r="A164" s="1">
        <f>A162+1</f>
        <v>27</v>
      </c>
      <c r="B164" s="1"/>
      <c r="C164" s="33" t="s">
        <v>250</v>
      </c>
      <c r="D164" s="1" t="s">
        <v>51</v>
      </c>
      <c r="E164" s="3">
        <f>SUM(I164:N164)</f>
        <v>0</v>
      </c>
      <c r="F164" s="3">
        <v>3650</v>
      </c>
      <c r="G164" s="5">
        <f t="shared" ref="G164" si="36">+E164*F164</f>
        <v>0</v>
      </c>
      <c r="I164" s="3"/>
      <c r="J164" s="3"/>
      <c r="K164" s="3"/>
      <c r="L164" s="103"/>
      <c r="M164" s="108"/>
      <c r="N164" s="9"/>
    </row>
    <row r="165" spans="1:14" ht="13.95" customHeight="1">
      <c r="A165" s="1"/>
      <c r="B165" s="1"/>
      <c r="C165" s="33"/>
      <c r="D165" s="1"/>
      <c r="E165" s="3"/>
      <c r="F165" s="4"/>
      <c r="G165" s="5"/>
      <c r="I165" s="3"/>
      <c r="J165" s="3"/>
      <c r="K165" s="3"/>
      <c r="L165" s="103"/>
      <c r="M165" s="108"/>
      <c r="N165" s="9"/>
    </row>
    <row r="166" spans="1:14" ht="13.95" customHeight="1">
      <c r="A166" s="1"/>
      <c r="B166" s="1" t="s">
        <v>96</v>
      </c>
      <c r="C166" s="32" t="s">
        <v>159</v>
      </c>
      <c r="D166" s="1"/>
      <c r="E166" s="3"/>
      <c r="F166" s="4"/>
      <c r="G166" s="5"/>
      <c r="I166" s="9"/>
      <c r="J166" s="9"/>
      <c r="K166" s="9"/>
      <c r="L166" s="103"/>
      <c r="M166" s="108"/>
      <c r="N166" s="9"/>
    </row>
    <row r="167" spans="1:14" ht="13.95" customHeight="1">
      <c r="A167" s="1"/>
      <c r="B167" s="1"/>
      <c r="C167" s="33"/>
      <c r="D167" s="1"/>
      <c r="E167" s="3"/>
      <c r="F167" s="4"/>
      <c r="G167" s="5"/>
      <c r="I167" s="9"/>
      <c r="J167" s="9"/>
      <c r="K167" s="9"/>
      <c r="L167" s="103"/>
      <c r="M167" s="108"/>
      <c r="N167" s="9"/>
    </row>
    <row r="168" spans="1:14" ht="13.95" customHeight="1">
      <c r="A168" s="1"/>
      <c r="B168" s="1"/>
      <c r="C168" s="33" t="s">
        <v>160</v>
      </c>
      <c r="D168" s="1"/>
      <c r="E168" s="3"/>
      <c r="F168" s="4"/>
      <c r="G168" s="5"/>
      <c r="I168" s="9"/>
      <c r="J168" s="9"/>
      <c r="K168" s="9"/>
      <c r="L168" s="103"/>
      <c r="M168" s="108"/>
      <c r="N168" s="9"/>
    </row>
    <row r="169" spans="1:14" ht="13.95" customHeight="1">
      <c r="A169" s="1"/>
      <c r="B169" s="1"/>
      <c r="C169" s="33"/>
      <c r="D169" s="1"/>
      <c r="E169" s="3"/>
      <c r="F169" s="4"/>
      <c r="G169" s="5"/>
      <c r="I169" s="9"/>
      <c r="J169" s="9"/>
      <c r="K169" s="9"/>
      <c r="L169" s="103"/>
      <c r="M169" s="108"/>
      <c r="N169" s="9"/>
    </row>
    <row r="170" spans="1:14" ht="13.95" customHeight="1">
      <c r="A170" s="1">
        <f>A164+1</f>
        <v>28</v>
      </c>
      <c r="B170" s="1"/>
      <c r="C170" s="33" t="s">
        <v>28</v>
      </c>
      <c r="D170" s="1" t="s">
        <v>60</v>
      </c>
      <c r="E170" s="3">
        <f>SUM(I170:N170)</f>
        <v>56.29</v>
      </c>
      <c r="F170" s="3">
        <v>46</v>
      </c>
      <c r="G170" s="5">
        <f t="shared" ref="G170" si="37">+E170*F170</f>
        <v>2589.34</v>
      </c>
      <c r="I170" s="3"/>
      <c r="J170" s="3">
        <v>51</v>
      </c>
      <c r="K170" s="3"/>
      <c r="L170" s="103">
        <v>5.29</v>
      </c>
      <c r="M170" s="108"/>
      <c r="N170" s="9"/>
    </row>
    <row r="171" spans="1:14" ht="13.95" customHeight="1">
      <c r="A171" s="1"/>
      <c r="B171" s="1"/>
      <c r="C171" s="33"/>
      <c r="D171" s="1"/>
      <c r="E171" s="3"/>
      <c r="F171" s="3"/>
      <c r="G171" s="5"/>
      <c r="I171" s="3"/>
      <c r="J171" s="3"/>
      <c r="K171" s="3"/>
      <c r="L171" s="103"/>
      <c r="M171" s="108"/>
      <c r="N171" s="9"/>
    </row>
    <row r="172" spans="1:14" ht="13.95" customHeight="1">
      <c r="A172" s="1"/>
      <c r="B172" s="1"/>
      <c r="C172" s="33" t="s">
        <v>196</v>
      </c>
      <c r="D172" s="1"/>
      <c r="E172" s="3"/>
      <c r="F172" s="3"/>
      <c r="G172" s="5"/>
      <c r="I172" s="3"/>
      <c r="J172" s="3"/>
      <c r="K172" s="3"/>
      <c r="L172" s="103"/>
      <c r="M172" s="108"/>
      <c r="N172" s="9"/>
    </row>
    <row r="173" spans="1:14" ht="13.95" customHeight="1">
      <c r="A173" s="1"/>
      <c r="B173" s="1"/>
      <c r="C173" s="33"/>
      <c r="D173" s="1"/>
      <c r="E173" s="3"/>
      <c r="F173" s="3"/>
      <c r="G173" s="5"/>
      <c r="I173" s="3"/>
      <c r="J173" s="3"/>
      <c r="K173" s="3"/>
      <c r="L173" s="103"/>
      <c r="M173" s="108"/>
      <c r="N173" s="9"/>
    </row>
    <row r="174" spans="1:14" ht="13.95" customHeight="1">
      <c r="A174" s="1">
        <f>A170+1</f>
        <v>29</v>
      </c>
      <c r="B174" s="1"/>
      <c r="C174" s="33" t="s">
        <v>29</v>
      </c>
      <c r="D174" s="1" t="s">
        <v>60</v>
      </c>
      <c r="E174" s="3">
        <f>SUM(I174:N174)</f>
        <v>154</v>
      </c>
      <c r="F174" s="3">
        <v>75</v>
      </c>
      <c r="G174" s="5">
        <f t="shared" ref="G174" si="38">+E174*F174</f>
        <v>11550</v>
      </c>
      <c r="I174" s="3">
        <v>154</v>
      </c>
      <c r="J174" s="3"/>
      <c r="K174" s="3"/>
      <c r="L174" s="103"/>
      <c r="M174" s="108"/>
      <c r="N174" s="9"/>
    </row>
    <row r="175" spans="1:14" ht="13.95" customHeight="1">
      <c r="A175" s="1"/>
      <c r="B175" s="1"/>
      <c r="C175" s="33"/>
      <c r="D175" s="1"/>
      <c r="E175" s="3"/>
      <c r="F175" s="4"/>
      <c r="G175" s="5"/>
      <c r="I175" s="3"/>
      <c r="J175" s="3"/>
      <c r="K175" s="3"/>
      <c r="L175" s="103"/>
      <c r="M175" s="108"/>
      <c r="N175" s="9"/>
    </row>
    <row r="176" spans="1:14" ht="13.95" customHeight="1">
      <c r="A176" s="1"/>
      <c r="B176" s="1" t="s">
        <v>97</v>
      </c>
      <c r="C176" s="34" t="s">
        <v>20</v>
      </c>
      <c r="D176" s="1"/>
      <c r="E176" s="3"/>
      <c r="F176" s="4"/>
      <c r="G176" s="5"/>
      <c r="I176" s="3"/>
      <c r="J176" s="3"/>
      <c r="K176" s="3"/>
      <c r="L176" s="103"/>
      <c r="M176" s="108"/>
      <c r="N176" s="9"/>
    </row>
    <row r="177" spans="1:14" ht="13.95" customHeight="1">
      <c r="A177" s="1"/>
      <c r="B177" s="1"/>
      <c r="C177" s="34"/>
      <c r="D177" s="1"/>
      <c r="E177" s="3"/>
      <c r="F177" s="4"/>
      <c r="G177" s="5"/>
      <c r="I177" s="3"/>
      <c r="J177" s="3"/>
      <c r="K177" s="3"/>
      <c r="L177" s="103"/>
      <c r="M177" s="108"/>
      <c r="N177" s="9"/>
    </row>
    <row r="178" spans="1:14" ht="13.95" customHeight="1">
      <c r="A178" s="1"/>
      <c r="B178" s="1"/>
      <c r="C178" s="32" t="s">
        <v>213</v>
      </c>
      <c r="D178" s="1"/>
      <c r="E178" s="3"/>
      <c r="F178" s="4"/>
      <c r="G178" s="5"/>
      <c r="I178" s="3"/>
      <c r="J178" s="3"/>
      <c r="K178" s="3"/>
      <c r="L178" s="103"/>
      <c r="M178" s="108"/>
      <c r="N178" s="9"/>
    </row>
    <row r="179" spans="1:14" ht="13.95" customHeight="1">
      <c r="A179" s="1"/>
      <c r="B179" s="1"/>
      <c r="C179" s="34"/>
      <c r="D179" s="1"/>
      <c r="E179" s="3"/>
      <c r="F179" s="4"/>
      <c r="G179" s="5"/>
      <c r="I179" s="3"/>
      <c r="J179" s="3"/>
      <c r="K179" s="3"/>
      <c r="L179" s="103"/>
      <c r="M179" s="108"/>
      <c r="N179" s="9"/>
    </row>
    <row r="180" spans="1:14" ht="27" customHeight="1">
      <c r="A180" s="1">
        <f>A174+1</f>
        <v>30</v>
      </c>
      <c r="B180" s="1"/>
      <c r="C180" s="33" t="s">
        <v>237</v>
      </c>
      <c r="D180" s="1" t="s">
        <v>1</v>
      </c>
      <c r="E180" s="3">
        <f>SUM(I180:N180)</f>
        <v>0</v>
      </c>
      <c r="F180" s="3">
        <v>375</v>
      </c>
      <c r="G180" s="5">
        <f t="shared" ref="G180" si="39">+E180*F180</f>
        <v>0</v>
      </c>
      <c r="I180" s="3"/>
      <c r="J180" s="3"/>
      <c r="K180" s="3"/>
      <c r="L180" s="103"/>
      <c r="M180" s="108"/>
      <c r="N180" s="9"/>
    </row>
    <row r="181" spans="1:14" ht="13.95" customHeight="1">
      <c r="A181" s="1"/>
      <c r="B181" s="1"/>
      <c r="C181" s="33"/>
      <c r="D181" s="1"/>
      <c r="E181" s="3"/>
      <c r="F181" s="3"/>
      <c r="G181" s="5"/>
      <c r="I181" s="3"/>
      <c r="J181" s="3"/>
      <c r="K181" s="3"/>
      <c r="L181" s="103"/>
      <c r="M181" s="108"/>
      <c r="N181" s="9"/>
    </row>
    <row r="182" spans="1:14" ht="24.6" customHeight="1">
      <c r="A182" s="1">
        <f>A180+1</f>
        <v>31</v>
      </c>
      <c r="B182" s="1"/>
      <c r="C182" s="33" t="s">
        <v>285</v>
      </c>
      <c r="D182" s="1" t="s">
        <v>1</v>
      </c>
      <c r="E182" s="3">
        <f>SUM(I182:N182)</f>
        <v>32</v>
      </c>
      <c r="F182" s="3">
        <v>355</v>
      </c>
      <c r="G182" s="5">
        <f t="shared" ref="G182" si="40">+E182*F182</f>
        <v>11360</v>
      </c>
      <c r="I182" s="3">
        <v>32</v>
      </c>
      <c r="J182" s="3"/>
      <c r="K182" s="3"/>
      <c r="L182" s="104"/>
      <c r="M182" s="108"/>
      <c r="N182" s="9"/>
    </row>
    <row r="183" spans="1:14" ht="13.95" customHeight="1">
      <c r="A183" s="1"/>
      <c r="B183" s="1"/>
      <c r="C183" s="33"/>
      <c r="D183" s="1"/>
      <c r="E183" s="3"/>
      <c r="F183" s="3"/>
      <c r="G183" s="5"/>
      <c r="I183" s="3"/>
      <c r="J183" s="3"/>
      <c r="K183" s="3"/>
      <c r="L183" s="103"/>
      <c r="M183" s="108"/>
      <c r="N183" s="9"/>
    </row>
    <row r="184" spans="1:14" ht="23.4" customHeight="1">
      <c r="A184" s="1">
        <f>A182+1</f>
        <v>32</v>
      </c>
      <c r="B184" s="1"/>
      <c r="C184" s="33" t="s">
        <v>243</v>
      </c>
      <c r="D184" s="1" t="s">
        <v>1</v>
      </c>
      <c r="E184" s="3">
        <f>SUM(I184:N184)</f>
        <v>116</v>
      </c>
      <c r="F184" s="3">
        <v>195</v>
      </c>
      <c r="G184" s="5">
        <f t="shared" ref="G184" si="41">+E184*F184</f>
        <v>22620</v>
      </c>
      <c r="I184" s="3">
        <v>51</v>
      </c>
      <c r="J184" s="3"/>
      <c r="K184" s="3">
        <v>50</v>
      </c>
      <c r="L184" s="103"/>
      <c r="M184" s="108">
        <v>15</v>
      </c>
      <c r="N184" s="9"/>
    </row>
    <row r="185" spans="1:14" ht="13.95" customHeight="1">
      <c r="A185" s="1"/>
      <c r="B185" s="1"/>
      <c r="C185" s="33"/>
      <c r="D185" s="1"/>
      <c r="E185" s="3"/>
      <c r="F185" s="3"/>
      <c r="G185" s="5"/>
      <c r="I185" s="3"/>
      <c r="J185" s="3"/>
      <c r="K185" s="3"/>
      <c r="L185" s="103"/>
      <c r="M185" s="108"/>
      <c r="N185" s="9"/>
    </row>
    <row r="186" spans="1:14" ht="13.95" customHeight="1">
      <c r="A186" s="1"/>
      <c r="B186" s="1"/>
      <c r="C186" s="33" t="s">
        <v>239</v>
      </c>
      <c r="D186" s="1" t="s">
        <v>1</v>
      </c>
      <c r="E186" s="3">
        <f>SUM(I186:N186)</f>
        <v>29</v>
      </c>
      <c r="F186" s="3">
        <v>155</v>
      </c>
      <c r="G186" s="5">
        <f t="shared" ref="G186" si="42">+E186*F186</f>
        <v>4495</v>
      </c>
      <c r="I186" s="3">
        <v>29</v>
      </c>
      <c r="J186" s="3"/>
      <c r="K186" s="3"/>
      <c r="L186" s="103"/>
      <c r="M186" s="108"/>
      <c r="N186" s="9"/>
    </row>
    <row r="187" spans="1:14" ht="13.95" customHeight="1">
      <c r="A187" s="1"/>
      <c r="B187" s="1"/>
      <c r="C187" s="33"/>
      <c r="D187" s="1"/>
      <c r="E187" s="3"/>
      <c r="F187" s="4"/>
      <c r="G187" s="5"/>
      <c r="I187" s="3"/>
      <c r="J187" s="3"/>
      <c r="K187" s="3"/>
      <c r="L187" s="103"/>
      <c r="M187" s="108"/>
      <c r="N187" s="9"/>
    </row>
    <row r="188" spans="1:14" ht="13.95" customHeight="1">
      <c r="A188" s="1"/>
      <c r="B188" s="1"/>
      <c r="C188" s="32" t="s">
        <v>198</v>
      </c>
      <c r="D188" s="1"/>
      <c r="E188" s="3"/>
      <c r="F188" s="4"/>
      <c r="G188" s="5"/>
      <c r="I188" s="3"/>
      <c r="J188" s="3"/>
      <c r="K188" s="3"/>
      <c r="L188" s="103"/>
      <c r="M188" s="108"/>
      <c r="N188" s="9"/>
    </row>
    <row r="189" spans="1:14" ht="13.95" customHeight="1">
      <c r="A189" s="1"/>
      <c r="B189" s="1"/>
      <c r="C189" s="33"/>
      <c r="D189" s="1"/>
      <c r="E189" s="3"/>
      <c r="F189" s="4"/>
      <c r="G189" s="5"/>
      <c r="I189" s="3"/>
      <c r="J189" s="3"/>
      <c r="K189" s="3"/>
      <c r="L189" s="103"/>
      <c r="M189" s="108"/>
      <c r="N189" s="9"/>
    </row>
    <row r="190" spans="1:14" ht="13.95" customHeight="1">
      <c r="A190" s="1">
        <f>A184+1</f>
        <v>33</v>
      </c>
      <c r="B190" s="1"/>
      <c r="C190" s="33" t="s">
        <v>199</v>
      </c>
      <c r="D190" s="1" t="s">
        <v>1</v>
      </c>
      <c r="E190" s="3">
        <f>SUM(I190:N190)</f>
        <v>12</v>
      </c>
      <c r="F190" s="3">
        <f>F180</f>
        <v>375</v>
      </c>
      <c r="G190" s="5">
        <f t="shared" ref="G190" si="43">+E190*F190</f>
        <v>4500</v>
      </c>
      <c r="I190" s="3"/>
      <c r="J190" s="3">
        <v>12</v>
      </c>
      <c r="K190" s="3"/>
      <c r="L190" s="103"/>
      <c r="M190" s="108"/>
      <c r="N190" s="9"/>
    </row>
    <row r="191" spans="1:14" ht="13.95" customHeight="1">
      <c r="A191" s="1"/>
      <c r="B191" s="1"/>
      <c r="C191" s="33"/>
      <c r="D191" s="1"/>
      <c r="E191" s="3"/>
      <c r="F191" s="3"/>
      <c r="G191" s="5"/>
      <c r="I191" s="3"/>
      <c r="J191" s="3"/>
      <c r="K191" s="3"/>
      <c r="L191" s="103"/>
      <c r="M191" s="108"/>
      <c r="N191" s="9"/>
    </row>
    <row r="192" spans="1:14" ht="13.95" customHeight="1">
      <c r="A192" s="1">
        <f>A190+1</f>
        <v>34</v>
      </c>
      <c r="B192" s="1"/>
      <c r="C192" s="33" t="s">
        <v>200</v>
      </c>
      <c r="D192" s="1" t="s">
        <v>1</v>
      </c>
      <c r="E192" s="3">
        <f>SUM(I192:N192)</f>
        <v>10</v>
      </c>
      <c r="F192" s="3">
        <v>395</v>
      </c>
      <c r="G192" s="5">
        <f t="shared" ref="G192" si="44">+E192*F192</f>
        <v>3950</v>
      </c>
      <c r="I192" s="3"/>
      <c r="J192" s="3">
        <v>10</v>
      </c>
      <c r="K192" s="3"/>
      <c r="L192" s="103"/>
      <c r="M192" s="108"/>
      <c r="N192" s="9"/>
    </row>
    <row r="193" spans="1:14" ht="13.95" customHeight="1">
      <c r="A193" s="1"/>
      <c r="B193" s="1"/>
      <c r="C193" s="33"/>
      <c r="D193" s="1"/>
      <c r="E193" s="3"/>
      <c r="F193" s="3"/>
      <c r="G193" s="5"/>
      <c r="I193" s="3"/>
      <c r="J193" s="3"/>
      <c r="K193" s="3"/>
      <c r="L193" s="103"/>
      <c r="M193" s="108"/>
      <c r="N193" s="9"/>
    </row>
    <row r="194" spans="1:14" ht="13.95" customHeight="1">
      <c r="A194" s="1">
        <f>A192+1</f>
        <v>35</v>
      </c>
      <c r="B194" s="1"/>
      <c r="C194" s="33" t="s">
        <v>214</v>
      </c>
      <c r="D194" s="1" t="s">
        <v>1</v>
      </c>
      <c r="E194" s="3">
        <f>SUM(I194:N194)</f>
        <v>6</v>
      </c>
      <c r="F194" s="3">
        <v>395</v>
      </c>
      <c r="G194" s="5">
        <f t="shared" ref="G194" si="45">+E194*F194</f>
        <v>2370</v>
      </c>
      <c r="I194" s="3"/>
      <c r="J194" s="3">
        <v>6</v>
      </c>
      <c r="K194" s="3"/>
      <c r="L194" s="103"/>
      <c r="M194" s="108"/>
      <c r="N194" s="9"/>
    </row>
    <row r="195" spans="1:14" ht="13.95" customHeight="1">
      <c r="A195" s="1"/>
      <c r="B195" s="1"/>
      <c r="C195" s="33"/>
      <c r="D195" s="1"/>
      <c r="E195" s="3"/>
      <c r="F195" s="3"/>
      <c r="G195" s="5"/>
      <c r="I195" s="3"/>
      <c r="J195" s="3"/>
      <c r="K195" s="3"/>
      <c r="L195" s="103"/>
      <c r="M195" s="108"/>
      <c r="N195" s="9"/>
    </row>
    <row r="196" spans="1:14" ht="13.95" customHeight="1">
      <c r="A196" s="1"/>
      <c r="B196" s="1"/>
      <c r="C196" s="33"/>
      <c r="D196" s="1"/>
      <c r="E196" s="3"/>
      <c r="F196" s="4"/>
      <c r="G196" s="5"/>
      <c r="I196" s="3"/>
      <c r="J196" s="3"/>
      <c r="K196" s="3"/>
      <c r="L196" s="103"/>
      <c r="M196" s="108"/>
      <c r="N196" s="9"/>
    </row>
    <row r="197" spans="1:14" ht="13.95" customHeight="1">
      <c r="A197" s="1"/>
      <c r="B197" s="1"/>
      <c r="C197" s="33"/>
      <c r="D197" s="1"/>
      <c r="E197" s="3"/>
      <c r="F197" s="4"/>
      <c r="G197" s="5"/>
      <c r="I197" s="3"/>
      <c r="J197" s="3"/>
      <c r="K197" s="3"/>
      <c r="L197" s="103"/>
      <c r="M197" s="108"/>
      <c r="N197" s="9"/>
    </row>
    <row r="198" spans="1:14" ht="20.100000000000001" customHeight="1">
      <c r="A198" s="149" t="s">
        <v>66</v>
      </c>
      <c r="B198" s="150"/>
      <c r="C198" s="150"/>
      <c r="D198" s="150"/>
      <c r="E198" s="150"/>
      <c r="F198" s="151"/>
      <c r="G198" s="116">
        <f>SUM(G152:G197)</f>
        <v>872813.34</v>
      </c>
      <c r="I198" s="9"/>
      <c r="J198" s="9"/>
      <c r="K198" s="9"/>
      <c r="L198" s="103"/>
      <c r="M198" s="108"/>
      <c r="N198" s="9"/>
    </row>
    <row r="199" spans="1:14" ht="13.95" customHeight="1">
      <c r="A199" s="39"/>
      <c r="B199" s="39"/>
      <c r="C199" s="39"/>
      <c r="D199" s="39"/>
      <c r="E199" s="39"/>
      <c r="F199" s="39"/>
      <c r="G199" s="113"/>
      <c r="I199" s="9"/>
      <c r="J199" s="9"/>
      <c r="K199" s="9"/>
      <c r="L199" s="103"/>
      <c r="M199" s="108"/>
      <c r="N199" s="9"/>
    </row>
    <row r="200" spans="1:14" ht="13.95" customHeight="1">
      <c r="A200" s="39"/>
      <c r="B200" s="39"/>
      <c r="C200" s="39"/>
      <c r="D200" s="39"/>
      <c r="E200" s="39"/>
      <c r="F200" s="39"/>
      <c r="G200" s="113"/>
      <c r="I200" s="9"/>
      <c r="J200" s="9"/>
      <c r="K200" s="9"/>
      <c r="L200" s="103"/>
      <c r="M200" s="108"/>
      <c r="N200" s="9"/>
    </row>
    <row r="201" spans="1:14" ht="22.2" customHeight="1">
      <c r="A201" s="44" t="s">
        <v>8</v>
      </c>
      <c r="B201" s="48" t="s">
        <v>9</v>
      </c>
      <c r="C201" s="44" t="s">
        <v>10</v>
      </c>
      <c r="D201" s="48" t="s">
        <v>11</v>
      </c>
      <c r="E201" s="48" t="s">
        <v>59</v>
      </c>
      <c r="F201" s="49" t="s">
        <v>12</v>
      </c>
      <c r="G201" s="111" t="s">
        <v>13</v>
      </c>
      <c r="I201" s="9"/>
      <c r="J201" s="9"/>
      <c r="K201" s="9"/>
      <c r="L201" s="103"/>
      <c r="M201" s="108"/>
      <c r="N201" s="9"/>
    </row>
    <row r="202" spans="1:14" ht="20.100000000000001" customHeight="1">
      <c r="A202" s="149" t="s">
        <v>67</v>
      </c>
      <c r="B202" s="150"/>
      <c r="C202" s="150"/>
      <c r="D202" s="150"/>
      <c r="E202" s="150"/>
      <c r="F202" s="151"/>
      <c r="G202" s="116">
        <f>+G198</f>
        <v>872813.34</v>
      </c>
      <c r="I202" s="9"/>
      <c r="J202" s="9"/>
      <c r="K202" s="9"/>
      <c r="L202" s="103"/>
      <c r="M202" s="108"/>
      <c r="N202" s="9"/>
    </row>
    <row r="203" spans="1:14" ht="13.95" customHeight="1">
      <c r="A203" s="1"/>
      <c r="B203" s="1"/>
      <c r="C203" s="33"/>
      <c r="D203" s="1"/>
      <c r="E203" s="3"/>
      <c r="F203" s="4"/>
      <c r="G203" s="5"/>
      <c r="I203" s="3"/>
      <c r="J203" s="3"/>
      <c r="K203" s="3"/>
      <c r="L203" s="103"/>
      <c r="M203" s="108"/>
      <c r="N203" s="9"/>
    </row>
    <row r="204" spans="1:14" ht="13.95" customHeight="1">
      <c r="A204" s="9"/>
      <c r="B204" s="1" t="s">
        <v>98</v>
      </c>
      <c r="C204" s="34" t="s">
        <v>30</v>
      </c>
      <c r="D204" s="1"/>
      <c r="E204" s="3"/>
      <c r="F204" s="4"/>
      <c r="G204" s="5"/>
      <c r="I204" s="3"/>
      <c r="J204" s="3"/>
      <c r="K204" s="3"/>
      <c r="L204" s="103"/>
      <c r="M204" s="108"/>
      <c r="N204" s="9"/>
    </row>
    <row r="205" spans="1:14" ht="13.95" customHeight="1">
      <c r="A205" s="9"/>
      <c r="B205" s="1"/>
      <c r="C205" s="33"/>
      <c r="D205" s="1"/>
      <c r="E205" s="3"/>
      <c r="F205" s="4"/>
      <c r="G205" s="5"/>
      <c r="I205" s="3"/>
      <c r="J205" s="3"/>
      <c r="K205" s="3"/>
      <c r="L205" s="103"/>
      <c r="M205" s="108"/>
      <c r="N205" s="9"/>
    </row>
    <row r="206" spans="1:14" ht="13.95" customHeight="1">
      <c r="A206" s="9"/>
      <c r="B206" s="1"/>
      <c r="C206" s="33" t="s">
        <v>31</v>
      </c>
      <c r="D206" s="1"/>
      <c r="E206" s="3"/>
      <c r="F206" s="4"/>
      <c r="G206" s="5"/>
      <c r="I206" s="3"/>
      <c r="J206" s="3"/>
      <c r="K206" s="3"/>
      <c r="L206" s="103"/>
      <c r="M206" s="108"/>
      <c r="N206" s="9"/>
    </row>
    <row r="207" spans="1:14" ht="13.95" customHeight="1">
      <c r="A207" s="9"/>
      <c r="B207" s="1"/>
      <c r="C207" s="33"/>
      <c r="D207" s="1"/>
      <c r="E207" s="3"/>
      <c r="F207" s="4"/>
      <c r="G207" s="5"/>
      <c r="I207" s="3"/>
      <c r="J207" s="3"/>
      <c r="K207" s="3"/>
      <c r="L207" s="103"/>
      <c r="M207" s="108"/>
      <c r="N207" s="9"/>
    </row>
    <row r="208" spans="1:14" ht="13.95" customHeight="1">
      <c r="A208" s="9">
        <f>A194+1</f>
        <v>36</v>
      </c>
      <c r="B208" s="1"/>
      <c r="C208" s="33" t="s">
        <v>32</v>
      </c>
      <c r="D208" s="1" t="s">
        <v>51</v>
      </c>
      <c r="E208" s="3">
        <f>SUM(I208:N208)</f>
        <v>6.27</v>
      </c>
      <c r="F208" s="3">
        <v>35000</v>
      </c>
      <c r="G208" s="5">
        <f t="shared" ref="G208" si="46">+E208*F208</f>
        <v>219449.99999999997</v>
      </c>
      <c r="I208" s="4"/>
      <c r="J208" s="4"/>
      <c r="K208" s="4">
        <v>5.8</v>
      </c>
      <c r="L208" s="103"/>
      <c r="M208" s="108">
        <v>0.47</v>
      </c>
      <c r="N208" s="9"/>
    </row>
    <row r="209" spans="1:14" ht="13.95" customHeight="1">
      <c r="A209" s="9"/>
      <c r="B209" s="1"/>
      <c r="C209" s="33"/>
      <c r="D209" s="1"/>
      <c r="E209" s="4"/>
      <c r="F209" s="3"/>
      <c r="G209" s="5"/>
      <c r="I209" s="4"/>
      <c r="J209" s="4"/>
      <c r="K209" s="4"/>
      <c r="L209" s="103"/>
      <c r="M209" s="108"/>
      <c r="N209" s="9"/>
    </row>
    <row r="210" spans="1:14" ht="13.95" customHeight="1">
      <c r="A210" s="9"/>
      <c r="B210" s="1"/>
      <c r="C210" s="37" t="s">
        <v>40</v>
      </c>
      <c r="D210" s="1"/>
      <c r="E210" s="4"/>
      <c r="F210" s="3"/>
      <c r="G210" s="5"/>
      <c r="I210" s="4"/>
      <c r="J210" s="4"/>
      <c r="K210" s="4"/>
      <c r="L210" s="103"/>
      <c r="M210" s="108"/>
      <c r="N210" s="9"/>
    </row>
    <row r="211" spans="1:14" ht="13.95" customHeight="1">
      <c r="A211" s="9"/>
      <c r="B211" s="1"/>
      <c r="C211" s="33"/>
      <c r="D211" s="1"/>
      <c r="E211" s="4"/>
      <c r="F211" s="3"/>
      <c r="G211" s="5"/>
      <c r="I211" s="4"/>
      <c r="J211" s="4"/>
      <c r="K211" s="4"/>
      <c r="L211" s="103"/>
      <c r="M211" s="108"/>
      <c r="N211" s="9"/>
    </row>
    <row r="212" spans="1:14" ht="13.95" customHeight="1">
      <c r="A212" s="9">
        <f>A208+1</f>
        <v>37</v>
      </c>
      <c r="B212" s="1"/>
      <c r="C212" s="33" t="s">
        <v>32</v>
      </c>
      <c r="D212" s="1" t="s">
        <v>51</v>
      </c>
      <c r="E212" s="3">
        <f>SUM(I212:N212)</f>
        <v>0.04</v>
      </c>
      <c r="F212" s="3">
        <f>F208</f>
        <v>35000</v>
      </c>
      <c r="G212" s="5">
        <f t="shared" ref="G212" si="47">+E212*F212</f>
        <v>1400</v>
      </c>
      <c r="I212" s="4"/>
      <c r="J212" s="4"/>
      <c r="K212" s="4"/>
      <c r="L212" s="103"/>
      <c r="M212" s="108">
        <v>0.04</v>
      </c>
      <c r="N212" s="9"/>
    </row>
    <row r="213" spans="1:14" ht="13.95" customHeight="1">
      <c r="A213" s="1"/>
      <c r="B213" s="1"/>
      <c r="C213" s="33"/>
      <c r="D213" s="1"/>
      <c r="E213" s="3"/>
      <c r="F213" s="4"/>
      <c r="G213" s="5"/>
      <c r="I213" s="3"/>
      <c r="J213" s="3"/>
      <c r="K213" s="3"/>
      <c r="L213" s="103"/>
      <c r="M213" s="108"/>
      <c r="N213" s="9"/>
    </row>
    <row r="214" spans="1:14" ht="24.6" customHeight="1">
      <c r="A214" s="9"/>
      <c r="B214" s="1" t="s">
        <v>99</v>
      </c>
      <c r="C214" s="34" t="s">
        <v>63</v>
      </c>
      <c r="D214" s="1"/>
      <c r="E214" s="3"/>
      <c r="F214" s="4"/>
      <c r="G214" s="5"/>
      <c r="I214" s="9"/>
      <c r="J214" s="9"/>
      <c r="K214" s="9"/>
      <c r="L214" s="103"/>
      <c r="M214" s="108"/>
      <c r="N214" s="9"/>
    </row>
    <row r="215" spans="1:14" ht="13.95" customHeight="1">
      <c r="A215" s="9"/>
      <c r="B215" s="1"/>
      <c r="C215" s="34"/>
      <c r="D215" s="1"/>
      <c r="E215" s="3"/>
      <c r="F215" s="4"/>
      <c r="G215" s="5"/>
      <c r="I215" s="9"/>
      <c r="J215" s="9"/>
      <c r="K215" s="9"/>
      <c r="L215" s="103"/>
      <c r="M215" s="108"/>
      <c r="N215" s="9"/>
    </row>
    <row r="216" spans="1:14" ht="22.95" customHeight="1">
      <c r="A216" s="9"/>
      <c r="B216" s="1"/>
      <c r="C216" s="34" t="s">
        <v>58</v>
      </c>
      <c r="D216" s="1"/>
      <c r="E216" s="3"/>
      <c r="F216" s="4"/>
      <c r="G216" s="5"/>
      <c r="I216" s="9"/>
      <c r="J216" s="9"/>
      <c r="K216" s="9"/>
      <c r="L216" s="103"/>
      <c r="M216" s="108"/>
      <c r="N216" s="9"/>
    </row>
    <row r="217" spans="1:14" ht="13.95" customHeight="1">
      <c r="A217" s="9"/>
      <c r="B217" s="1"/>
      <c r="C217" s="33"/>
      <c r="D217" s="1"/>
      <c r="E217" s="3"/>
      <c r="F217" s="4"/>
      <c r="G217" s="5"/>
      <c r="I217" s="9"/>
      <c r="J217" s="9"/>
      <c r="K217" s="9"/>
      <c r="L217" s="103"/>
      <c r="M217" s="108"/>
      <c r="N217" s="9"/>
    </row>
    <row r="218" spans="1:14" ht="46.2" customHeight="1">
      <c r="A218" s="9">
        <f>A212+1</f>
        <v>38</v>
      </c>
      <c r="B218" s="1"/>
      <c r="C218" s="33" t="s">
        <v>240</v>
      </c>
      <c r="D218" s="1" t="s">
        <v>6</v>
      </c>
      <c r="E218" s="3">
        <f>SUM(I218:N218)</f>
        <v>16</v>
      </c>
      <c r="F218" s="3">
        <v>275</v>
      </c>
      <c r="G218" s="5">
        <f t="shared" ref="G218" si="48">+E218*F218</f>
        <v>4400</v>
      </c>
      <c r="I218" s="9"/>
      <c r="J218" s="9"/>
      <c r="K218" s="9">
        <v>8</v>
      </c>
      <c r="L218" s="103"/>
      <c r="M218" s="108">
        <v>8</v>
      </c>
      <c r="N218" s="9"/>
    </row>
    <row r="219" spans="1:14" ht="13.95" customHeight="1">
      <c r="A219" s="9"/>
      <c r="B219" s="1"/>
      <c r="C219" s="33"/>
      <c r="D219" s="1"/>
      <c r="E219" s="3"/>
      <c r="F219" s="3"/>
      <c r="G219" s="5"/>
      <c r="I219" s="9"/>
      <c r="J219" s="9"/>
      <c r="K219" s="9"/>
      <c r="L219" s="103"/>
      <c r="M219" s="108"/>
      <c r="N219" s="9"/>
    </row>
    <row r="220" spans="1:14" ht="48" customHeight="1">
      <c r="A220" s="9">
        <f>A218+1</f>
        <v>39</v>
      </c>
      <c r="B220" s="1"/>
      <c r="C220" s="33" t="s">
        <v>227</v>
      </c>
      <c r="D220" s="1" t="s">
        <v>6</v>
      </c>
      <c r="E220" s="3">
        <f>SUM(I220:N220)</f>
        <v>0</v>
      </c>
      <c r="F220" s="3">
        <v>975</v>
      </c>
      <c r="G220" s="5">
        <f t="shared" ref="G220" si="49">+E220*F220</f>
        <v>0</v>
      </c>
      <c r="I220" s="45"/>
      <c r="J220" s="45"/>
      <c r="K220" s="45"/>
      <c r="L220" s="103"/>
      <c r="M220" s="108"/>
      <c r="N220" s="9"/>
    </row>
    <row r="221" spans="1:14" ht="12.6" customHeight="1">
      <c r="A221" s="9"/>
      <c r="B221" s="1"/>
      <c r="C221" s="33"/>
      <c r="D221" s="1"/>
      <c r="E221" s="3"/>
      <c r="F221" s="4"/>
      <c r="G221" s="5"/>
      <c r="I221" s="9"/>
      <c r="J221" s="9"/>
      <c r="K221" s="9"/>
      <c r="L221" s="103"/>
      <c r="M221" s="108"/>
      <c r="N221" s="9"/>
    </row>
    <row r="222" spans="1:14" ht="13.95" customHeight="1">
      <c r="A222" s="1"/>
      <c r="B222" s="1" t="s">
        <v>103</v>
      </c>
      <c r="C222" s="34" t="s">
        <v>7</v>
      </c>
      <c r="D222" s="1"/>
      <c r="E222" s="3"/>
      <c r="F222" s="4"/>
      <c r="G222" s="5"/>
      <c r="I222" s="9"/>
      <c r="J222" s="9"/>
      <c r="K222" s="9"/>
      <c r="L222" s="103"/>
      <c r="M222" s="108"/>
      <c r="N222" s="9"/>
    </row>
    <row r="223" spans="1:14" ht="13.95" customHeight="1">
      <c r="A223" s="1"/>
      <c r="B223" s="1"/>
      <c r="C223" s="33"/>
      <c r="D223" s="1"/>
      <c r="E223" s="3"/>
      <c r="F223" s="4"/>
      <c r="G223" s="5"/>
      <c r="I223" s="9"/>
      <c r="J223" s="9"/>
      <c r="K223" s="9"/>
      <c r="L223" s="103"/>
      <c r="M223" s="108"/>
      <c r="N223" s="9"/>
    </row>
    <row r="224" spans="1:14" ht="13.95" customHeight="1">
      <c r="A224" s="1"/>
      <c r="B224" s="1"/>
      <c r="C224" s="33" t="s">
        <v>68</v>
      </c>
      <c r="D224" s="1"/>
      <c r="E224" s="3"/>
      <c r="F224" s="4"/>
      <c r="G224" s="5"/>
      <c r="I224" s="9"/>
      <c r="J224" s="9"/>
      <c r="K224" s="9"/>
      <c r="L224" s="103"/>
      <c r="M224" s="108"/>
      <c r="N224" s="9"/>
    </row>
    <row r="225" spans="1:14" ht="13.95" customHeight="1">
      <c r="A225" s="1"/>
      <c r="B225" s="1"/>
      <c r="C225" s="33"/>
      <c r="D225" s="1"/>
      <c r="E225" s="3"/>
      <c r="F225" s="4"/>
      <c r="G225" s="5"/>
      <c r="I225" s="9"/>
      <c r="J225" s="9"/>
      <c r="K225" s="9"/>
      <c r="L225" s="103"/>
      <c r="M225" s="108"/>
      <c r="N225" s="9"/>
    </row>
    <row r="226" spans="1:14" ht="22.95" customHeight="1">
      <c r="A226" s="1">
        <f>A220+1</f>
        <v>40</v>
      </c>
      <c r="B226" s="1"/>
      <c r="C226" s="33" t="s">
        <v>197</v>
      </c>
      <c r="D226" s="1" t="s">
        <v>60</v>
      </c>
      <c r="E226" s="3">
        <f>SUM(I226:N226)</f>
        <v>154</v>
      </c>
      <c r="F226" s="13">
        <v>165</v>
      </c>
      <c r="G226" s="5">
        <f t="shared" ref="G226" si="50">+E226*F226</f>
        <v>25410</v>
      </c>
      <c r="I226" s="9">
        <v>154</v>
      </c>
      <c r="J226" s="9"/>
      <c r="K226" s="9"/>
      <c r="L226" s="103"/>
      <c r="M226" s="108"/>
      <c r="N226" s="9"/>
    </row>
    <row r="227" spans="1:14" ht="13.95" customHeight="1">
      <c r="A227" s="1"/>
      <c r="B227" s="1"/>
      <c r="C227" s="33"/>
      <c r="D227" s="35"/>
      <c r="E227" s="3"/>
      <c r="F227" s="4"/>
      <c r="G227" s="5"/>
      <c r="I227" s="9"/>
      <c r="J227" s="9"/>
      <c r="K227" s="9"/>
      <c r="L227" s="103"/>
      <c r="M227" s="108"/>
      <c r="N227" s="9"/>
    </row>
    <row r="228" spans="1:14" ht="13.95" customHeight="1">
      <c r="A228" s="1"/>
      <c r="B228" s="1"/>
      <c r="C228" s="46" t="s">
        <v>231</v>
      </c>
      <c r="D228" s="1"/>
      <c r="E228" s="3"/>
      <c r="F228" s="4"/>
      <c r="G228" s="5"/>
      <c r="I228" s="9"/>
      <c r="J228" s="9"/>
      <c r="K228" s="9"/>
      <c r="L228" s="103"/>
      <c r="M228" s="108"/>
      <c r="N228" s="9"/>
    </row>
    <row r="229" spans="1:14" ht="13.95" customHeight="1">
      <c r="A229" s="1"/>
      <c r="B229" s="1"/>
      <c r="C229" s="47"/>
      <c r="D229" s="35"/>
      <c r="E229" s="3"/>
      <c r="F229" s="4"/>
      <c r="G229" s="5"/>
      <c r="I229" s="9"/>
      <c r="J229" s="9"/>
      <c r="K229" s="9"/>
      <c r="L229" s="103"/>
      <c r="M229" s="108"/>
      <c r="N229" s="9"/>
    </row>
    <row r="230" spans="1:14" ht="48.6" customHeight="1">
      <c r="A230" s="1">
        <f>A226+1</f>
        <v>41</v>
      </c>
      <c r="B230" s="1"/>
      <c r="C230" s="55" t="s">
        <v>75</v>
      </c>
      <c r="D230" s="1" t="s">
        <v>51</v>
      </c>
      <c r="E230" s="3">
        <f>SUM(I230:N230)</f>
        <v>0</v>
      </c>
      <c r="F230" s="3">
        <v>1185</v>
      </c>
      <c r="G230" s="5">
        <f t="shared" ref="G230" si="51">+E230*F230</f>
        <v>0</v>
      </c>
      <c r="I230" s="9"/>
      <c r="J230" s="9"/>
      <c r="K230" s="9"/>
      <c r="L230" s="103"/>
      <c r="M230" s="108"/>
      <c r="N230" s="9"/>
    </row>
    <row r="231" spans="1:14">
      <c r="A231" s="1"/>
      <c r="B231" s="1"/>
      <c r="C231" s="55"/>
      <c r="D231" s="35"/>
      <c r="E231" s="3"/>
      <c r="F231" s="3"/>
      <c r="G231" s="5"/>
      <c r="I231" s="9"/>
      <c r="J231" s="9"/>
      <c r="K231" s="9"/>
      <c r="L231" s="103"/>
      <c r="M231" s="108"/>
      <c r="N231" s="9"/>
    </row>
    <row r="232" spans="1:14">
      <c r="A232" s="1"/>
      <c r="B232" s="1"/>
      <c r="C232" s="55"/>
      <c r="D232" s="35"/>
      <c r="E232" s="3"/>
      <c r="F232" s="3"/>
      <c r="G232" s="5"/>
      <c r="I232" s="9"/>
      <c r="J232" s="9"/>
      <c r="K232" s="9"/>
      <c r="L232" s="103"/>
      <c r="M232" s="108"/>
      <c r="N232" s="9"/>
    </row>
    <row r="233" spans="1:14">
      <c r="A233" s="1"/>
      <c r="B233" s="1"/>
      <c r="C233" s="55"/>
      <c r="D233" s="35"/>
      <c r="E233" s="3"/>
      <c r="F233" s="3"/>
      <c r="G233" s="5"/>
      <c r="I233" s="9"/>
      <c r="J233" s="9"/>
      <c r="K233" s="9"/>
      <c r="L233" s="103"/>
      <c r="M233" s="108"/>
      <c r="N233" s="9"/>
    </row>
    <row r="234" spans="1:14">
      <c r="A234" s="1"/>
      <c r="B234" s="1"/>
      <c r="C234" s="55"/>
      <c r="D234" s="35"/>
      <c r="E234" s="3"/>
      <c r="F234" s="3"/>
      <c r="G234" s="5"/>
      <c r="I234" s="9"/>
      <c r="J234" s="9"/>
      <c r="K234" s="9"/>
      <c r="L234" s="103"/>
      <c r="M234" s="108"/>
      <c r="N234" s="9"/>
    </row>
    <row r="235" spans="1:14">
      <c r="A235" s="1"/>
      <c r="B235" s="1"/>
      <c r="C235" s="55"/>
      <c r="D235" s="35"/>
      <c r="E235" s="3"/>
      <c r="F235" s="3"/>
      <c r="G235" s="5"/>
      <c r="I235" s="9"/>
      <c r="J235" s="9"/>
      <c r="K235" s="9"/>
      <c r="L235" s="103"/>
      <c r="M235" s="108"/>
      <c r="N235" s="9"/>
    </row>
    <row r="236" spans="1:14">
      <c r="A236" s="1"/>
      <c r="B236" s="1"/>
      <c r="C236" s="55"/>
      <c r="D236" s="35"/>
      <c r="E236" s="3"/>
      <c r="F236" s="3"/>
      <c r="G236" s="5"/>
      <c r="I236" s="9"/>
      <c r="J236" s="9"/>
      <c r="K236" s="9"/>
      <c r="L236" s="103"/>
      <c r="M236" s="108"/>
      <c r="N236" s="9"/>
    </row>
    <row r="237" spans="1:14" ht="13.95" customHeight="1">
      <c r="A237" s="1"/>
      <c r="B237" s="1"/>
      <c r="C237" s="55"/>
      <c r="D237" s="35"/>
      <c r="E237" s="3"/>
      <c r="F237" s="4"/>
      <c r="G237" s="5"/>
      <c r="I237" s="9"/>
      <c r="J237" s="9"/>
      <c r="K237" s="9"/>
      <c r="L237" s="103"/>
      <c r="M237" s="108"/>
      <c r="N237" s="9"/>
    </row>
    <row r="238" spans="1:14" ht="13.95" customHeight="1">
      <c r="A238" s="1"/>
      <c r="B238" s="1"/>
      <c r="C238" s="55"/>
      <c r="D238" s="35"/>
      <c r="E238" s="3"/>
      <c r="F238" s="4"/>
      <c r="G238" s="5"/>
      <c r="I238" s="9"/>
      <c r="J238" s="9"/>
      <c r="K238" s="9"/>
      <c r="L238" s="103"/>
      <c r="M238" s="108"/>
      <c r="N238" s="9"/>
    </row>
    <row r="239" spans="1:14" ht="13.95" customHeight="1">
      <c r="A239" s="1"/>
      <c r="B239" s="1"/>
      <c r="C239" s="55"/>
      <c r="D239" s="35"/>
      <c r="E239" s="3"/>
      <c r="F239" s="4"/>
      <c r="G239" s="5"/>
      <c r="I239" s="9"/>
      <c r="J239" s="9"/>
      <c r="K239" s="9"/>
      <c r="L239" s="103"/>
      <c r="M239" s="108"/>
      <c r="N239" s="9"/>
    </row>
    <row r="240" spans="1:14" ht="13.95" customHeight="1">
      <c r="A240" s="1"/>
      <c r="B240" s="1"/>
      <c r="C240" s="55"/>
      <c r="D240" s="35"/>
      <c r="E240" s="3"/>
      <c r="F240" s="4"/>
      <c r="G240" s="5"/>
      <c r="I240" s="9"/>
      <c r="J240" s="9"/>
      <c r="K240" s="9"/>
      <c r="L240" s="103"/>
      <c r="M240" s="108"/>
      <c r="N240" s="9"/>
    </row>
    <row r="241" spans="1:14" ht="13.95" customHeight="1">
      <c r="A241" s="1"/>
      <c r="B241" s="1"/>
      <c r="C241" s="55"/>
      <c r="D241" s="35"/>
      <c r="E241" s="3"/>
      <c r="F241" s="4"/>
      <c r="G241" s="5"/>
      <c r="I241" s="9"/>
      <c r="J241" s="9"/>
      <c r="K241" s="9"/>
      <c r="L241" s="103"/>
      <c r="M241" s="108"/>
      <c r="N241" s="9"/>
    </row>
    <row r="242" spans="1:14" ht="20.100000000000001" customHeight="1">
      <c r="A242" s="149" t="s">
        <v>66</v>
      </c>
      <c r="B242" s="150"/>
      <c r="C242" s="150"/>
      <c r="D242" s="150"/>
      <c r="E242" s="150"/>
      <c r="F242" s="151"/>
      <c r="G242" s="116">
        <f>SUM(G202:G241)</f>
        <v>1123473.3399999999</v>
      </c>
      <c r="I242" s="9"/>
      <c r="J242" s="9"/>
      <c r="K242" s="9"/>
      <c r="L242" s="103"/>
      <c r="M242" s="108"/>
      <c r="N242" s="9"/>
    </row>
    <row r="243" spans="1:14" ht="13.95" customHeight="1">
      <c r="A243" s="39"/>
      <c r="B243" s="39"/>
      <c r="C243" s="39"/>
      <c r="D243" s="39"/>
      <c r="E243" s="39"/>
      <c r="F243" s="39"/>
      <c r="G243" s="113"/>
      <c r="I243" s="9"/>
      <c r="J243" s="9"/>
      <c r="K243" s="9"/>
      <c r="L243" s="103"/>
      <c r="M243" s="108"/>
      <c r="N243" s="9"/>
    </row>
    <row r="244" spans="1:14" ht="13.95" customHeight="1">
      <c r="A244" s="39"/>
      <c r="B244" s="39"/>
      <c r="C244" s="39"/>
      <c r="D244" s="39"/>
      <c r="E244" s="39"/>
      <c r="F244" s="39"/>
      <c r="G244" s="113"/>
      <c r="I244" s="9"/>
      <c r="J244" s="9"/>
      <c r="K244" s="9"/>
      <c r="L244" s="103"/>
      <c r="M244" s="108"/>
      <c r="N244" s="9"/>
    </row>
    <row r="245" spans="1:14" ht="22.2" customHeight="1">
      <c r="A245" s="44" t="s">
        <v>8</v>
      </c>
      <c r="B245" s="48" t="s">
        <v>9</v>
      </c>
      <c r="C245" s="44" t="s">
        <v>10</v>
      </c>
      <c r="D245" s="48" t="s">
        <v>11</v>
      </c>
      <c r="E245" s="48" t="s">
        <v>59</v>
      </c>
      <c r="F245" s="49" t="s">
        <v>12</v>
      </c>
      <c r="G245" s="111" t="s">
        <v>13</v>
      </c>
      <c r="I245" s="9"/>
      <c r="J245" s="9"/>
      <c r="K245" s="9"/>
      <c r="L245" s="103"/>
      <c r="M245" s="108"/>
      <c r="N245" s="9"/>
    </row>
    <row r="246" spans="1:14" ht="20.100000000000001" customHeight="1">
      <c r="A246" s="149" t="s">
        <v>67</v>
      </c>
      <c r="B246" s="150"/>
      <c r="C246" s="150"/>
      <c r="D246" s="150"/>
      <c r="E246" s="150"/>
      <c r="F246" s="151"/>
      <c r="G246" s="116">
        <f>+G242</f>
        <v>1123473.3399999999</v>
      </c>
      <c r="I246" s="9"/>
      <c r="J246" s="9"/>
      <c r="K246" s="9"/>
      <c r="L246" s="103"/>
      <c r="M246" s="108"/>
      <c r="N246" s="9"/>
    </row>
    <row r="247" spans="1:14" ht="13.95" customHeight="1">
      <c r="A247" s="1"/>
      <c r="B247" s="1"/>
      <c r="C247" s="55"/>
      <c r="D247" s="35"/>
      <c r="E247" s="3"/>
      <c r="F247" s="4"/>
      <c r="G247" s="5"/>
      <c r="I247" s="9"/>
      <c r="J247" s="9"/>
      <c r="K247" s="9"/>
      <c r="L247" s="103"/>
      <c r="M247" s="108"/>
      <c r="N247" s="9"/>
    </row>
    <row r="248" spans="1:14" ht="13.95" customHeight="1">
      <c r="A248" s="1"/>
      <c r="B248" s="1"/>
      <c r="C248" s="56" t="s">
        <v>230</v>
      </c>
      <c r="D248" s="9"/>
      <c r="E248" s="9"/>
      <c r="F248" s="122"/>
      <c r="G248" s="5"/>
      <c r="I248" s="9"/>
      <c r="J248" s="9"/>
      <c r="K248" s="9"/>
      <c r="L248" s="103"/>
      <c r="M248" s="108"/>
      <c r="N248" s="9"/>
    </row>
    <row r="249" spans="1:14" ht="13.95" customHeight="1">
      <c r="A249" s="1"/>
      <c r="B249" s="1"/>
      <c r="C249" s="57"/>
      <c r="D249" s="9"/>
      <c r="E249" s="9"/>
      <c r="F249" s="122"/>
      <c r="G249" s="5"/>
      <c r="I249" s="9"/>
      <c r="J249" s="9"/>
      <c r="K249" s="9"/>
      <c r="L249" s="103"/>
      <c r="M249" s="108"/>
      <c r="N249" s="9"/>
    </row>
    <row r="250" spans="1:14" ht="48" customHeight="1">
      <c r="A250" s="1"/>
      <c r="B250" s="1"/>
      <c r="C250" s="33" t="s">
        <v>242</v>
      </c>
      <c r="D250" s="57"/>
      <c r="E250" s="57"/>
      <c r="F250" s="57"/>
      <c r="G250" s="5"/>
      <c r="I250" s="9"/>
      <c r="J250" s="9"/>
      <c r="K250" s="9"/>
      <c r="L250" s="103"/>
      <c r="M250" s="108"/>
      <c r="N250" s="9"/>
    </row>
    <row r="251" spans="1:14" ht="13.95" customHeight="1">
      <c r="A251" s="1"/>
      <c r="B251" s="1"/>
      <c r="C251" s="33"/>
      <c r="D251" s="9"/>
      <c r="E251" s="9"/>
      <c r="F251" s="122"/>
      <c r="G251" s="5"/>
      <c r="I251" s="9"/>
      <c r="J251" s="9"/>
      <c r="K251" s="9"/>
      <c r="L251" s="103"/>
      <c r="M251" s="108"/>
      <c r="N251" s="9"/>
    </row>
    <row r="252" spans="1:14" ht="25.95" customHeight="1">
      <c r="A252" s="1"/>
      <c r="B252" s="1"/>
      <c r="C252" s="33" t="s">
        <v>232</v>
      </c>
      <c r="D252" s="9"/>
      <c r="E252" s="9"/>
      <c r="F252" s="122"/>
      <c r="G252" s="5"/>
      <c r="I252" s="9"/>
      <c r="J252" s="9"/>
      <c r="K252" s="9"/>
      <c r="L252" s="103"/>
      <c r="M252" s="108"/>
      <c r="N252" s="9"/>
    </row>
    <row r="253" spans="1:14" ht="13.95" customHeight="1">
      <c r="A253" s="1"/>
      <c r="B253" s="1"/>
      <c r="C253" s="33"/>
      <c r="D253" s="9"/>
      <c r="E253" s="9"/>
      <c r="F253" s="122"/>
      <c r="G253" s="5"/>
      <c r="I253" s="9"/>
      <c r="J253" s="9"/>
      <c r="K253" s="9"/>
      <c r="L253" s="103"/>
      <c r="M253" s="108"/>
      <c r="N253" s="9"/>
    </row>
    <row r="254" spans="1:14" ht="38.4" customHeight="1">
      <c r="A254" s="1">
        <f>A230+1</f>
        <v>42</v>
      </c>
      <c r="B254" s="1"/>
      <c r="C254" s="33" t="s">
        <v>233</v>
      </c>
      <c r="D254" s="9" t="s">
        <v>1</v>
      </c>
      <c r="E254" s="3">
        <f>SUM(I254:N254)</f>
        <v>4</v>
      </c>
      <c r="F254" s="144">
        <v>775</v>
      </c>
      <c r="G254" s="5">
        <f t="shared" ref="G254" si="52">+E254*F254</f>
        <v>3100</v>
      </c>
      <c r="I254" s="9"/>
      <c r="J254" s="9"/>
      <c r="K254" s="9"/>
      <c r="L254" s="103">
        <v>4</v>
      </c>
      <c r="M254" s="108"/>
      <c r="N254" s="9"/>
    </row>
    <row r="255" spans="1:14" ht="13.95" customHeight="1">
      <c r="A255" s="1"/>
      <c r="B255" s="1"/>
      <c r="C255" s="33"/>
      <c r="D255" s="9"/>
      <c r="E255" s="9"/>
      <c r="F255" s="144"/>
      <c r="G255" s="5"/>
      <c r="I255" s="9"/>
      <c r="J255" s="9"/>
      <c r="K255" s="9"/>
      <c r="L255" s="103"/>
      <c r="M255" s="108"/>
      <c r="N255" s="9"/>
    </row>
    <row r="256" spans="1:14" ht="25.95" customHeight="1">
      <c r="A256" s="1">
        <f>A254+1</f>
        <v>43</v>
      </c>
      <c r="B256" s="1"/>
      <c r="C256" s="33" t="s">
        <v>228</v>
      </c>
      <c r="D256" s="9" t="s">
        <v>6</v>
      </c>
      <c r="E256" s="3">
        <f>SUM(I256:N256)</f>
        <v>0</v>
      </c>
      <c r="F256" s="144">
        <v>275</v>
      </c>
      <c r="G256" s="5">
        <f t="shared" ref="G256" si="53">+E256*F256</f>
        <v>0</v>
      </c>
      <c r="I256" s="9"/>
      <c r="J256" s="9"/>
      <c r="K256" s="9"/>
      <c r="L256" s="103"/>
      <c r="M256" s="108"/>
      <c r="N256" s="9"/>
    </row>
    <row r="257" spans="1:14" ht="13.95" customHeight="1">
      <c r="A257" s="1"/>
      <c r="B257" s="1"/>
      <c r="C257" s="33"/>
      <c r="D257" s="9"/>
      <c r="E257" s="9"/>
      <c r="F257" s="144"/>
      <c r="G257" s="5"/>
      <c r="I257" s="9"/>
      <c r="J257" s="9"/>
      <c r="K257" s="9"/>
      <c r="L257" s="103"/>
      <c r="M257" s="108"/>
      <c r="N257" s="9"/>
    </row>
    <row r="258" spans="1:14" ht="13.95" customHeight="1">
      <c r="A258" s="1">
        <f>A256+1</f>
        <v>44</v>
      </c>
      <c r="B258" s="1"/>
      <c r="C258" s="33" t="s">
        <v>229</v>
      </c>
      <c r="D258" s="9" t="s">
        <v>6</v>
      </c>
      <c r="E258" s="3">
        <f>SUM(I258:N258)</f>
        <v>0</v>
      </c>
      <c r="F258" s="144">
        <v>650</v>
      </c>
      <c r="G258" s="5">
        <f t="shared" ref="G258" si="54">+E258*F258</f>
        <v>0</v>
      </c>
      <c r="I258" s="9"/>
      <c r="J258" s="9"/>
      <c r="K258" s="9"/>
      <c r="L258" s="103"/>
      <c r="M258" s="108"/>
      <c r="N258" s="9"/>
    </row>
    <row r="259" spans="1:14" ht="13.95" customHeight="1">
      <c r="A259" s="1"/>
      <c r="B259" s="1"/>
      <c r="C259" s="17"/>
      <c r="D259" s="35"/>
      <c r="E259" s="3"/>
      <c r="F259" s="14"/>
      <c r="G259" s="5"/>
      <c r="I259" s="9"/>
      <c r="J259" s="9"/>
      <c r="K259" s="9"/>
      <c r="L259" s="103"/>
      <c r="M259" s="108"/>
      <c r="N259" s="9"/>
    </row>
    <row r="260" spans="1:14">
      <c r="A260" s="16">
        <f>+A258+1</f>
        <v>45</v>
      </c>
      <c r="B260" s="16"/>
      <c r="C260" s="47" t="s">
        <v>241</v>
      </c>
      <c r="D260" s="58" t="s">
        <v>1</v>
      </c>
      <c r="E260" s="3">
        <f>SUM(I260:N260)</f>
        <v>0</v>
      </c>
      <c r="F260" s="13">
        <v>425</v>
      </c>
      <c r="G260" s="15">
        <f t="shared" ref="G260" si="55">+E260*F260</f>
        <v>0</v>
      </c>
      <c r="I260" s="9"/>
      <c r="J260" s="9"/>
      <c r="K260" s="9"/>
      <c r="L260" s="103"/>
      <c r="M260" s="108"/>
      <c r="N260" s="9"/>
    </row>
    <row r="261" spans="1:14" ht="13.95" customHeight="1">
      <c r="A261" s="1"/>
      <c r="B261" s="1"/>
      <c r="C261" s="17"/>
      <c r="D261" s="35"/>
      <c r="E261" s="3"/>
      <c r="F261" s="4"/>
      <c r="G261" s="5"/>
      <c r="I261" s="9"/>
      <c r="J261" s="9"/>
      <c r="K261" s="9"/>
      <c r="L261" s="103"/>
      <c r="M261" s="108"/>
      <c r="N261" s="9"/>
    </row>
    <row r="262" spans="1:14" ht="22.2" customHeight="1">
      <c r="A262" s="1"/>
      <c r="B262" s="51" t="s">
        <v>105</v>
      </c>
      <c r="C262" s="11" t="s">
        <v>204</v>
      </c>
      <c r="D262" s="40"/>
      <c r="E262" s="3"/>
      <c r="F262" s="4"/>
      <c r="G262" s="5"/>
      <c r="I262" s="9"/>
      <c r="J262" s="9"/>
      <c r="K262" s="9"/>
      <c r="L262" s="103"/>
      <c r="M262" s="108"/>
      <c r="N262" s="9"/>
    </row>
    <row r="263" spans="1:14" ht="13.95" customHeight="1">
      <c r="A263" s="1"/>
      <c r="B263" s="51"/>
      <c r="C263" s="6"/>
      <c r="D263" s="9"/>
      <c r="E263" s="3"/>
      <c r="F263" s="4"/>
      <c r="G263" s="5"/>
      <c r="I263" s="9"/>
      <c r="J263" s="9"/>
      <c r="K263" s="9"/>
      <c r="L263" s="103"/>
      <c r="M263" s="108"/>
      <c r="N263" s="9"/>
    </row>
    <row r="264" spans="1:14" ht="13.95" customHeight="1">
      <c r="A264" s="1"/>
      <c r="B264" s="51" t="s">
        <v>92</v>
      </c>
      <c r="C264" s="52" t="s">
        <v>205</v>
      </c>
      <c r="D264" s="9"/>
      <c r="E264" s="3"/>
      <c r="F264" s="4"/>
      <c r="G264" s="5"/>
      <c r="I264" s="9"/>
      <c r="J264" s="9"/>
      <c r="K264" s="9"/>
      <c r="L264" s="103"/>
      <c r="M264" s="108"/>
      <c r="N264" s="9"/>
    </row>
    <row r="265" spans="1:14" ht="13.95" customHeight="1">
      <c r="A265" s="1"/>
      <c r="B265" s="51"/>
      <c r="C265" s="6"/>
      <c r="D265" s="9"/>
      <c r="E265" s="3"/>
      <c r="F265" s="4"/>
      <c r="G265" s="5"/>
      <c r="I265" s="9"/>
      <c r="J265" s="9"/>
      <c r="K265" s="9"/>
      <c r="L265" s="103"/>
      <c r="M265" s="108"/>
      <c r="N265" s="9"/>
    </row>
    <row r="266" spans="1:14" ht="24" customHeight="1">
      <c r="A266" s="1"/>
      <c r="B266" s="51" t="s">
        <v>206</v>
      </c>
      <c r="C266" s="21" t="s">
        <v>207</v>
      </c>
      <c r="D266" s="9"/>
      <c r="E266" s="3"/>
      <c r="F266" s="4"/>
      <c r="G266" s="5"/>
      <c r="I266" s="9"/>
      <c r="J266" s="9"/>
      <c r="K266" s="9"/>
      <c r="L266" s="103"/>
      <c r="M266" s="108"/>
      <c r="N266" s="9"/>
    </row>
    <row r="267" spans="1:14" ht="13.95" customHeight="1">
      <c r="A267" s="1"/>
      <c r="B267" s="51"/>
      <c r="C267" s="6"/>
      <c r="D267" s="9"/>
      <c r="E267" s="3"/>
      <c r="F267" s="4"/>
      <c r="G267" s="5"/>
      <c r="I267" s="9"/>
      <c r="J267" s="9"/>
      <c r="K267" s="9"/>
      <c r="L267" s="103"/>
      <c r="M267" s="108"/>
      <c r="N267" s="9"/>
    </row>
    <row r="268" spans="1:14" ht="13.95" customHeight="1">
      <c r="A268" s="1">
        <f>A260+1</f>
        <v>46</v>
      </c>
      <c r="B268" s="51" t="s">
        <v>208</v>
      </c>
      <c r="C268" s="6" t="s">
        <v>21</v>
      </c>
      <c r="D268" s="9" t="s">
        <v>1</v>
      </c>
      <c r="E268" s="3">
        <f>SUM(I268:N268)</f>
        <v>0</v>
      </c>
      <c r="F268" s="13">
        <v>1950</v>
      </c>
      <c r="G268" s="5">
        <f t="shared" ref="G268" si="56">+E268*F268</f>
        <v>0</v>
      </c>
      <c r="I268" s="9"/>
      <c r="J268" s="9"/>
      <c r="K268" s="9"/>
      <c r="L268" s="103"/>
      <c r="M268" s="108"/>
      <c r="N268" s="9"/>
    </row>
    <row r="269" spans="1:14" ht="13.95" customHeight="1">
      <c r="A269" s="1"/>
      <c r="B269" s="51"/>
      <c r="C269" s="6"/>
      <c r="D269" s="9"/>
      <c r="E269" s="3"/>
      <c r="F269" s="13"/>
      <c r="G269" s="5"/>
      <c r="I269" s="9"/>
      <c r="J269" s="9"/>
      <c r="K269" s="9"/>
      <c r="L269" s="103"/>
      <c r="M269" s="108"/>
      <c r="N269" s="9"/>
    </row>
    <row r="270" spans="1:14" ht="12.6" customHeight="1">
      <c r="A270" s="1">
        <f>A268+1</f>
        <v>47</v>
      </c>
      <c r="B270" s="51" t="s">
        <v>209</v>
      </c>
      <c r="C270" s="18" t="s">
        <v>210</v>
      </c>
      <c r="D270" s="9" t="s">
        <v>6</v>
      </c>
      <c r="E270" s="3">
        <f>SUM(I270:N270)</f>
        <v>0</v>
      </c>
      <c r="F270" s="13">
        <v>350</v>
      </c>
      <c r="G270" s="5">
        <f t="shared" ref="G270" si="57">+E270*F270</f>
        <v>0</v>
      </c>
      <c r="I270" s="9"/>
      <c r="J270" s="9"/>
      <c r="K270" s="9"/>
      <c r="L270" s="103"/>
      <c r="M270" s="108"/>
      <c r="N270" s="9"/>
    </row>
    <row r="271" spans="1:14" ht="12.6" customHeight="1">
      <c r="A271" s="1"/>
      <c r="B271" s="1"/>
      <c r="C271" s="33"/>
      <c r="D271" s="35"/>
      <c r="E271" s="3"/>
      <c r="F271" s="13"/>
      <c r="G271" s="5"/>
      <c r="I271" s="9"/>
      <c r="J271" s="9"/>
      <c r="K271" s="9"/>
      <c r="L271" s="103"/>
      <c r="M271" s="108"/>
      <c r="N271" s="9"/>
    </row>
    <row r="272" spans="1:14" ht="12.6" customHeight="1">
      <c r="A272" s="1"/>
      <c r="B272" s="1"/>
      <c r="C272" s="123" t="s">
        <v>236</v>
      </c>
      <c r="D272" s="35"/>
      <c r="E272" s="3"/>
      <c r="F272" s="13"/>
      <c r="G272" s="5"/>
      <c r="I272" s="9"/>
      <c r="J272" s="9"/>
      <c r="K272" s="9"/>
      <c r="L272" s="103"/>
      <c r="M272" s="108"/>
      <c r="N272" s="9"/>
    </row>
    <row r="273" spans="1:14" ht="12.6" customHeight="1">
      <c r="A273" s="1"/>
      <c r="B273" s="1"/>
      <c r="C273" s="6"/>
      <c r="D273" s="35"/>
      <c r="E273" s="3"/>
      <c r="F273" s="13"/>
      <c r="G273" s="5"/>
      <c r="I273" s="9"/>
      <c r="J273" s="9"/>
      <c r="K273" s="9"/>
      <c r="L273" s="103"/>
      <c r="M273" s="108"/>
      <c r="N273" s="9"/>
    </row>
    <row r="274" spans="1:14" ht="12.6" customHeight="1">
      <c r="A274" s="1"/>
      <c r="B274" s="1"/>
      <c r="C274" s="124" t="s">
        <v>234</v>
      </c>
      <c r="D274" s="35"/>
      <c r="E274" s="3"/>
      <c r="F274" s="13"/>
      <c r="G274" s="5"/>
      <c r="I274" s="9"/>
      <c r="J274" s="9"/>
      <c r="K274" s="9"/>
      <c r="L274" s="103"/>
      <c r="M274" s="108"/>
      <c r="N274" s="9"/>
    </row>
    <row r="275" spans="1:14" ht="12.6" customHeight="1">
      <c r="A275" s="1"/>
      <c r="B275" s="1"/>
      <c r="C275" s="33"/>
      <c r="D275" s="35"/>
      <c r="E275" s="3"/>
      <c r="F275" s="13"/>
      <c r="G275" s="5"/>
      <c r="I275" s="9"/>
      <c r="J275" s="9"/>
      <c r="K275" s="9"/>
      <c r="L275" s="103"/>
      <c r="M275" s="108"/>
      <c r="N275" s="9"/>
    </row>
    <row r="276" spans="1:14" ht="38.4" customHeight="1">
      <c r="A276" s="1">
        <f>A270+1</f>
        <v>48</v>
      </c>
      <c r="B276" s="1"/>
      <c r="C276" s="125" t="s">
        <v>235</v>
      </c>
      <c r="D276" s="1" t="s">
        <v>60</v>
      </c>
      <c r="E276" s="3">
        <f>SUM(I276:N276)</f>
        <v>1</v>
      </c>
      <c r="F276" s="13">
        <v>3750</v>
      </c>
      <c r="G276" s="5">
        <f t="shared" ref="G276" si="58">+E276*F276</f>
        <v>3750</v>
      </c>
      <c r="I276" s="9"/>
      <c r="J276" s="9"/>
      <c r="K276" s="9"/>
      <c r="L276" s="103">
        <v>1</v>
      </c>
      <c r="M276" s="108"/>
      <c r="N276" s="9"/>
    </row>
    <row r="277" spans="1:14" ht="12.6" customHeight="1">
      <c r="A277" s="1"/>
      <c r="B277" s="1"/>
      <c r="C277" s="33"/>
      <c r="D277" s="35"/>
      <c r="E277" s="3"/>
      <c r="F277" s="13"/>
      <c r="G277" s="5"/>
      <c r="I277" s="9"/>
      <c r="J277" s="9"/>
      <c r="K277" s="9"/>
      <c r="L277" s="103"/>
      <c r="M277" s="108"/>
      <c r="N277" s="9"/>
    </row>
    <row r="278" spans="1:14" ht="13.95" customHeight="1">
      <c r="A278" s="1"/>
      <c r="B278" s="1"/>
      <c r="C278" s="34" t="s">
        <v>212</v>
      </c>
      <c r="D278" s="1" t="s">
        <v>64</v>
      </c>
      <c r="E278" s="3"/>
      <c r="F278" s="14"/>
      <c r="G278" s="5"/>
      <c r="I278" s="9"/>
      <c r="J278" s="9"/>
      <c r="K278" s="9"/>
      <c r="L278" s="103"/>
      <c r="M278" s="108"/>
      <c r="N278" s="9"/>
    </row>
    <row r="279" spans="1:14" ht="13.95" customHeight="1">
      <c r="A279" s="1"/>
      <c r="B279" s="1"/>
      <c r="C279" s="33" t="s">
        <v>64</v>
      </c>
      <c r="D279" s="1" t="s">
        <v>64</v>
      </c>
      <c r="E279" s="3"/>
      <c r="F279" s="4"/>
      <c r="G279" s="5"/>
      <c r="I279" s="9"/>
      <c r="J279" s="9"/>
      <c r="K279" s="9"/>
      <c r="L279" s="103"/>
      <c r="M279" s="108"/>
      <c r="N279" s="9"/>
    </row>
    <row r="280" spans="1:14" ht="22.2" customHeight="1">
      <c r="A280" s="1">
        <f>A276+1</f>
        <v>49</v>
      </c>
      <c r="B280" s="1"/>
      <c r="C280" s="33" t="s">
        <v>217</v>
      </c>
      <c r="D280" s="1" t="s">
        <v>60</v>
      </c>
      <c r="E280" s="3">
        <f>SUM(I280:N280)</f>
        <v>256</v>
      </c>
      <c r="F280" s="3">
        <v>885</v>
      </c>
      <c r="G280" s="5">
        <f t="shared" ref="G280" si="59">+E280*F280</f>
        <v>226560</v>
      </c>
      <c r="I280" s="9">
        <v>154</v>
      </c>
      <c r="J280" s="9">
        <v>102</v>
      </c>
      <c r="K280" s="9"/>
      <c r="L280" s="103"/>
      <c r="M280" s="108"/>
      <c r="N280" s="9"/>
    </row>
    <row r="281" spans="1:14">
      <c r="A281" s="1"/>
      <c r="B281" s="1"/>
      <c r="C281" s="33"/>
      <c r="D281" s="35"/>
      <c r="E281" s="3"/>
      <c r="F281" s="3"/>
      <c r="G281" s="5"/>
      <c r="I281" s="9"/>
      <c r="J281" s="9"/>
      <c r="K281" s="9"/>
      <c r="L281" s="103"/>
      <c r="M281" s="108"/>
      <c r="N281" s="9"/>
    </row>
    <row r="282" spans="1:14" ht="13.95" customHeight="1">
      <c r="A282" s="1"/>
      <c r="B282" s="1"/>
      <c r="C282" s="33"/>
      <c r="D282" s="35"/>
      <c r="E282" s="3"/>
      <c r="F282" s="4"/>
      <c r="G282" s="5"/>
      <c r="I282" s="9"/>
      <c r="J282" s="9"/>
      <c r="K282" s="9"/>
      <c r="L282" s="103"/>
      <c r="M282" s="108"/>
      <c r="N282" s="9"/>
    </row>
    <row r="283" spans="1:14" ht="13.95" customHeight="1">
      <c r="A283" s="1"/>
      <c r="B283" s="1"/>
      <c r="C283" s="33"/>
      <c r="D283" s="35"/>
      <c r="E283" s="3"/>
      <c r="F283" s="4"/>
      <c r="G283" s="5"/>
      <c r="I283" s="9"/>
      <c r="J283" s="9"/>
      <c r="K283" s="9"/>
      <c r="L283" s="103"/>
      <c r="M283" s="108"/>
      <c r="N283" s="9"/>
    </row>
    <row r="284" spans="1:14" ht="13.95" customHeight="1">
      <c r="A284" s="1"/>
      <c r="B284" s="1"/>
      <c r="C284" s="33"/>
      <c r="D284" s="35"/>
      <c r="E284" s="3"/>
      <c r="F284" s="4"/>
      <c r="G284" s="5"/>
      <c r="I284" s="9"/>
      <c r="J284" s="9"/>
      <c r="K284" s="9"/>
      <c r="L284" s="103"/>
      <c r="M284" s="108"/>
      <c r="N284" s="9"/>
    </row>
    <row r="285" spans="1:14" ht="20.100000000000001" customHeight="1">
      <c r="A285" s="149" t="s">
        <v>66</v>
      </c>
      <c r="B285" s="150"/>
      <c r="C285" s="150"/>
      <c r="D285" s="150"/>
      <c r="E285" s="150"/>
      <c r="F285" s="151"/>
      <c r="G285" s="116">
        <f>SUM(G246:G284)</f>
        <v>1356883.3399999999</v>
      </c>
      <c r="I285" s="9"/>
      <c r="J285" s="9"/>
      <c r="K285" s="9"/>
      <c r="L285" s="103"/>
      <c r="M285" s="108"/>
      <c r="N285" s="9"/>
    </row>
    <row r="286" spans="1:14" ht="13.95" customHeight="1">
      <c r="A286" s="39"/>
      <c r="B286" s="39"/>
      <c r="C286" s="39"/>
      <c r="D286" s="39"/>
      <c r="E286" s="39"/>
      <c r="F286" s="39"/>
      <c r="G286" s="113"/>
      <c r="I286" s="9"/>
      <c r="J286" s="9"/>
      <c r="K286" s="9"/>
      <c r="L286" s="103"/>
      <c r="M286" s="108"/>
      <c r="N286" s="9"/>
    </row>
    <row r="287" spans="1:14" ht="13.95" customHeight="1">
      <c r="A287" s="39"/>
      <c r="B287" s="39"/>
      <c r="C287" s="39"/>
      <c r="D287" s="39"/>
      <c r="E287" s="39"/>
      <c r="F287" s="39"/>
      <c r="G287" s="113"/>
      <c r="I287" s="9"/>
      <c r="J287" s="9"/>
      <c r="K287" s="9"/>
      <c r="L287" s="103"/>
      <c r="M287" s="108"/>
      <c r="N287" s="9"/>
    </row>
    <row r="288" spans="1:14" ht="22.2" customHeight="1">
      <c r="A288" s="44" t="s">
        <v>8</v>
      </c>
      <c r="B288" s="48" t="s">
        <v>9</v>
      </c>
      <c r="C288" s="44" t="s">
        <v>10</v>
      </c>
      <c r="D288" s="48" t="s">
        <v>11</v>
      </c>
      <c r="E288" s="48" t="s">
        <v>59</v>
      </c>
      <c r="F288" s="49" t="s">
        <v>12</v>
      </c>
      <c r="G288" s="111" t="s">
        <v>13</v>
      </c>
      <c r="I288" s="9"/>
      <c r="J288" s="9"/>
      <c r="K288" s="9"/>
      <c r="L288" s="103"/>
      <c r="M288" s="108"/>
      <c r="N288" s="9"/>
    </row>
    <row r="289" spans="1:14" ht="20.100000000000001" customHeight="1">
      <c r="A289" s="149" t="s">
        <v>67</v>
      </c>
      <c r="B289" s="150"/>
      <c r="C289" s="150"/>
      <c r="D289" s="150"/>
      <c r="E289" s="150"/>
      <c r="F289" s="151"/>
      <c r="G289" s="116">
        <f>+G285</f>
        <v>1356883.3399999999</v>
      </c>
      <c r="I289" s="9"/>
      <c r="J289" s="9"/>
      <c r="K289" s="9"/>
      <c r="L289" s="103"/>
      <c r="M289" s="108"/>
      <c r="N289" s="9"/>
    </row>
    <row r="290" spans="1:14" ht="13.95" customHeight="1">
      <c r="A290" s="1"/>
      <c r="B290" s="1"/>
      <c r="C290" s="33"/>
      <c r="D290" s="35"/>
      <c r="E290" s="3"/>
      <c r="F290" s="4"/>
      <c r="G290" s="5"/>
      <c r="I290" s="9"/>
      <c r="J290" s="9"/>
      <c r="K290" s="9"/>
      <c r="L290" s="103"/>
      <c r="M290" s="108"/>
      <c r="N290" s="9"/>
    </row>
    <row r="291" spans="1:14" ht="13.95" customHeight="1">
      <c r="A291" s="16"/>
      <c r="B291" s="76" t="s">
        <v>167</v>
      </c>
      <c r="C291" s="74" t="s">
        <v>168</v>
      </c>
      <c r="D291" s="93"/>
      <c r="E291" s="94"/>
      <c r="F291" s="14"/>
      <c r="G291" s="15"/>
      <c r="I291" s="9"/>
      <c r="J291" s="9"/>
      <c r="K291" s="9"/>
      <c r="L291" s="103"/>
      <c r="M291" s="108"/>
      <c r="N291" s="9"/>
    </row>
    <row r="292" spans="1:14" ht="13.95" customHeight="1">
      <c r="A292" s="16"/>
      <c r="B292" s="12"/>
      <c r="C292" s="75"/>
      <c r="D292" s="93"/>
      <c r="E292" s="94"/>
      <c r="F292" s="14"/>
      <c r="G292" s="15"/>
      <c r="I292" s="9"/>
      <c r="J292" s="9"/>
      <c r="K292" s="9"/>
      <c r="L292" s="103"/>
      <c r="M292" s="108"/>
      <c r="N292" s="9"/>
    </row>
    <row r="293" spans="1:14" ht="13.95" customHeight="1">
      <c r="A293" s="16"/>
      <c r="B293" s="12" t="s">
        <v>193</v>
      </c>
      <c r="C293" s="70" t="s">
        <v>164</v>
      </c>
      <c r="D293" s="12"/>
      <c r="E293" s="94"/>
      <c r="F293" s="14"/>
      <c r="G293" s="15"/>
      <c r="I293" s="9"/>
      <c r="J293" s="9"/>
      <c r="K293" s="9"/>
      <c r="L293" s="103"/>
      <c r="M293" s="108"/>
      <c r="N293" s="9"/>
    </row>
    <row r="294" spans="1:14" ht="13.95" customHeight="1">
      <c r="A294" s="16"/>
      <c r="B294" s="73"/>
      <c r="C294" s="62"/>
      <c r="D294" s="12"/>
      <c r="E294" s="94"/>
      <c r="F294" s="14"/>
      <c r="G294" s="15"/>
      <c r="I294" s="9"/>
      <c r="J294" s="9"/>
      <c r="K294" s="9"/>
      <c r="L294" s="103"/>
      <c r="M294" s="108"/>
      <c r="N294" s="9"/>
    </row>
    <row r="295" spans="1:14" ht="13.95" customHeight="1">
      <c r="A295" s="16">
        <v>50</v>
      </c>
      <c r="B295" s="73"/>
      <c r="C295" s="75" t="s">
        <v>112</v>
      </c>
      <c r="D295" s="12" t="s">
        <v>60</v>
      </c>
      <c r="E295" s="3">
        <f>SUM(I295:N295)</f>
        <v>0</v>
      </c>
      <c r="F295" s="13">
        <v>890</v>
      </c>
      <c r="G295" s="15">
        <f>+E295*F295</f>
        <v>0</v>
      </c>
      <c r="I295" s="9"/>
      <c r="J295" s="9"/>
      <c r="K295" s="9"/>
      <c r="L295" s="103"/>
      <c r="M295" s="108"/>
      <c r="N295" s="9"/>
    </row>
    <row r="296" spans="1:14" ht="13.95" customHeight="1">
      <c r="A296" s="16"/>
      <c r="B296" s="73"/>
      <c r="C296" s="62"/>
      <c r="D296" s="12"/>
      <c r="E296" s="94"/>
      <c r="F296" s="14"/>
      <c r="G296" s="15"/>
      <c r="I296" s="9"/>
      <c r="J296" s="9"/>
      <c r="K296" s="9"/>
      <c r="L296" s="103"/>
      <c r="M296" s="108"/>
      <c r="N296" s="9"/>
    </row>
    <row r="297" spans="1:14" ht="13.95" customHeight="1">
      <c r="A297" s="16"/>
      <c r="B297" s="12" t="s">
        <v>195</v>
      </c>
      <c r="C297" s="70" t="s">
        <v>194</v>
      </c>
      <c r="D297" s="12"/>
      <c r="E297" s="94"/>
      <c r="F297" s="14"/>
      <c r="G297" s="15"/>
      <c r="I297" s="9"/>
      <c r="J297" s="9"/>
      <c r="K297" s="9"/>
      <c r="L297" s="103"/>
      <c r="M297" s="108"/>
      <c r="N297" s="9"/>
    </row>
    <row r="298" spans="1:14" ht="13.95" customHeight="1">
      <c r="A298" s="16"/>
      <c r="B298" s="73"/>
      <c r="C298" s="62"/>
      <c r="D298" s="12"/>
      <c r="E298" s="94"/>
      <c r="F298" s="14"/>
      <c r="G298" s="15"/>
      <c r="I298" s="9"/>
      <c r="J298" s="9"/>
      <c r="K298" s="9"/>
      <c r="L298" s="103"/>
      <c r="M298" s="108"/>
      <c r="N298" s="9"/>
    </row>
    <row r="299" spans="1:14" ht="13.95" customHeight="1">
      <c r="A299" s="16">
        <v>51</v>
      </c>
      <c r="B299" s="73"/>
      <c r="C299" s="75" t="s">
        <v>165</v>
      </c>
      <c r="D299" s="12" t="s">
        <v>60</v>
      </c>
      <c r="E299" s="3">
        <f>SUM(I299:N299)</f>
        <v>0</v>
      </c>
      <c r="F299" s="14">
        <v>325</v>
      </c>
      <c r="G299" s="15">
        <f t="shared" ref="G299" si="60">+E299*F299</f>
        <v>0</v>
      </c>
      <c r="I299" s="9"/>
      <c r="J299" s="9"/>
      <c r="K299" s="9"/>
      <c r="L299" s="103"/>
      <c r="M299" s="108"/>
      <c r="N299" s="9"/>
    </row>
    <row r="300" spans="1:14" ht="13.95" customHeight="1">
      <c r="A300" s="16"/>
      <c r="B300" s="12"/>
      <c r="C300" s="75"/>
      <c r="D300" s="93"/>
      <c r="E300" s="94"/>
      <c r="F300" s="14"/>
      <c r="G300" s="15"/>
      <c r="I300" s="9"/>
      <c r="J300" s="9"/>
      <c r="K300" s="9"/>
      <c r="L300" s="103"/>
      <c r="M300" s="108"/>
      <c r="N300" s="9"/>
    </row>
    <row r="301" spans="1:14" ht="24">
      <c r="A301" s="16"/>
      <c r="B301" s="76" t="s">
        <v>169</v>
      </c>
      <c r="C301" s="46" t="s">
        <v>216</v>
      </c>
      <c r="D301" s="12"/>
      <c r="E301" s="12"/>
      <c r="F301" s="145"/>
      <c r="G301" s="15"/>
      <c r="I301" s="9"/>
      <c r="J301" s="9"/>
      <c r="K301" s="9"/>
      <c r="L301" s="103"/>
      <c r="M301" s="108"/>
      <c r="N301" s="9"/>
    </row>
    <row r="302" spans="1:14" ht="13.95" customHeight="1">
      <c r="A302" s="16"/>
      <c r="B302" s="76"/>
      <c r="C302" s="75"/>
      <c r="D302" s="12"/>
      <c r="E302" s="12"/>
      <c r="F302" s="145"/>
      <c r="G302" s="15"/>
      <c r="I302" s="9"/>
      <c r="J302" s="9"/>
      <c r="K302" s="9"/>
      <c r="L302" s="103"/>
      <c r="M302" s="108"/>
      <c r="N302" s="9"/>
    </row>
    <row r="303" spans="1:14" ht="13.95" customHeight="1">
      <c r="A303" s="16"/>
      <c r="B303" s="76" t="s">
        <v>169</v>
      </c>
      <c r="C303" s="75" t="s">
        <v>170</v>
      </c>
      <c r="D303" s="12"/>
      <c r="E303" s="12"/>
      <c r="F303" s="145"/>
      <c r="G303" s="15"/>
      <c r="I303" s="9"/>
      <c r="J303" s="9"/>
      <c r="K303" s="9"/>
      <c r="L303" s="103"/>
      <c r="M303" s="108"/>
      <c r="N303" s="9"/>
    </row>
    <row r="304" spans="1:14" ht="13.95" customHeight="1">
      <c r="A304" s="16"/>
      <c r="B304" s="76"/>
      <c r="C304" s="75"/>
      <c r="D304" s="12"/>
      <c r="E304" s="12"/>
      <c r="F304" s="145"/>
      <c r="G304" s="15"/>
      <c r="I304" s="9"/>
      <c r="J304" s="9"/>
      <c r="K304" s="9"/>
      <c r="L304" s="103"/>
      <c r="M304" s="108"/>
      <c r="N304" s="9"/>
    </row>
    <row r="305" spans="1:15" ht="13.95" customHeight="1">
      <c r="A305" s="16">
        <v>52</v>
      </c>
      <c r="B305" s="76" t="s">
        <v>171</v>
      </c>
      <c r="C305" s="75" t="s">
        <v>172</v>
      </c>
      <c r="D305" s="12" t="s">
        <v>60</v>
      </c>
      <c r="E305" s="3">
        <f>SUM(I305:N305)</f>
        <v>0</v>
      </c>
      <c r="F305" s="94">
        <v>275</v>
      </c>
      <c r="G305" s="15">
        <f t="shared" ref="G305:G313" si="61">+E305*F305</f>
        <v>0</v>
      </c>
      <c r="I305" s="9"/>
      <c r="J305" s="9"/>
      <c r="K305" s="9"/>
      <c r="L305" s="103"/>
      <c r="M305" s="108"/>
      <c r="N305" s="9"/>
    </row>
    <row r="306" spans="1:15" ht="13.95" customHeight="1">
      <c r="A306" s="16"/>
      <c r="B306" s="12"/>
      <c r="C306" s="75"/>
      <c r="D306" s="93"/>
      <c r="E306" s="94"/>
      <c r="F306" s="14"/>
      <c r="G306" s="15"/>
      <c r="I306" s="9"/>
      <c r="J306" s="9"/>
      <c r="K306" s="9"/>
      <c r="L306" s="103"/>
      <c r="M306" s="108"/>
      <c r="N306" s="9"/>
    </row>
    <row r="307" spans="1:15" ht="13.95" customHeight="1">
      <c r="A307" s="16"/>
      <c r="B307" s="12" t="s">
        <v>102</v>
      </c>
      <c r="C307" s="74" t="s">
        <v>166</v>
      </c>
      <c r="D307" s="12"/>
      <c r="E307" s="94"/>
      <c r="F307" s="14"/>
      <c r="G307" s="15"/>
      <c r="I307" s="9"/>
      <c r="J307" s="9"/>
      <c r="K307" s="9"/>
      <c r="L307" s="103"/>
      <c r="M307" s="108"/>
      <c r="N307" s="9"/>
    </row>
    <row r="308" spans="1:15" ht="13.95" customHeight="1">
      <c r="A308" s="16"/>
      <c r="B308" s="12"/>
      <c r="C308" s="95"/>
      <c r="D308" s="12"/>
      <c r="E308" s="94"/>
      <c r="F308" s="14"/>
      <c r="G308" s="15"/>
      <c r="I308" s="9"/>
      <c r="J308" s="9"/>
      <c r="K308" s="103"/>
      <c r="L308" s="103"/>
      <c r="M308" s="108"/>
      <c r="N308" s="9"/>
    </row>
    <row r="309" spans="1:15" ht="13.95" customHeight="1">
      <c r="A309" s="16"/>
      <c r="B309" s="12"/>
      <c r="C309" s="75" t="s">
        <v>78</v>
      </c>
      <c r="D309" s="12"/>
      <c r="E309" s="94"/>
      <c r="F309" s="14"/>
      <c r="G309" s="15"/>
      <c r="I309" s="103"/>
      <c r="J309" s="103"/>
      <c r="K309" s="103"/>
      <c r="L309" s="103"/>
      <c r="M309" s="134"/>
      <c r="N309" s="9"/>
    </row>
    <row r="310" spans="1:15" ht="13.95" customHeight="1">
      <c r="A310" s="16"/>
      <c r="B310" s="12"/>
      <c r="C310" s="75"/>
      <c r="D310" s="12"/>
      <c r="E310" s="94"/>
      <c r="F310" s="14"/>
      <c r="G310" s="15"/>
      <c r="I310" s="103"/>
      <c r="J310" s="103"/>
      <c r="K310" s="103"/>
      <c r="L310" s="103"/>
      <c r="M310" s="134"/>
      <c r="N310" s="9"/>
    </row>
    <row r="311" spans="1:15" ht="36">
      <c r="A311" s="16">
        <v>53</v>
      </c>
      <c r="B311" s="12"/>
      <c r="C311" s="47" t="s">
        <v>203</v>
      </c>
      <c r="D311" s="12" t="s">
        <v>6</v>
      </c>
      <c r="E311" s="3">
        <f>SUM(I311:N311)</f>
        <v>0</v>
      </c>
      <c r="F311" s="13">
        <v>16000</v>
      </c>
      <c r="G311" s="15">
        <f t="shared" si="61"/>
        <v>0</v>
      </c>
      <c r="I311" s="103"/>
      <c r="J311" s="103"/>
      <c r="K311" s="103"/>
      <c r="L311" s="103"/>
      <c r="M311" s="134"/>
      <c r="N311" s="103"/>
      <c r="O311" s="41"/>
    </row>
    <row r="312" spans="1:15" ht="13.95" customHeight="1">
      <c r="A312" s="16"/>
      <c r="B312" s="12"/>
      <c r="C312" s="75"/>
      <c r="D312" s="93"/>
      <c r="E312" s="94"/>
      <c r="F312" s="13"/>
      <c r="G312" s="15"/>
      <c r="I312" s="103"/>
      <c r="J312" s="103"/>
      <c r="K312" s="103"/>
      <c r="L312" s="103"/>
      <c r="M312" s="134"/>
      <c r="N312" s="103"/>
      <c r="O312" s="41"/>
    </row>
    <row r="313" spans="1:15" ht="36">
      <c r="A313" s="16">
        <v>54</v>
      </c>
      <c r="B313" s="12"/>
      <c r="C313" s="47" t="s">
        <v>286</v>
      </c>
      <c r="D313" s="12" t="s">
        <v>6</v>
      </c>
      <c r="E313" s="3">
        <f>SUM(I313:N313)</f>
        <v>0</v>
      </c>
      <c r="F313" s="13">
        <v>65000</v>
      </c>
      <c r="G313" s="15">
        <f t="shared" si="61"/>
        <v>0</v>
      </c>
      <c r="I313" s="103"/>
      <c r="J313" s="103"/>
      <c r="K313" s="103"/>
      <c r="L313" s="103"/>
      <c r="M313" s="134"/>
      <c r="N313" s="103"/>
      <c r="O313" s="41"/>
    </row>
    <row r="314" spans="1:15" ht="13.95" customHeight="1">
      <c r="A314" s="16"/>
      <c r="B314" s="12"/>
      <c r="C314" s="75"/>
      <c r="D314" s="93"/>
      <c r="E314" s="3"/>
      <c r="F314" s="13"/>
      <c r="G314" s="15"/>
      <c r="I314" s="103"/>
      <c r="J314" s="103"/>
      <c r="K314" s="103"/>
      <c r="L314" s="103"/>
      <c r="M314" s="134"/>
      <c r="N314" s="103"/>
      <c r="O314" s="41"/>
    </row>
    <row r="315" spans="1:15" ht="13.95" customHeight="1">
      <c r="A315" s="16"/>
      <c r="B315" s="12"/>
      <c r="C315" s="75"/>
      <c r="D315" s="93"/>
      <c r="E315" s="3"/>
      <c r="F315" s="13"/>
      <c r="G315" s="15"/>
      <c r="I315" s="103"/>
      <c r="J315" s="103"/>
      <c r="K315" s="103"/>
      <c r="L315" s="103"/>
      <c r="M315" s="134"/>
      <c r="N315" s="103"/>
      <c r="O315" s="41"/>
    </row>
    <row r="316" spans="1:15" ht="13.95" customHeight="1">
      <c r="A316" s="16"/>
      <c r="B316" s="12"/>
      <c r="C316" s="75"/>
      <c r="D316" s="93"/>
      <c r="E316" s="3"/>
      <c r="F316" s="13"/>
      <c r="G316" s="15"/>
      <c r="I316" s="103"/>
      <c r="J316" s="103"/>
      <c r="K316" s="103"/>
      <c r="L316" s="103"/>
      <c r="M316" s="134"/>
      <c r="N316" s="103"/>
      <c r="O316" s="41"/>
    </row>
    <row r="317" spans="1:15" ht="13.95" customHeight="1">
      <c r="A317" s="16"/>
      <c r="B317" s="12"/>
      <c r="C317" s="75"/>
      <c r="D317" s="93"/>
      <c r="E317" s="3"/>
      <c r="F317" s="13"/>
      <c r="G317" s="15"/>
      <c r="I317" s="103"/>
      <c r="J317" s="103"/>
      <c r="K317" s="103"/>
      <c r="L317" s="103"/>
      <c r="M317" s="134"/>
      <c r="N317" s="103"/>
      <c r="O317" s="41"/>
    </row>
    <row r="318" spans="1:15" ht="13.95" customHeight="1">
      <c r="A318" s="16"/>
      <c r="B318" s="12"/>
      <c r="C318" s="75"/>
      <c r="D318" s="93"/>
      <c r="E318" s="3"/>
      <c r="F318" s="13"/>
      <c r="G318" s="15"/>
      <c r="I318" s="103"/>
      <c r="J318" s="103"/>
      <c r="K318" s="103"/>
      <c r="L318" s="103"/>
      <c r="M318" s="134"/>
      <c r="N318" s="103"/>
      <c r="O318" s="41"/>
    </row>
    <row r="319" spans="1:15" ht="13.95" customHeight="1">
      <c r="A319" s="16"/>
      <c r="B319" s="12"/>
      <c r="C319" s="75"/>
      <c r="D319" s="93"/>
      <c r="E319" s="3"/>
      <c r="F319" s="13"/>
      <c r="G319" s="15"/>
      <c r="I319" s="103"/>
      <c r="J319" s="103"/>
      <c r="K319" s="103"/>
      <c r="L319" s="103"/>
      <c r="M319" s="134"/>
      <c r="N319" s="103"/>
      <c r="O319" s="41"/>
    </row>
    <row r="320" spans="1:15" ht="13.95" customHeight="1">
      <c r="A320" s="16"/>
      <c r="B320" s="12"/>
      <c r="C320" s="75"/>
      <c r="D320" s="93"/>
      <c r="E320" s="3"/>
      <c r="F320" s="13"/>
      <c r="G320" s="15"/>
      <c r="I320" s="103"/>
      <c r="J320" s="103"/>
      <c r="K320" s="103"/>
      <c r="L320" s="103"/>
      <c r="M320" s="134"/>
      <c r="N320" s="103"/>
      <c r="O320" s="41"/>
    </row>
    <row r="321" spans="1:15" ht="13.95" customHeight="1">
      <c r="A321" s="16"/>
      <c r="B321" s="12"/>
      <c r="C321" s="75"/>
      <c r="D321" s="93"/>
      <c r="E321" s="3"/>
      <c r="F321" s="13"/>
      <c r="G321" s="15"/>
      <c r="I321" s="103"/>
      <c r="J321" s="103"/>
      <c r="K321" s="103"/>
      <c r="L321" s="103"/>
      <c r="M321" s="134"/>
      <c r="N321" s="103"/>
      <c r="O321" s="41"/>
    </row>
    <row r="322" spans="1:15" ht="13.95" customHeight="1">
      <c r="A322" s="16"/>
      <c r="B322" s="12"/>
      <c r="C322" s="75"/>
      <c r="D322" s="93"/>
      <c r="E322" s="3"/>
      <c r="F322" s="13"/>
      <c r="G322" s="15"/>
      <c r="I322" s="103"/>
      <c r="J322" s="103"/>
      <c r="K322" s="103"/>
      <c r="L322" s="103"/>
      <c r="M322" s="134"/>
      <c r="N322" s="103"/>
      <c r="O322" s="41"/>
    </row>
    <row r="323" spans="1:15" ht="13.95" customHeight="1">
      <c r="A323" s="16"/>
      <c r="B323" s="12"/>
      <c r="C323" s="75"/>
      <c r="D323" s="93"/>
      <c r="E323" s="3"/>
      <c r="F323" s="13"/>
      <c r="G323" s="15"/>
      <c r="I323" s="103"/>
      <c r="J323" s="103"/>
      <c r="K323" s="103"/>
      <c r="L323" s="103"/>
      <c r="M323" s="134"/>
      <c r="N323" s="103"/>
      <c r="O323" s="41"/>
    </row>
    <row r="324" spans="1:15" ht="13.95" customHeight="1">
      <c r="A324" s="16"/>
      <c r="B324" s="12"/>
      <c r="C324" s="75"/>
      <c r="D324" s="93"/>
      <c r="E324" s="3"/>
      <c r="F324" s="13"/>
      <c r="G324" s="15"/>
      <c r="I324" s="103"/>
      <c r="J324" s="103"/>
      <c r="K324" s="103"/>
      <c r="L324" s="103"/>
      <c r="M324" s="134"/>
      <c r="N324" s="103"/>
      <c r="O324" s="41"/>
    </row>
    <row r="325" spans="1:15" ht="13.95" customHeight="1">
      <c r="A325" s="16"/>
      <c r="B325" s="12"/>
      <c r="C325" s="75"/>
      <c r="D325" s="93"/>
      <c r="E325" s="3"/>
      <c r="F325" s="13"/>
      <c r="G325" s="15"/>
      <c r="I325" s="103"/>
      <c r="J325" s="103"/>
      <c r="K325" s="103"/>
      <c r="L325" s="103"/>
      <c r="M325" s="134"/>
      <c r="N325" s="103"/>
      <c r="O325" s="41"/>
    </row>
    <row r="326" spans="1:15" ht="13.95" customHeight="1">
      <c r="A326" s="16"/>
      <c r="B326" s="12"/>
      <c r="C326" s="75"/>
      <c r="D326" s="93"/>
      <c r="E326" s="3"/>
      <c r="F326" s="13"/>
      <c r="G326" s="15"/>
      <c r="I326" s="103"/>
      <c r="J326" s="103"/>
      <c r="K326" s="103"/>
      <c r="L326" s="103"/>
      <c r="M326" s="134"/>
      <c r="N326" s="103"/>
      <c r="O326" s="41"/>
    </row>
    <row r="327" spans="1:15" ht="13.95" customHeight="1">
      <c r="A327" s="16"/>
      <c r="B327" s="12"/>
      <c r="C327" s="75"/>
      <c r="D327" s="93"/>
      <c r="E327" s="3"/>
      <c r="F327" s="13"/>
      <c r="G327" s="15"/>
      <c r="I327" s="103"/>
      <c r="J327" s="103"/>
      <c r="K327" s="103"/>
      <c r="L327" s="103"/>
      <c r="M327" s="134"/>
      <c r="N327" s="103"/>
      <c r="O327" s="41"/>
    </row>
    <row r="328" spans="1:15" ht="13.95" customHeight="1">
      <c r="A328" s="16"/>
      <c r="B328" s="12"/>
      <c r="C328" s="75"/>
      <c r="D328" s="93"/>
      <c r="E328" s="3"/>
      <c r="F328" s="13"/>
      <c r="G328" s="15"/>
      <c r="I328" s="103"/>
      <c r="J328" s="103"/>
      <c r="K328" s="103"/>
      <c r="L328" s="103"/>
      <c r="M328" s="134"/>
      <c r="N328" s="103"/>
      <c r="O328" s="41"/>
    </row>
    <row r="329" spans="1:15" ht="13.95" customHeight="1">
      <c r="A329" s="16"/>
      <c r="B329" s="12"/>
      <c r="C329" s="75"/>
      <c r="D329" s="93"/>
      <c r="E329" s="3"/>
      <c r="F329" s="13"/>
      <c r="G329" s="15"/>
      <c r="I329" s="103"/>
      <c r="J329" s="103"/>
      <c r="K329" s="103"/>
      <c r="L329" s="103"/>
      <c r="M329" s="134"/>
      <c r="N329" s="103"/>
      <c r="O329" s="41"/>
    </row>
    <row r="330" spans="1:15" ht="13.95" customHeight="1">
      <c r="A330" s="16"/>
      <c r="B330" s="12"/>
      <c r="C330" s="75"/>
      <c r="D330" s="93"/>
      <c r="E330" s="3"/>
      <c r="F330" s="13"/>
      <c r="G330" s="15"/>
      <c r="I330" s="103"/>
      <c r="J330" s="103"/>
      <c r="K330" s="103"/>
      <c r="L330" s="103"/>
      <c r="M330" s="134"/>
      <c r="N330" s="103"/>
      <c r="O330" s="41"/>
    </row>
    <row r="331" spans="1:15" ht="13.95" customHeight="1">
      <c r="A331" s="16"/>
      <c r="B331" s="16"/>
      <c r="C331" s="47"/>
      <c r="D331" s="58"/>
      <c r="E331" s="13"/>
      <c r="F331" s="14"/>
      <c r="G331" s="15"/>
      <c r="I331" s="105"/>
      <c r="J331" s="105"/>
      <c r="K331" s="105"/>
      <c r="L331" s="105"/>
      <c r="M331" s="135"/>
      <c r="N331" s="53"/>
      <c r="O331" s="41"/>
    </row>
    <row r="332" spans="1:15">
      <c r="A332" s="16"/>
      <c r="B332" s="16"/>
      <c r="C332" s="47"/>
      <c r="D332" s="58"/>
      <c r="E332" s="13"/>
      <c r="F332" s="14"/>
      <c r="G332" s="15"/>
    </row>
    <row r="333" spans="1:15">
      <c r="A333" s="16"/>
      <c r="B333" s="16"/>
      <c r="C333" s="47"/>
      <c r="D333" s="58"/>
      <c r="E333" s="13"/>
      <c r="F333" s="14"/>
      <c r="G333" s="15"/>
    </row>
    <row r="334" spans="1:15">
      <c r="A334" s="16"/>
      <c r="B334" s="16"/>
      <c r="C334" s="47"/>
      <c r="D334" s="58"/>
      <c r="E334" s="13"/>
      <c r="F334" s="14"/>
      <c r="G334" s="15"/>
    </row>
    <row r="335" spans="1:15" ht="20.399999999999999" customHeight="1">
      <c r="A335" s="156" t="s">
        <v>161</v>
      </c>
      <c r="B335" s="157"/>
      <c r="C335" s="157"/>
      <c r="D335" s="157"/>
      <c r="E335" s="157"/>
      <c r="F335" s="158"/>
      <c r="G335" s="78">
        <f>SUM(G289:G334)</f>
        <v>1356883.3399999999</v>
      </c>
    </row>
  </sheetData>
  <mergeCells count="13">
    <mergeCell ref="A152:F152"/>
    <mergeCell ref="A48:F48"/>
    <mergeCell ref="A52:F52"/>
    <mergeCell ref="A96:F96"/>
    <mergeCell ref="A100:F100"/>
    <mergeCell ref="A148:F148"/>
    <mergeCell ref="A335:F335"/>
    <mergeCell ref="A198:F198"/>
    <mergeCell ref="A202:F202"/>
    <mergeCell ref="A242:F242"/>
    <mergeCell ref="A246:F246"/>
    <mergeCell ref="A285:F285"/>
    <mergeCell ref="A289:F289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9E161-7418-423A-A31B-FF04365AB720}">
  <dimension ref="A1:O335"/>
  <sheetViews>
    <sheetView showGridLines="0" view="pageBreakPreview" topLeftCell="A48" zoomScaleNormal="100" zoomScaleSheetLayoutView="100" workbookViewId="0">
      <selection activeCell="F8" sqref="F8"/>
    </sheetView>
  </sheetViews>
  <sheetFormatPr defaultColWidth="13.109375" defaultRowHeight="12"/>
  <cols>
    <col min="1" max="1" width="4.88671875" style="22" customWidth="1"/>
    <col min="2" max="2" width="8.33203125" style="20" customWidth="1"/>
    <col min="3" max="3" width="40.6640625" style="21" customWidth="1"/>
    <col min="4" max="4" width="5.109375" style="22" customWidth="1"/>
    <col min="5" max="5" width="7.6640625" style="22" customWidth="1"/>
    <col min="6" max="6" width="8.6640625" style="23" customWidth="1"/>
    <col min="7" max="7" width="11.6640625" style="24" customWidth="1"/>
    <col min="8" max="8" width="4.33203125" style="6" hidden="1" customWidth="1"/>
    <col min="9" max="9" width="11.33203125" style="22" hidden="1" customWidth="1"/>
    <col min="10" max="10" width="11.109375" style="22" hidden="1" customWidth="1"/>
    <col min="11" max="11" width="10.88671875" style="22" hidden="1" customWidth="1"/>
    <col min="12" max="12" width="11.6640625" style="22" hidden="1" customWidth="1"/>
    <col min="13" max="13" width="13.109375" style="106" hidden="1" customWidth="1"/>
    <col min="14" max="14" width="13.109375" style="22" hidden="1" customWidth="1"/>
    <col min="15" max="16384" width="13.109375" style="6"/>
  </cols>
  <sheetData>
    <row r="1" spans="1:14" ht="20.399999999999999" hidden="1" customHeight="1">
      <c r="A1" s="19" t="s">
        <v>80</v>
      </c>
    </row>
    <row r="2" spans="1:14" ht="15" customHeight="1">
      <c r="A2" s="142" t="str">
        <f>Summary!A2</f>
        <v>NAFASI WATER - ARNOT WASTE TREATMENT PLANT</v>
      </c>
      <c r="G2" s="25" t="str">
        <f>Summary!C2</f>
        <v>Revision T1</v>
      </c>
    </row>
    <row r="3" spans="1:14" ht="15" customHeight="1">
      <c r="A3" s="19" t="str">
        <f>Summary!A3</f>
        <v>PILING AND CIVIL WORK</v>
      </c>
      <c r="G3" s="26"/>
    </row>
    <row r="4" spans="1:14" ht="15" customHeight="1">
      <c r="A4" s="19" t="s">
        <v>283</v>
      </c>
      <c r="G4" s="143">
        <f>Summary!C4</f>
        <v>45183</v>
      </c>
    </row>
    <row r="5" spans="1:14" ht="15" customHeight="1">
      <c r="A5" s="27"/>
      <c r="B5" s="28"/>
      <c r="C5" s="28"/>
      <c r="E5" s="29"/>
      <c r="G5" s="30"/>
    </row>
    <row r="6" spans="1:14" s="42" customFormat="1" ht="37.200000000000003" customHeight="1">
      <c r="A6" s="44" t="s">
        <v>8</v>
      </c>
      <c r="B6" s="48" t="s">
        <v>9</v>
      </c>
      <c r="C6" s="44" t="s">
        <v>10</v>
      </c>
      <c r="D6" s="48" t="s">
        <v>11</v>
      </c>
      <c r="E6" s="48" t="s">
        <v>59</v>
      </c>
      <c r="F6" s="49" t="s">
        <v>12</v>
      </c>
      <c r="G6" s="49" t="s">
        <v>13</v>
      </c>
      <c r="I6" s="100" t="s">
        <v>245</v>
      </c>
      <c r="J6" s="100" t="s">
        <v>275</v>
      </c>
      <c r="K6" s="100" t="s">
        <v>281</v>
      </c>
      <c r="L6" s="101" t="s">
        <v>272</v>
      </c>
      <c r="M6" s="100" t="s">
        <v>282</v>
      </c>
      <c r="N6" s="100" t="s">
        <v>265</v>
      </c>
    </row>
    <row r="7" spans="1:14" s="42" customFormat="1" ht="4.95" customHeight="1">
      <c r="A7" s="2"/>
      <c r="B7" s="40"/>
      <c r="C7" s="50"/>
      <c r="D7" s="40"/>
      <c r="E7" s="40"/>
      <c r="F7" s="54"/>
      <c r="G7" s="54"/>
      <c r="I7" s="40"/>
      <c r="J7" s="40"/>
      <c r="K7" s="40"/>
      <c r="L7" s="102"/>
      <c r="M7" s="107"/>
      <c r="N7" s="109"/>
    </row>
    <row r="8" spans="1:14" ht="19.2" customHeight="1">
      <c r="A8" s="1"/>
      <c r="B8" s="2"/>
      <c r="C8" s="11" t="s">
        <v>284</v>
      </c>
      <c r="D8" s="1"/>
      <c r="E8" s="1"/>
      <c r="F8" s="4"/>
      <c r="G8" s="5"/>
      <c r="I8" s="9"/>
      <c r="J8" s="9"/>
      <c r="K8" s="9"/>
      <c r="L8" s="103"/>
      <c r="M8" s="108"/>
      <c r="N8" s="9"/>
    </row>
    <row r="9" spans="1:14" ht="10.95" customHeight="1">
      <c r="A9" s="1"/>
      <c r="B9" s="2"/>
      <c r="C9" s="11"/>
      <c r="D9" s="1"/>
      <c r="E9" s="1"/>
      <c r="F9" s="4"/>
      <c r="G9" s="5"/>
      <c r="I9" s="9"/>
      <c r="J9" s="9"/>
      <c r="K9" s="9"/>
      <c r="L9" s="103"/>
      <c r="M9" s="108"/>
      <c r="N9" s="9"/>
    </row>
    <row r="10" spans="1:14" ht="22.2" customHeight="1">
      <c r="A10" s="1"/>
      <c r="B10" s="1" t="s">
        <v>22</v>
      </c>
      <c r="C10" s="34" t="s">
        <v>69</v>
      </c>
      <c r="D10" s="1"/>
      <c r="E10" s="3" t="str">
        <f>IF(SUM(H10:M10)&gt;0,SUM(H10:M10),"")</f>
        <v/>
      </c>
      <c r="F10" s="4"/>
      <c r="G10" s="5"/>
      <c r="I10" s="9"/>
      <c r="J10" s="9"/>
      <c r="K10" s="9"/>
      <c r="L10" s="103"/>
      <c r="M10" s="108"/>
      <c r="N10" s="9"/>
    </row>
    <row r="11" spans="1:14" ht="13.95" customHeight="1">
      <c r="A11" s="1"/>
      <c r="B11" s="1"/>
      <c r="C11" s="34"/>
      <c r="D11" s="1"/>
      <c r="E11" s="3" t="str">
        <f>IF(SUM(H11:M11)&gt;0,SUM(H11:M11),"")</f>
        <v/>
      </c>
      <c r="F11" s="4"/>
      <c r="G11" s="5"/>
      <c r="I11" s="9"/>
      <c r="J11" s="9"/>
      <c r="K11" s="9"/>
      <c r="L11" s="103"/>
      <c r="M11" s="108"/>
      <c r="N11" s="9"/>
    </row>
    <row r="12" spans="1:14" ht="13.95" customHeight="1">
      <c r="A12" s="1"/>
      <c r="B12" s="1"/>
      <c r="C12" s="32" t="s">
        <v>55</v>
      </c>
      <c r="D12" s="1"/>
      <c r="E12" s="3" t="str">
        <f>IF(SUM(H12:M12)&gt;0,SUM(H12:M12),"")</f>
        <v/>
      </c>
      <c r="F12" s="4"/>
      <c r="G12" s="5"/>
      <c r="I12" s="9"/>
      <c r="J12" s="9"/>
      <c r="K12" s="9"/>
      <c r="L12" s="103"/>
      <c r="M12" s="108"/>
      <c r="N12" s="9"/>
    </row>
    <row r="13" spans="1:14" ht="13.95" customHeight="1">
      <c r="A13" s="1"/>
      <c r="B13" s="1"/>
      <c r="C13" s="32"/>
      <c r="D13" s="1"/>
      <c r="E13" s="3" t="str">
        <f>IF(SUM(H13:M13)&gt;0,SUM(H13:M13),"")</f>
        <v/>
      </c>
      <c r="F13" s="4"/>
      <c r="G13" s="5"/>
      <c r="I13" s="9"/>
      <c r="J13" s="9"/>
      <c r="K13" s="9"/>
      <c r="L13" s="103"/>
      <c r="M13" s="108"/>
      <c r="N13" s="9"/>
    </row>
    <row r="14" spans="1:14" ht="22.2" customHeight="1">
      <c r="A14" s="1">
        <v>1</v>
      </c>
      <c r="B14" s="1"/>
      <c r="C14" s="33" t="s">
        <v>218</v>
      </c>
      <c r="D14" s="1" t="s">
        <v>6</v>
      </c>
      <c r="E14" s="3">
        <f>SUM(I14:N14)</f>
        <v>4</v>
      </c>
      <c r="F14" s="13">
        <v>1150</v>
      </c>
      <c r="G14" s="5">
        <f t="shared" ref="G14" si="0">+E14*F14</f>
        <v>4600</v>
      </c>
      <c r="I14" s="137">
        <v>0</v>
      </c>
      <c r="J14" s="137">
        <v>0</v>
      </c>
      <c r="K14" s="137">
        <v>0</v>
      </c>
      <c r="L14" s="137">
        <v>0</v>
      </c>
      <c r="M14" s="137">
        <v>0</v>
      </c>
      <c r="N14" s="137">
        <v>4</v>
      </c>
    </row>
    <row r="15" spans="1:14" ht="13.95" customHeight="1">
      <c r="A15" s="1"/>
      <c r="B15" s="1"/>
      <c r="C15" s="32"/>
      <c r="D15" s="1"/>
      <c r="E15" s="3"/>
      <c r="F15" s="14"/>
      <c r="G15" s="5"/>
      <c r="I15" s="13"/>
      <c r="J15" s="13"/>
      <c r="K15" s="13"/>
      <c r="L15" s="13"/>
      <c r="M15" s="13"/>
      <c r="N15" s="13"/>
    </row>
    <row r="16" spans="1:14" ht="13.95" customHeight="1">
      <c r="A16" s="1"/>
      <c r="B16" s="1"/>
      <c r="C16" s="32" t="s">
        <v>221</v>
      </c>
      <c r="D16" s="1"/>
      <c r="E16" s="3"/>
      <c r="F16" s="14"/>
      <c r="G16" s="5"/>
      <c r="I16" s="13"/>
      <c r="J16" s="13"/>
      <c r="K16" s="13"/>
      <c r="L16" s="13"/>
      <c r="M16" s="13"/>
      <c r="N16" s="13"/>
    </row>
    <row r="17" spans="1:14" ht="34.950000000000003" customHeight="1">
      <c r="A17" s="1"/>
      <c r="B17" s="1"/>
      <c r="C17" s="33" t="s">
        <v>219</v>
      </c>
      <c r="D17" s="1"/>
      <c r="E17" s="3"/>
      <c r="F17" s="14"/>
      <c r="G17" s="5"/>
      <c r="I17" s="13"/>
      <c r="J17" s="13"/>
      <c r="K17" s="13"/>
      <c r="L17" s="13"/>
      <c r="M17" s="13"/>
      <c r="N17" s="13"/>
    </row>
    <row r="18" spans="1:14" ht="10.95" customHeight="1">
      <c r="A18" s="1"/>
      <c r="B18" s="1"/>
      <c r="C18" s="32"/>
      <c r="D18" s="1"/>
      <c r="E18" s="3"/>
      <c r="F18" s="13"/>
      <c r="G18" s="5"/>
      <c r="I18" s="13"/>
      <c r="J18" s="13"/>
      <c r="K18" s="13"/>
      <c r="L18" s="13"/>
      <c r="M18" s="13"/>
      <c r="N18" s="13"/>
    </row>
    <row r="19" spans="1:14" ht="13.2" customHeight="1">
      <c r="A19" s="1">
        <v>2</v>
      </c>
      <c r="B19" s="1"/>
      <c r="C19" s="33" t="s">
        <v>33</v>
      </c>
      <c r="D19" s="1" t="s">
        <v>1</v>
      </c>
      <c r="E19" s="3">
        <f>SUM(I19:N19)</f>
        <v>40</v>
      </c>
      <c r="F19" s="13">
        <v>1850</v>
      </c>
      <c r="G19" s="5">
        <f t="shared" ref="G19" si="1">+E19*F19</f>
        <v>74000</v>
      </c>
      <c r="I19" s="138">
        <f t="shared" ref="I19:N19" si="2">I14*10</f>
        <v>0</v>
      </c>
      <c r="J19" s="138">
        <f t="shared" si="2"/>
        <v>0</v>
      </c>
      <c r="K19" s="138">
        <f t="shared" si="2"/>
        <v>0</v>
      </c>
      <c r="L19" s="138">
        <f t="shared" si="2"/>
        <v>0</v>
      </c>
      <c r="M19" s="138">
        <f t="shared" si="2"/>
        <v>0</v>
      </c>
      <c r="N19" s="138">
        <f t="shared" si="2"/>
        <v>40</v>
      </c>
    </row>
    <row r="20" spans="1:14" ht="13.2" customHeight="1">
      <c r="A20" s="1"/>
      <c r="B20" s="1"/>
      <c r="C20" s="32"/>
      <c r="D20" s="1"/>
      <c r="E20" s="3"/>
      <c r="F20" s="13"/>
      <c r="G20" s="5"/>
      <c r="I20" s="138"/>
      <c r="J20" s="138"/>
      <c r="K20" s="138"/>
      <c r="L20" s="138"/>
      <c r="M20" s="138"/>
      <c r="N20" s="138"/>
    </row>
    <row r="21" spans="1:14" ht="13.2" customHeight="1">
      <c r="A21" s="1">
        <v>3</v>
      </c>
      <c r="B21" s="1"/>
      <c r="C21" s="33" t="s">
        <v>34</v>
      </c>
      <c r="D21" s="1" t="s">
        <v>1</v>
      </c>
      <c r="E21" s="3">
        <f>SUM(I21:N21)</f>
        <v>20</v>
      </c>
      <c r="F21" s="13">
        <f>F19</f>
        <v>1850</v>
      </c>
      <c r="G21" s="5">
        <f t="shared" ref="G21" si="3">+E21*F21</f>
        <v>37000</v>
      </c>
      <c r="I21" s="138">
        <f t="shared" ref="I21:N21" si="4">I14*5</f>
        <v>0</v>
      </c>
      <c r="J21" s="138">
        <f t="shared" si="4"/>
        <v>0</v>
      </c>
      <c r="K21" s="138">
        <f t="shared" si="4"/>
        <v>0</v>
      </c>
      <c r="L21" s="138">
        <f t="shared" si="4"/>
        <v>0</v>
      </c>
      <c r="M21" s="138">
        <f t="shared" si="4"/>
        <v>0</v>
      </c>
      <c r="N21" s="138">
        <f t="shared" si="4"/>
        <v>20</v>
      </c>
    </row>
    <row r="22" spans="1:14" ht="13.2" customHeight="1">
      <c r="A22" s="1"/>
      <c r="B22" s="1"/>
      <c r="C22" s="32"/>
      <c r="D22" s="1"/>
      <c r="E22" s="3"/>
      <c r="F22" s="13"/>
      <c r="G22" s="5"/>
      <c r="I22" s="138"/>
      <c r="J22" s="138"/>
      <c r="K22" s="138"/>
      <c r="L22" s="138"/>
      <c r="M22" s="138"/>
      <c r="N22" s="138"/>
    </row>
    <row r="23" spans="1:14" ht="13.2" customHeight="1">
      <c r="A23" s="1"/>
      <c r="B23" s="1"/>
      <c r="C23" s="32" t="s">
        <v>76</v>
      </c>
      <c r="D23" s="1"/>
      <c r="E23" s="3"/>
      <c r="F23" s="13"/>
      <c r="G23" s="5"/>
      <c r="I23" s="138"/>
      <c r="J23" s="138"/>
      <c r="K23" s="138"/>
      <c r="L23" s="138"/>
      <c r="M23" s="138"/>
      <c r="N23" s="138"/>
    </row>
    <row r="24" spans="1:14" ht="13.2" customHeight="1">
      <c r="A24" s="1"/>
      <c r="B24" s="1"/>
      <c r="C24" s="32"/>
      <c r="D24" s="1"/>
      <c r="E24" s="3"/>
      <c r="F24" s="13"/>
      <c r="G24" s="5"/>
      <c r="I24" s="138"/>
      <c r="J24" s="138"/>
      <c r="K24" s="138"/>
      <c r="L24" s="138"/>
      <c r="M24" s="138"/>
      <c r="N24" s="138"/>
    </row>
    <row r="25" spans="1:14" ht="13.2" customHeight="1">
      <c r="A25" s="1">
        <v>4</v>
      </c>
      <c r="B25" s="1"/>
      <c r="C25" s="47" t="s">
        <v>77</v>
      </c>
      <c r="D25" s="1" t="s">
        <v>6</v>
      </c>
      <c r="E25" s="3">
        <f>SUM(I25:N25)</f>
        <v>4</v>
      </c>
      <c r="F25" s="13">
        <v>1250</v>
      </c>
      <c r="G25" s="5">
        <f t="shared" ref="G25" si="5">+E25*F25</f>
        <v>5000</v>
      </c>
      <c r="I25" s="138">
        <f t="shared" ref="I25:N25" si="6">I14</f>
        <v>0</v>
      </c>
      <c r="J25" s="138">
        <f t="shared" si="6"/>
        <v>0</v>
      </c>
      <c r="K25" s="138">
        <f t="shared" si="6"/>
        <v>0</v>
      </c>
      <c r="L25" s="138">
        <f t="shared" si="6"/>
        <v>0</v>
      </c>
      <c r="M25" s="138">
        <f t="shared" si="6"/>
        <v>0</v>
      </c>
      <c r="N25" s="138">
        <f t="shared" si="6"/>
        <v>4</v>
      </c>
    </row>
    <row r="26" spans="1:14" ht="13.2" customHeight="1">
      <c r="A26" s="1"/>
      <c r="B26" s="1"/>
      <c r="C26" s="32"/>
      <c r="D26" s="1"/>
      <c r="E26" s="3"/>
      <c r="F26" s="13"/>
      <c r="G26" s="5"/>
      <c r="I26" s="138"/>
      <c r="J26" s="138"/>
      <c r="K26" s="138"/>
      <c r="L26" s="138"/>
      <c r="M26" s="138"/>
      <c r="N26" s="138"/>
    </row>
    <row r="27" spans="1:14" ht="12.6" customHeight="1">
      <c r="A27" s="1"/>
      <c r="B27" s="1"/>
      <c r="C27" s="32" t="s">
        <v>71</v>
      </c>
      <c r="D27" s="1"/>
      <c r="E27" s="3"/>
      <c r="F27" s="13"/>
      <c r="G27" s="5"/>
      <c r="I27" s="138"/>
      <c r="J27" s="138"/>
      <c r="K27" s="138"/>
      <c r="L27" s="138"/>
      <c r="M27" s="138"/>
      <c r="N27" s="138"/>
    </row>
    <row r="28" spans="1:14" ht="12.6" customHeight="1">
      <c r="A28" s="1"/>
      <c r="B28" s="1"/>
      <c r="C28" s="33"/>
      <c r="D28" s="1"/>
      <c r="E28" s="3"/>
      <c r="F28" s="13"/>
      <c r="G28" s="5"/>
      <c r="I28" s="138"/>
      <c r="J28" s="138"/>
      <c r="K28" s="138"/>
      <c r="L28" s="138"/>
      <c r="M28" s="138"/>
      <c r="N28" s="138"/>
    </row>
    <row r="29" spans="1:14" ht="12.6" customHeight="1">
      <c r="A29" s="1">
        <v>5</v>
      </c>
      <c r="B29" s="1"/>
      <c r="C29" s="33" t="s">
        <v>223</v>
      </c>
      <c r="D29" s="1" t="s">
        <v>2</v>
      </c>
      <c r="E29" s="3">
        <f>SUM(I29:N29)</f>
        <v>0.19499999999999998</v>
      </c>
      <c r="F29" s="13">
        <v>29500</v>
      </c>
      <c r="G29" s="5">
        <f t="shared" ref="G29" si="7">+E29*F29</f>
        <v>5752.4999999999991</v>
      </c>
      <c r="I29" s="139">
        <f t="shared" ref="I29:N29" si="8">(I19+I21)*0.00325</f>
        <v>0</v>
      </c>
      <c r="J29" s="139">
        <f t="shared" si="8"/>
        <v>0</v>
      </c>
      <c r="K29" s="139">
        <f t="shared" si="8"/>
        <v>0</v>
      </c>
      <c r="L29" s="139">
        <f t="shared" si="8"/>
        <v>0</v>
      </c>
      <c r="M29" s="139">
        <f t="shared" si="8"/>
        <v>0</v>
      </c>
      <c r="N29" s="139">
        <f t="shared" si="8"/>
        <v>0.19499999999999998</v>
      </c>
    </row>
    <row r="30" spans="1:14" ht="12.6" customHeight="1">
      <c r="A30" s="1"/>
      <c r="B30" s="1"/>
      <c r="C30" s="33"/>
      <c r="D30" s="1"/>
      <c r="E30" s="3"/>
      <c r="F30" s="13"/>
      <c r="G30" s="5"/>
      <c r="I30" s="138"/>
      <c r="J30" s="138"/>
      <c r="K30" s="138"/>
      <c r="L30" s="138"/>
      <c r="M30" s="138"/>
      <c r="N30" s="138"/>
    </row>
    <row r="31" spans="1:14" ht="12.6" customHeight="1">
      <c r="A31" s="1">
        <v>6</v>
      </c>
      <c r="B31" s="1"/>
      <c r="C31" s="33" t="s">
        <v>222</v>
      </c>
      <c r="D31" s="1" t="s">
        <v>2</v>
      </c>
      <c r="E31" s="3">
        <f>SUM(I31:AG31)</f>
        <v>1.2899999999999998</v>
      </c>
      <c r="F31" s="13">
        <v>28000</v>
      </c>
      <c r="G31" s="5">
        <f t="shared" ref="G31" si="9">+E31*F31</f>
        <v>36119.999999999993</v>
      </c>
      <c r="I31" s="139">
        <f t="shared" ref="I31:N31" si="10">(I19+I21)*0.0215</f>
        <v>0</v>
      </c>
      <c r="J31" s="139">
        <f t="shared" si="10"/>
        <v>0</v>
      </c>
      <c r="K31" s="139">
        <f t="shared" si="10"/>
        <v>0</v>
      </c>
      <c r="L31" s="139">
        <f t="shared" si="10"/>
        <v>0</v>
      </c>
      <c r="M31" s="139">
        <f t="shared" si="10"/>
        <v>0</v>
      </c>
      <c r="N31" s="139">
        <f t="shared" si="10"/>
        <v>1.2899999999999998</v>
      </c>
    </row>
    <row r="32" spans="1:14" ht="12.6" customHeight="1">
      <c r="A32" s="1"/>
      <c r="B32" s="1"/>
      <c r="C32" s="33"/>
      <c r="D32" s="1"/>
      <c r="E32" s="3"/>
      <c r="F32" s="13"/>
      <c r="G32" s="5"/>
      <c r="I32" s="138"/>
      <c r="J32" s="138"/>
      <c r="K32" s="138"/>
      <c r="L32" s="138"/>
      <c r="M32" s="138"/>
      <c r="N32" s="138"/>
    </row>
    <row r="33" spans="1:14" ht="12.6" customHeight="1">
      <c r="A33" s="1"/>
      <c r="B33" s="1"/>
      <c r="C33" s="32" t="s">
        <v>56</v>
      </c>
      <c r="D33" s="1"/>
      <c r="E33" s="3"/>
      <c r="F33" s="13"/>
      <c r="G33" s="5"/>
      <c r="I33" s="138"/>
      <c r="J33" s="138"/>
      <c r="K33" s="138"/>
      <c r="L33" s="138"/>
      <c r="M33" s="138"/>
      <c r="N33" s="138"/>
    </row>
    <row r="34" spans="1:14" ht="13.2" customHeight="1">
      <c r="A34" s="1"/>
      <c r="B34" s="1"/>
      <c r="C34" s="33"/>
      <c r="D34" s="1"/>
      <c r="E34" s="3"/>
      <c r="F34" s="13"/>
      <c r="G34" s="5"/>
      <c r="I34" s="138"/>
      <c r="J34" s="138"/>
      <c r="K34" s="138"/>
      <c r="L34" s="138"/>
      <c r="M34" s="138"/>
      <c r="N34" s="138"/>
    </row>
    <row r="35" spans="1:14" ht="13.2" customHeight="1">
      <c r="A35" s="1">
        <v>7</v>
      </c>
      <c r="B35" s="1"/>
      <c r="C35" s="33" t="s">
        <v>220</v>
      </c>
      <c r="D35" s="1"/>
      <c r="E35" s="3"/>
      <c r="F35" s="13"/>
      <c r="G35" s="5"/>
      <c r="I35" s="138"/>
      <c r="J35" s="138"/>
      <c r="K35" s="138"/>
      <c r="L35" s="138"/>
      <c r="M35" s="138"/>
      <c r="N35" s="138"/>
    </row>
    <row r="36" spans="1:14" ht="13.2" customHeight="1">
      <c r="A36" s="1"/>
      <c r="B36" s="1"/>
      <c r="C36" s="1"/>
      <c r="D36" s="1"/>
      <c r="E36" s="3"/>
      <c r="F36" s="13"/>
      <c r="G36" s="5"/>
      <c r="I36" s="138"/>
      <c r="J36" s="138"/>
      <c r="K36" s="138"/>
      <c r="L36" s="138"/>
      <c r="M36" s="138"/>
      <c r="N36" s="138"/>
    </row>
    <row r="37" spans="1:14" ht="13.2" customHeight="1">
      <c r="A37" s="1"/>
      <c r="B37" s="1"/>
      <c r="C37" s="33" t="s">
        <v>38</v>
      </c>
      <c r="D37" s="1" t="s">
        <v>51</v>
      </c>
      <c r="E37" s="3">
        <f>SUM(I37:N37)</f>
        <v>20.52</v>
      </c>
      <c r="F37" s="13">
        <v>3500</v>
      </c>
      <c r="G37" s="5">
        <f t="shared" ref="G37" si="11">+E37*F37</f>
        <v>71820</v>
      </c>
      <c r="I37" s="139">
        <f t="shared" ref="I37:N37" si="12">((I19+I21)*0.292)+(I14*0.75)</f>
        <v>0</v>
      </c>
      <c r="J37" s="139">
        <f t="shared" si="12"/>
        <v>0</v>
      </c>
      <c r="K37" s="139">
        <f t="shared" si="12"/>
        <v>0</v>
      </c>
      <c r="L37" s="139">
        <f t="shared" si="12"/>
        <v>0</v>
      </c>
      <c r="M37" s="139">
        <f t="shared" si="12"/>
        <v>0</v>
      </c>
      <c r="N37" s="139">
        <f t="shared" si="12"/>
        <v>20.52</v>
      </c>
    </row>
    <row r="38" spans="1:14" ht="13.2" customHeight="1">
      <c r="A38" s="1"/>
      <c r="B38" s="1"/>
      <c r="C38" s="33"/>
      <c r="D38" s="1"/>
      <c r="E38" s="3"/>
      <c r="F38" s="13"/>
      <c r="G38" s="5"/>
      <c r="I38" s="138"/>
      <c r="J38" s="138"/>
      <c r="K38" s="138"/>
      <c r="L38" s="138"/>
      <c r="M38" s="138"/>
      <c r="N38" s="138"/>
    </row>
    <row r="39" spans="1:14" ht="13.2" customHeight="1">
      <c r="A39" s="1"/>
      <c r="B39" s="1" t="s">
        <v>23</v>
      </c>
      <c r="C39" s="32" t="s">
        <v>35</v>
      </c>
      <c r="D39" s="1"/>
      <c r="E39" s="3"/>
      <c r="F39" s="13"/>
      <c r="G39" s="5"/>
      <c r="I39" s="138"/>
      <c r="J39" s="138"/>
      <c r="K39" s="138"/>
      <c r="L39" s="138"/>
      <c r="M39" s="138"/>
      <c r="N39" s="138"/>
    </row>
    <row r="40" spans="1:14" ht="13.2" customHeight="1">
      <c r="A40" s="1"/>
      <c r="B40" s="1"/>
      <c r="C40" s="32"/>
      <c r="D40" s="1"/>
      <c r="E40" s="3"/>
      <c r="F40" s="13"/>
      <c r="G40" s="5"/>
      <c r="I40" s="138"/>
      <c r="J40" s="138"/>
      <c r="K40" s="138"/>
      <c r="L40" s="138"/>
      <c r="M40" s="138"/>
      <c r="N40" s="138"/>
    </row>
    <row r="41" spans="1:14" ht="13.2" customHeight="1">
      <c r="A41" s="1">
        <v>8</v>
      </c>
      <c r="B41" s="1"/>
      <c r="C41" s="33" t="s">
        <v>259</v>
      </c>
      <c r="D41" s="1" t="s">
        <v>6</v>
      </c>
      <c r="E41" s="3">
        <f>SUM(I41:N41)</f>
        <v>4</v>
      </c>
      <c r="F41" s="13">
        <v>875</v>
      </c>
      <c r="G41" s="5">
        <f t="shared" ref="G41" si="13">+E41*F41</f>
        <v>3500</v>
      </c>
      <c r="I41" s="138">
        <f t="shared" ref="I41:N41" si="14">I14</f>
        <v>0</v>
      </c>
      <c r="J41" s="138">
        <f t="shared" si="14"/>
        <v>0</v>
      </c>
      <c r="K41" s="138">
        <f t="shared" si="14"/>
        <v>0</v>
      </c>
      <c r="L41" s="138">
        <f t="shared" si="14"/>
        <v>0</v>
      </c>
      <c r="M41" s="138">
        <f t="shared" si="14"/>
        <v>0</v>
      </c>
      <c r="N41" s="138">
        <f t="shared" si="14"/>
        <v>4</v>
      </c>
    </row>
    <row r="42" spans="1:14" ht="13.2" customHeight="1">
      <c r="A42" s="1"/>
      <c r="B42" s="2"/>
      <c r="C42" s="11"/>
      <c r="D42" s="1"/>
      <c r="E42" s="1"/>
      <c r="F42" s="13"/>
      <c r="G42" s="5"/>
      <c r="I42" s="1"/>
      <c r="J42" s="1"/>
      <c r="K42" s="1"/>
      <c r="L42" s="103"/>
      <c r="M42" s="108"/>
      <c r="N42" s="9"/>
    </row>
    <row r="43" spans="1:14" ht="24">
      <c r="A43" s="1"/>
      <c r="B43" s="2" t="s">
        <v>100</v>
      </c>
      <c r="C43" s="31" t="s">
        <v>79</v>
      </c>
      <c r="D43" s="1"/>
      <c r="E43" s="3"/>
      <c r="F43" s="14"/>
      <c r="G43" s="5"/>
      <c r="I43" s="3"/>
      <c r="J43" s="3"/>
      <c r="K43" s="3"/>
      <c r="L43" s="103"/>
      <c r="M43" s="108"/>
      <c r="N43" s="9"/>
    </row>
    <row r="44" spans="1:14" ht="13.95" customHeight="1">
      <c r="A44" s="1"/>
      <c r="B44" s="2"/>
      <c r="C44" s="8" t="s">
        <v>81</v>
      </c>
      <c r="D44" s="1"/>
      <c r="E44" s="3"/>
      <c r="F44" s="14"/>
      <c r="G44" s="5"/>
      <c r="I44" s="3"/>
      <c r="J44" s="3"/>
      <c r="K44" s="3"/>
      <c r="L44" s="103"/>
      <c r="M44" s="108"/>
      <c r="N44" s="9"/>
    </row>
    <row r="45" spans="1:14" ht="50.4" customHeight="1">
      <c r="A45" s="16">
        <v>9</v>
      </c>
      <c r="B45" s="33" t="s">
        <v>162</v>
      </c>
      <c r="C45" s="33" t="s">
        <v>163</v>
      </c>
      <c r="D45" s="9" t="s">
        <v>60</v>
      </c>
      <c r="E45" s="3">
        <f>SUM(I45:N45)</f>
        <v>59</v>
      </c>
      <c r="F45" s="13">
        <v>225</v>
      </c>
      <c r="G45" s="5">
        <f t="shared" ref="G45" si="15">+E45*F45</f>
        <v>13275</v>
      </c>
      <c r="I45" s="9">
        <v>59</v>
      </c>
      <c r="J45" s="9"/>
      <c r="K45" s="9"/>
      <c r="L45" s="103"/>
      <c r="M45" s="108"/>
      <c r="N45" s="9"/>
    </row>
    <row r="46" spans="1:14">
      <c r="A46" s="16"/>
      <c r="B46" s="33"/>
      <c r="D46" s="9"/>
      <c r="E46" s="3"/>
      <c r="F46" s="13"/>
      <c r="G46" s="5"/>
      <c r="I46" s="9"/>
      <c r="J46" s="9"/>
      <c r="K46" s="9"/>
      <c r="L46" s="103"/>
      <c r="M46" s="108"/>
      <c r="N46" s="9"/>
    </row>
    <row r="47" spans="1:14" ht="13.95" customHeight="1">
      <c r="A47" s="1"/>
      <c r="B47" s="2"/>
      <c r="C47" s="8"/>
      <c r="D47" s="9"/>
      <c r="E47" s="3"/>
      <c r="F47" s="4"/>
      <c r="G47" s="5"/>
      <c r="I47" s="9"/>
      <c r="J47" s="9"/>
      <c r="K47" s="9"/>
      <c r="L47" s="103"/>
      <c r="M47" s="108"/>
      <c r="N47" s="9"/>
    </row>
    <row r="48" spans="1:14" ht="20.100000000000001" customHeight="1">
      <c r="A48" s="149" t="s">
        <v>66</v>
      </c>
      <c r="B48" s="150"/>
      <c r="C48" s="150"/>
      <c r="D48" s="150"/>
      <c r="E48" s="150"/>
      <c r="F48" s="151"/>
      <c r="G48" s="116">
        <f>SUM(G8:G47)</f>
        <v>251067.5</v>
      </c>
      <c r="I48" s="9"/>
      <c r="J48" s="9"/>
      <c r="K48" s="9"/>
      <c r="L48" s="103"/>
      <c r="M48" s="108"/>
      <c r="N48" s="9"/>
    </row>
    <row r="49" spans="1:14">
      <c r="A49" s="39"/>
      <c r="B49" s="39"/>
      <c r="C49" s="39"/>
      <c r="D49" s="39"/>
      <c r="E49" s="39"/>
      <c r="F49" s="39"/>
      <c r="G49" s="113"/>
      <c r="I49" s="9"/>
      <c r="J49" s="9"/>
      <c r="K49" s="9"/>
      <c r="L49" s="103"/>
      <c r="M49" s="108"/>
      <c r="N49" s="9"/>
    </row>
    <row r="50" spans="1:14" ht="13.95" customHeight="1">
      <c r="A50" s="39"/>
      <c r="B50" s="39"/>
      <c r="C50" s="39"/>
      <c r="D50" s="39"/>
      <c r="E50" s="39"/>
      <c r="F50" s="39"/>
      <c r="G50" s="113"/>
      <c r="I50" s="9"/>
      <c r="J50" s="9"/>
      <c r="K50" s="9"/>
      <c r="L50" s="103"/>
      <c r="M50" s="108"/>
      <c r="N50" s="9"/>
    </row>
    <row r="51" spans="1:14" ht="24" customHeight="1">
      <c r="A51" s="44" t="s">
        <v>8</v>
      </c>
      <c r="B51" s="48" t="s">
        <v>9</v>
      </c>
      <c r="C51" s="44" t="s">
        <v>10</v>
      </c>
      <c r="D51" s="48" t="s">
        <v>11</v>
      </c>
      <c r="E51" s="48" t="s">
        <v>59</v>
      </c>
      <c r="F51" s="49" t="s">
        <v>12</v>
      </c>
      <c r="G51" s="111" t="s">
        <v>13</v>
      </c>
      <c r="I51" s="9"/>
      <c r="J51" s="9"/>
      <c r="K51" s="9"/>
      <c r="L51" s="103"/>
      <c r="M51" s="108"/>
      <c r="N51" s="9"/>
    </row>
    <row r="52" spans="1:14" ht="20.100000000000001" customHeight="1">
      <c r="A52" s="149" t="s">
        <v>67</v>
      </c>
      <c r="B52" s="150"/>
      <c r="C52" s="150"/>
      <c r="D52" s="150"/>
      <c r="E52" s="150"/>
      <c r="F52" s="151"/>
      <c r="G52" s="116">
        <f>+G48</f>
        <v>251067.5</v>
      </c>
      <c r="I52" s="9"/>
      <c r="J52" s="9"/>
      <c r="K52" s="9"/>
      <c r="L52" s="103"/>
      <c r="M52" s="108"/>
      <c r="N52" s="9"/>
    </row>
    <row r="53" spans="1:14" ht="9" customHeight="1">
      <c r="A53" s="1"/>
      <c r="B53" s="2"/>
      <c r="C53" s="8"/>
      <c r="D53" s="9"/>
      <c r="E53" s="3"/>
      <c r="F53" s="4"/>
      <c r="G53" s="5"/>
      <c r="I53" s="3"/>
      <c r="J53" s="3"/>
      <c r="K53" s="3"/>
      <c r="L53" s="103"/>
      <c r="M53" s="108"/>
      <c r="N53" s="9"/>
    </row>
    <row r="54" spans="1:14" ht="13.95" customHeight="1">
      <c r="A54" s="1"/>
      <c r="B54" s="2" t="s">
        <v>173</v>
      </c>
      <c r="C54" s="31" t="s">
        <v>79</v>
      </c>
      <c r="D54" s="1"/>
      <c r="E54" s="3"/>
      <c r="F54" s="4"/>
      <c r="G54" s="5"/>
      <c r="I54" s="3"/>
      <c r="J54" s="3"/>
      <c r="K54" s="3"/>
      <c r="L54" s="103"/>
      <c r="M54" s="108"/>
      <c r="N54" s="9"/>
    </row>
    <row r="55" spans="1:14" ht="13.95" customHeight="1">
      <c r="A55" s="1"/>
      <c r="B55" s="2"/>
      <c r="C55" s="8" t="s">
        <v>81</v>
      </c>
      <c r="D55" s="1"/>
      <c r="E55" s="3"/>
      <c r="F55" s="4"/>
      <c r="G55" s="5"/>
      <c r="I55" s="3"/>
      <c r="J55" s="3"/>
      <c r="K55" s="3"/>
      <c r="L55" s="103"/>
      <c r="M55" s="108"/>
      <c r="N55" s="9"/>
    </row>
    <row r="56" spans="1:14" ht="13.95" customHeight="1">
      <c r="A56" s="1"/>
      <c r="B56" s="1" t="s">
        <v>87</v>
      </c>
      <c r="C56" s="37" t="s">
        <v>0</v>
      </c>
      <c r="D56" s="1"/>
      <c r="E56" s="3"/>
      <c r="F56" s="4"/>
      <c r="G56" s="5"/>
      <c r="I56" s="3"/>
      <c r="J56" s="3"/>
      <c r="K56" s="3"/>
      <c r="L56" s="103"/>
      <c r="M56" s="108"/>
      <c r="N56" s="9"/>
    </row>
    <row r="57" spans="1:14" ht="13.95" customHeight="1">
      <c r="A57" s="1"/>
      <c r="B57" s="1"/>
      <c r="C57" s="33"/>
      <c r="D57" s="1"/>
      <c r="E57" s="3"/>
      <c r="F57" s="4"/>
      <c r="G57" s="5"/>
      <c r="I57" s="3"/>
      <c r="J57" s="3"/>
      <c r="K57" s="3"/>
      <c r="L57" s="103"/>
      <c r="M57" s="108"/>
      <c r="N57" s="9"/>
    </row>
    <row r="58" spans="1:14" ht="22.95" customHeight="1">
      <c r="A58" s="1"/>
      <c r="B58" s="1"/>
      <c r="C58" s="33" t="s">
        <v>61</v>
      </c>
      <c r="D58" s="1"/>
      <c r="E58" s="3"/>
      <c r="F58" s="4"/>
      <c r="G58" s="5"/>
      <c r="I58" s="3"/>
      <c r="J58" s="3"/>
      <c r="K58" s="3"/>
      <c r="L58" s="103"/>
      <c r="M58" s="108"/>
      <c r="N58" s="9"/>
    </row>
    <row r="59" spans="1:14" ht="13.95" customHeight="1">
      <c r="A59" s="1"/>
      <c r="B59" s="1"/>
      <c r="C59" s="6"/>
      <c r="D59" s="1"/>
      <c r="E59" s="3"/>
      <c r="F59" s="4"/>
      <c r="G59" s="5"/>
      <c r="I59" s="3"/>
      <c r="J59" s="3"/>
      <c r="K59" s="3"/>
      <c r="L59" s="103"/>
      <c r="M59" s="108"/>
      <c r="N59" s="9"/>
    </row>
    <row r="60" spans="1:14" ht="13.95" customHeight="1">
      <c r="A60" s="1">
        <v>10</v>
      </c>
      <c r="B60" s="1"/>
      <c r="C60" s="33" t="s">
        <v>14</v>
      </c>
      <c r="D60" s="1" t="s">
        <v>51</v>
      </c>
      <c r="E60" s="3">
        <f>SUM(I60:N60)</f>
        <v>47.15</v>
      </c>
      <c r="F60" s="13">
        <v>175</v>
      </c>
      <c r="G60" s="5">
        <f t="shared" ref="G60" si="16">+E60*F60</f>
        <v>8251.25</v>
      </c>
      <c r="I60" s="3"/>
      <c r="J60" s="3">
        <v>30</v>
      </c>
      <c r="K60" s="3"/>
      <c r="L60" s="103">
        <v>17.149999999999999</v>
      </c>
      <c r="M60" s="108"/>
      <c r="N60" s="9"/>
    </row>
    <row r="61" spans="1:14" ht="9.75" customHeight="1">
      <c r="A61" s="1"/>
      <c r="B61" s="1"/>
      <c r="C61" s="33"/>
      <c r="D61" s="1"/>
      <c r="E61" s="3"/>
      <c r="F61" s="13"/>
      <c r="G61" s="5"/>
      <c r="I61" s="3"/>
      <c r="J61" s="3"/>
      <c r="K61" s="3"/>
      <c r="L61" s="103"/>
      <c r="M61" s="108"/>
      <c r="N61" s="9"/>
    </row>
    <row r="62" spans="1:14" ht="13.95" customHeight="1">
      <c r="A62" s="1"/>
      <c r="B62" s="1"/>
      <c r="C62" s="37" t="s">
        <v>111</v>
      </c>
      <c r="D62" s="1"/>
      <c r="E62" s="3"/>
      <c r="F62" s="13"/>
      <c r="G62" s="5"/>
      <c r="I62" s="3"/>
      <c r="J62" s="3"/>
      <c r="K62" s="3"/>
      <c r="L62" s="103"/>
      <c r="M62" s="108"/>
      <c r="N62" s="9"/>
    </row>
    <row r="63" spans="1:14" ht="9" customHeight="1">
      <c r="A63" s="1"/>
      <c r="B63" s="1"/>
      <c r="C63" s="33"/>
      <c r="D63" s="1"/>
      <c r="E63" s="3"/>
      <c r="F63" s="13"/>
      <c r="G63" s="5"/>
      <c r="I63" s="3"/>
      <c r="J63" s="3"/>
      <c r="K63" s="3"/>
      <c r="L63" s="103"/>
      <c r="M63" s="108"/>
      <c r="N63" s="9"/>
    </row>
    <row r="64" spans="1:14" ht="28.95" customHeight="1">
      <c r="A64" s="1">
        <v>11</v>
      </c>
      <c r="B64" s="1"/>
      <c r="C64" s="33" t="s">
        <v>54</v>
      </c>
      <c r="D64" s="1" t="s">
        <v>51</v>
      </c>
      <c r="E64" s="3">
        <f>SUM(I64:N64)</f>
        <v>0</v>
      </c>
      <c r="F64" s="13">
        <v>950</v>
      </c>
      <c r="G64" s="5">
        <f t="shared" ref="G64" si="17">+E64*F64</f>
        <v>0</v>
      </c>
      <c r="I64" s="3"/>
      <c r="J64" s="3"/>
      <c r="K64" s="3"/>
      <c r="L64" s="103"/>
      <c r="M64" s="108"/>
      <c r="N64" s="9"/>
    </row>
    <row r="65" spans="1:14" ht="13.95" customHeight="1">
      <c r="A65" s="1"/>
      <c r="B65" s="1"/>
      <c r="C65" s="33"/>
      <c r="D65" s="1"/>
      <c r="E65" s="3"/>
      <c r="F65" s="13"/>
      <c r="G65" s="5"/>
      <c r="I65" s="3"/>
      <c r="J65" s="3"/>
      <c r="K65" s="3"/>
      <c r="L65" s="103"/>
      <c r="M65" s="108"/>
      <c r="N65" s="9"/>
    </row>
    <row r="66" spans="1:14" ht="22.2" customHeight="1">
      <c r="A66" s="1"/>
      <c r="B66" s="1"/>
      <c r="C66" s="33" t="s">
        <v>57</v>
      </c>
      <c r="D66" s="1"/>
      <c r="E66" s="3"/>
      <c r="F66" s="13"/>
      <c r="G66" s="5"/>
      <c r="I66" s="3"/>
      <c r="J66" s="3"/>
      <c r="K66" s="3"/>
      <c r="L66" s="103"/>
      <c r="M66" s="108"/>
      <c r="N66" s="9"/>
    </row>
    <row r="67" spans="1:14" ht="13.95" customHeight="1">
      <c r="A67" s="1"/>
      <c r="B67" s="2"/>
      <c r="C67" s="8"/>
      <c r="D67" s="9"/>
      <c r="E67" s="3"/>
      <c r="F67" s="13"/>
      <c r="G67" s="5"/>
      <c r="I67" s="3"/>
      <c r="J67" s="3"/>
      <c r="K67" s="3"/>
      <c r="L67" s="103"/>
      <c r="M67" s="108"/>
      <c r="N67" s="9"/>
    </row>
    <row r="68" spans="1:14" ht="13.95" customHeight="1">
      <c r="A68" s="1"/>
      <c r="B68" s="1" t="s">
        <v>83</v>
      </c>
      <c r="C68" s="10" t="s">
        <v>25</v>
      </c>
      <c r="D68" s="9"/>
      <c r="E68" s="3"/>
      <c r="F68" s="13"/>
      <c r="G68" s="5"/>
      <c r="I68" s="3"/>
      <c r="J68" s="3"/>
      <c r="K68" s="3"/>
      <c r="L68" s="103"/>
      <c r="M68" s="108"/>
      <c r="N68" s="9"/>
    </row>
    <row r="69" spans="1:14" ht="13.95" customHeight="1">
      <c r="A69" s="1"/>
      <c r="B69" s="2"/>
      <c r="C69" s="8"/>
      <c r="D69" s="9"/>
      <c r="E69" s="3"/>
      <c r="F69" s="13"/>
      <c r="G69" s="5"/>
      <c r="I69" s="3"/>
      <c r="J69" s="3"/>
      <c r="K69" s="3"/>
      <c r="L69" s="103"/>
      <c r="M69" s="108"/>
      <c r="N69" s="9"/>
    </row>
    <row r="70" spans="1:14" ht="23.4" customHeight="1">
      <c r="A70" s="1"/>
      <c r="B70" s="2"/>
      <c r="C70" s="8" t="s">
        <v>109</v>
      </c>
      <c r="D70" s="9"/>
      <c r="E70" s="3"/>
      <c r="F70" s="13"/>
      <c r="G70" s="5"/>
      <c r="I70" s="3"/>
      <c r="J70" s="3"/>
      <c r="K70" s="3"/>
      <c r="L70" s="103"/>
      <c r="M70" s="108"/>
      <c r="N70" s="9"/>
    </row>
    <row r="71" spans="1:14" ht="13.95" customHeight="1">
      <c r="A71" s="1"/>
      <c r="B71" s="2"/>
      <c r="C71" s="8"/>
      <c r="D71" s="9"/>
      <c r="E71" s="3"/>
      <c r="F71" s="13"/>
      <c r="G71" s="5"/>
      <c r="I71" s="3"/>
      <c r="J71" s="3"/>
      <c r="K71" s="3"/>
      <c r="L71" s="103"/>
      <c r="M71" s="108"/>
      <c r="N71" s="9"/>
    </row>
    <row r="72" spans="1:14" ht="33.6" customHeight="1">
      <c r="A72" s="1">
        <v>12</v>
      </c>
      <c r="B72" s="2"/>
      <c r="C72" s="8" t="s">
        <v>108</v>
      </c>
      <c r="D72" s="9" t="s">
        <v>51</v>
      </c>
      <c r="E72" s="3">
        <f>SUM(I72:N72)</f>
        <v>29.78</v>
      </c>
      <c r="F72" s="13">
        <v>725</v>
      </c>
      <c r="G72" s="5">
        <f t="shared" ref="G72" si="18">+E72*F72</f>
        <v>21590.5</v>
      </c>
      <c r="I72" s="3"/>
      <c r="J72" s="3">
        <v>17</v>
      </c>
      <c r="K72" s="3"/>
      <c r="L72" s="103">
        <v>12.78</v>
      </c>
      <c r="M72" s="108"/>
      <c r="N72" s="9"/>
    </row>
    <row r="73" spans="1:14" ht="13.95" customHeight="1">
      <c r="A73" s="1"/>
      <c r="B73" s="2"/>
      <c r="C73" s="8"/>
      <c r="D73" s="9"/>
      <c r="E73" s="3"/>
      <c r="F73" s="13"/>
      <c r="G73" s="5"/>
      <c r="I73" s="3"/>
      <c r="J73" s="3"/>
      <c r="K73" s="3"/>
      <c r="L73" s="103"/>
      <c r="M73" s="108"/>
      <c r="N73" s="9"/>
    </row>
    <row r="74" spans="1:14" ht="21.6" customHeight="1">
      <c r="A74" s="1"/>
      <c r="B74" s="2" t="s">
        <v>101</v>
      </c>
      <c r="C74" s="34" t="s">
        <v>155</v>
      </c>
      <c r="D74" s="1"/>
      <c r="E74" s="3"/>
      <c r="F74" s="13"/>
      <c r="G74" s="5"/>
      <c r="I74" s="3"/>
      <c r="J74" s="3"/>
      <c r="K74" s="3"/>
      <c r="L74" s="103"/>
      <c r="M74" s="108"/>
      <c r="N74" s="9"/>
    </row>
    <row r="75" spans="1:14" ht="13.95" customHeight="1">
      <c r="A75" s="1"/>
      <c r="B75" s="1"/>
      <c r="C75" s="33"/>
      <c r="D75" s="1"/>
      <c r="E75" s="3"/>
      <c r="F75" s="13"/>
      <c r="G75" s="5"/>
      <c r="I75" s="3"/>
      <c r="J75" s="3"/>
      <c r="K75" s="3"/>
      <c r="L75" s="103"/>
      <c r="M75" s="108"/>
      <c r="N75" s="9"/>
    </row>
    <row r="76" spans="1:14" ht="13.95" customHeight="1">
      <c r="A76" s="1"/>
      <c r="B76" s="1" t="s">
        <v>88</v>
      </c>
      <c r="C76" s="32" t="s">
        <v>15</v>
      </c>
      <c r="D76" s="1"/>
      <c r="E76" s="3"/>
      <c r="F76" s="13"/>
      <c r="G76" s="5"/>
      <c r="I76" s="3"/>
      <c r="J76" s="3"/>
      <c r="K76" s="3"/>
      <c r="L76" s="103"/>
      <c r="M76" s="108"/>
      <c r="N76" s="9"/>
    </row>
    <row r="77" spans="1:14" ht="13.95" customHeight="1">
      <c r="A77" s="1"/>
      <c r="B77" s="1"/>
      <c r="C77" s="33"/>
      <c r="D77" s="1"/>
      <c r="E77" s="3"/>
      <c r="F77" s="13"/>
      <c r="G77" s="5"/>
      <c r="I77" s="3"/>
      <c r="J77" s="3"/>
      <c r="K77" s="3"/>
      <c r="L77" s="103"/>
      <c r="M77" s="108"/>
      <c r="N77" s="9"/>
    </row>
    <row r="78" spans="1:14" ht="13.95" customHeight="1">
      <c r="A78" s="1"/>
      <c r="B78" s="1" t="s">
        <v>82</v>
      </c>
      <c r="C78" s="34" t="s">
        <v>16</v>
      </c>
      <c r="D78" s="1"/>
      <c r="E78" s="3"/>
      <c r="F78" s="13"/>
      <c r="G78" s="5"/>
      <c r="I78" s="3"/>
      <c r="J78" s="3"/>
      <c r="K78" s="3"/>
      <c r="L78" s="103"/>
      <c r="M78" s="108"/>
      <c r="N78" s="9"/>
    </row>
    <row r="79" spans="1:14" ht="13.95" customHeight="1">
      <c r="A79" s="1"/>
      <c r="B79" s="1"/>
      <c r="C79" s="33"/>
      <c r="D79" s="1"/>
      <c r="E79" s="3"/>
      <c r="F79" s="13"/>
      <c r="G79" s="5"/>
      <c r="I79" s="3"/>
      <c r="J79" s="3"/>
      <c r="K79" s="3"/>
      <c r="L79" s="103"/>
      <c r="M79" s="108"/>
      <c r="N79" s="9"/>
    </row>
    <row r="80" spans="1:14" ht="13.95" customHeight="1">
      <c r="A80" s="1"/>
      <c r="B80" s="1"/>
      <c r="C80" s="37" t="s">
        <v>17</v>
      </c>
      <c r="D80" s="1"/>
      <c r="E80" s="3"/>
      <c r="F80" s="13"/>
      <c r="G80" s="5"/>
      <c r="I80" s="3"/>
      <c r="J80" s="3"/>
      <c r="K80" s="3"/>
      <c r="L80" s="103"/>
      <c r="M80" s="108"/>
      <c r="N80" s="9"/>
    </row>
    <row r="81" spans="1:14" ht="13.95" customHeight="1">
      <c r="A81" s="1"/>
      <c r="B81" s="1"/>
      <c r="C81" s="37"/>
      <c r="D81" s="1"/>
      <c r="E81" s="3"/>
      <c r="F81" s="13"/>
      <c r="G81" s="5"/>
      <c r="I81" s="3"/>
      <c r="J81" s="3"/>
      <c r="K81" s="3"/>
      <c r="L81" s="103"/>
      <c r="M81" s="108"/>
      <c r="N81" s="9"/>
    </row>
    <row r="82" spans="1:14" ht="13.95" customHeight="1">
      <c r="A82" s="1">
        <v>13</v>
      </c>
      <c r="B82" s="1"/>
      <c r="C82" s="33" t="s">
        <v>28</v>
      </c>
      <c r="D82" s="1" t="s">
        <v>60</v>
      </c>
      <c r="E82" s="3">
        <f>SUM(I82:N82)</f>
        <v>29.68</v>
      </c>
      <c r="F82" s="13">
        <v>475</v>
      </c>
      <c r="G82" s="5">
        <f t="shared" ref="G82" si="19">+E82*F82</f>
        <v>14098</v>
      </c>
      <c r="I82" s="3"/>
      <c r="J82" s="3">
        <v>26</v>
      </c>
      <c r="K82" s="3"/>
      <c r="L82" s="103">
        <v>3.68</v>
      </c>
      <c r="M82" s="108"/>
      <c r="N82" s="9"/>
    </row>
    <row r="83" spans="1:14" ht="13.95" customHeight="1">
      <c r="A83" s="1"/>
      <c r="B83" s="1"/>
      <c r="C83" s="33"/>
      <c r="D83" s="1"/>
      <c r="E83" s="3"/>
      <c r="F83" s="13"/>
      <c r="G83" s="5"/>
      <c r="I83" s="3"/>
      <c r="J83" s="3"/>
      <c r="K83" s="3"/>
      <c r="L83" s="103"/>
      <c r="M83" s="108"/>
      <c r="N83" s="9"/>
    </row>
    <row r="84" spans="1:14" ht="19.95" customHeight="1">
      <c r="A84" s="1"/>
      <c r="B84" s="1" t="s">
        <v>86</v>
      </c>
      <c r="C84" s="34" t="s">
        <v>26</v>
      </c>
      <c r="D84" s="1"/>
      <c r="E84" s="3"/>
      <c r="F84" s="13"/>
      <c r="G84" s="5"/>
      <c r="I84" s="3"/>
      <c r="J84" s="3"/>
      <c r="K84" s="3"/>
      <c r="L84" s="103"/>
      <c r="M84" s="108"/>
      <c r="N84" s="9"/>
    </row>
    <row r="85" spans="1:14" ht="13.95" customHeight="1">
      <c r="A85" s="1"/>
      <c r="B85" s="1"/>
      <c r="C85" s="33"/>
      <c r="D85" s="1"/>
      <c r="E85" s="3"/>
      <c r="F85" s="13"/>
      <c r="G85" s="5"/>
      <c r="I85" s="3"/>
      <c r="J85" s="3"/>
      <c r="K85" s="3"/>
      <c r="L85" s="103"/>
      <c r="M85" s="108"/>
      <c r="N85" s="9"/>
    </row>
    <row r="86" spans="1:14" ht="13.95" customHeight="1">
      <c r="A86" s="1"/>
      <c r="B86" s="1"/>
      <c r="C86" s="37" t="s">
        <v>17</v>
      </c>
      <c r="D86" s="1"/>
      <c r="E86" s="3"/>
      <c r="F86" s="13"/>
      <c r="G86" s="5"/>
      <c r="I86" s="3"/>
      <c r="J86" s="3"/>
      <c r="K86" s="3"/>
      <c r="L86" s="103"/>
      <c r="M86" s="108"/>
      <c r="N86" s="9"/>
    </row>
    <row r="87" spans="1:14" ht="13.95" customHeight="1">
      <c r="A87" s="1"/>
      <c r="B87" s="1"/>
      <c r="C87" s="33"/>
      <c r="D87" s="1"/>
      <c r="E87" s="3"/>
      <c r="F87" s="13"/>
      <c r="G87" s="5"/>
      <c r="I87" s="3"/>
      <c r="J87" s="3"/>
      <c r="K87" s="3"/>
      <c r="L87" s="103"/>
      <c r="M87" s="108"/>
      <c r="N87" s="9"/>
    </row>
    <row r="88" spans="1:14" ht="13.95" customHeight="1">
      <c r="A88" s="1">
        <v>14</v>
      </c>
      <c r="B88" s="1"/>
      <c r="C88" s="33" t="s">
        <v>201</v>
      </c>
      <c r="D88" s="1" t="s">
        <v>60</v>
      </c>
      <c r="E88" s="3">
        <f>SUM(I88:N88)</f>
        <v>13</v>
      </c>
      <c r="F88" s="13">
        <v>750</v>
      </c>
      <c r="G88" s="5">
        <f t="shared" ref="G88" si="20">+E88*F88</f>
        <v>9750</v>
      </c>
      <c r="I88" s="3"/>
      <c r="J88" s="3"/>
      <c r="K88" s="3">
        <v>8</v>
      </c>
      <c r="L88" s="103"/>
      <c r="M88" s="108">
        <v>5</v>
      </c>
      <c r="N88" s="9"/>
    </row>
    <row r="89" spans="1:14" ht="13.95" customHeight="1">
      <c r="A89" s="1"/>
      <c r="B89" s="1"/>
      <c r="C89" s="33"/>
      <c r="D89" s="1"/>
      <c r="E89" s="3"/>
      <c r="F89" s="13"/>
      <c r="G89" s="5"/>
      <c r="I89" s="3"/>
      <c r="J89" s="3"/>
      <c r="K89" s="3"/>
      <c r="L89" s="103"/>
      <c r="M89" s="108"/>
      <c r="N89" s="9"/>
    </row>
    <row r="90" spans="1:14" ht="13.95" customHeight="1">
      <c r="A90" s="1">
        <v>15</v>
      </c>
      <c r="B90" s="1"/>
      <c r="C90" s="33" t="s">
        <v>224</v>
      </c>
      <c r="D90" s="1" t="s">
        <v>60</v>
      </c>
      <c r="E90" s="3">
        <f>SUM(I90:N90)</f>
        <v>0</v>
      </c>
      <c r="F90" s="13">
        <v>635</v>
      </c>
      <c r="G90" s="5">
        <f t="shared" ref="G90" si="21">+E90*F90</f>
        <v>0</v>
      </c>
      <c r="I90" s="3"/>
      <c r="J90" s="3"/>
      <c r="K90" s="3"/>
      <c r="L90" s="103"/>
      <c r="M90" s="108"/>
      <c r="N90" s="9"/>
    </row>
    <row r="91" spans="1:14" ht="13.95" customHeight="1">
      <c r="A91" s="1"/>
      <c r="B91" s="1"/>
      <c r="C91" s="33"/>
      <c r="D91" s="1"/>
      <c r="E91" s="3"/>
      <c r="F91" s="13"/>
      <c r="G91" s="5"/>
      <c r="I91" s="3"/>
      <c r="J91" s="3"/>
      <c r="K91" s="3"/>
      <c r="L91" s="103"/>
      <c r="M91" s="108"/>
      <c r="N91" s="9"/>
    </row>
    <row r="92" spans="1:14" ht="13.95" customHeight="1">
      <c r="A92" s="1">
        <v>16</v>
      </c>
      <c r="B92" s="1"/>
      <c r="C92" s="33" t="s">
        <v>39</v>
      </c>
      <c r="D92" s="1" t="s">
        <v>60</v>
      </c>
      <c r="E92" s="3">
        <f>SUM(I92:N92)</f>
        <v>71</v>
      </c>
      <c r="F92" s="13">
        <v>850</v>
      </c>
      <c r="G92" s="5">
        <f t="shared" ref="G92" si="22">+E92*F92</f>
        <v>60350</v>
      </c>
      <c r="I92" s="3"/>
      <c r="J92" s="3">
        <v>66</v>
      </c>
      <c r="K92" s="3"/>
      <c r="L92" s="103">
        <v>5</v>
      </c>
      <c r="M92" s="108"/>
      <c r="N92" s="9"/>
    </row>
    <row r="93" spans="1:14" ht="13.95" customHeight="1">
      <c r="A93" s="1"/>
      <c r="B93" s="1"/>
      <c r="C93" s="33"/>
      <c r="D93" s="1"/>
      <c r="E93" s="3"/>
      <c r="F93" s="13"/>
      <c r="G93" s="5"/>
      <c r="I93" s="3"/>
      <c r="J93" s="3"/>
      <c r="K93" s="3"/>
      <c r="L93" s="103"/>
      <c r="M93" s="108"/>
      <c r="N93" s="9"/>
    </row>
    <row r="94" spans="1:14" ht="13.95" customHeight="1">
      <c r="A94" s="1">
        <v>17</v>
      </c>
      <c r="B94" s="1"/>
      <c r="C94" s="33" t="s">
        <v>247</v>
      </c>
      <c r="D94" s="1" t="s">
        <v>60</v>
      </c>
      <c r="E94" s="3">
        <f>SUM(I94:N94)</f>
        <v>0</v>
      </c>
      <c r="F94" s="13">
        <v>775</v>
      </c>
      <c r="G94" s="5">
        <f t="shared" ref="G94" si="23">+E94*F94</f>
        <v>0</v>
      </c>
      <c r="I94" s="3"/>
      <c r="J94" s="3"/>
      <c r="K94" s="3"/>
      <c r="L94" s="103"/>
      <c r="M94" s="108"/>
      <c r="N94" s="9"/>
    </row>
    <row r="95" spans="1:14" ht="13.95" customHeight="1">
      <c r="A95" s="1"/>
      <c r="B95" s="1"/>
      <c r="C95" s="33"/>
      <c r="D95" s="1"/>
      <c r="E95" s="3"/>
      <c r="F95" s="4"/>
      <c r="G95" s="5"/>
      <c r="I95" s="3"/>
      <c r="J95" s="3"/>
      <c r="K95" s="3"/>
      <c r="L95" s="103"/>
      <c r="M95" s="108"/>
      <c r="N95" s="9"/>
    </row>
    <row r="96" spans="1:14" ht="20.100000000000001" customHeight="1">
      <c r="A96" s="149" t="s">
        <v>66</v>
      </c>
      <c r="B96" s="150"/>
      <c r="C96" s="150"/>
      <c r="D96" s="150"/>
      <c r="E96" s="150"/>
      <c r="F96" s="151"/>
      <c r="G96" s="116">
        <f>SUM(G52:G95)</f>
        <v>365107.25</v>
      </c>
      <c r="I96" s="9"/>
      <c r="J96" s="9"/>
      <c r="K96" s="9"/>
      <c r="L96" s="103"/>
      <c r="M96" s="108"/>
      <c r="N96" s="9"/>
    </row>
    <row r="97" spans="1:14" ht="13.95" customHeight="1">
      <c r="A97" s="39"/>
      <c r="B97" s="39"/>
      <c r="C97" s="39"/>
      <c r="D97" s="39"/>
      <c r="E97" s="39"/>
      <c r="F97" s="39"/>
      <c r="G97" s="113"/>
      <c r="I97" s="9"/>
      <c r="J97" s="9"/>
      <c r="K97" s="9"/>
      <c r="L97" s="103"/>
      <c r="M97" s="108"/>
      <c r="N97" s="9"/>
    </row>
    <row r="98" spans="1:14" ht="13.95" customHeight="1">
      <c r="A98" s="39"/>
      <c r="B98" s="39"/>
      <c r="C98" s="39"/>
      <c r="D98" s="39"/>
      <c r="E98" s="39"/>
      <c r="F98" s="39"/>
      <c r="G98" s="113"/>
      <c r="I98" s="9"/>
      <c r="J98" s="9"/>
      <c r="K98" s="9"/>
      <c r="L98" s="103"/>
      <c r="M98" s="108"/>
      <c r="N98" s="9"/>
    </row>
    <row r="99" spans="1:14" ht="22.2" customHeight="1">
      <c r="A99" s="44" t="s">
        <v>8</v>
      </c>
      <c r="B99" s="48" t="s">
        <v>9</v>
      </c>
      <c r="C99" s="44" t="s">
        <v>10</v>
      </c>
      <c r="D99" s="48" t="s">
        <v>11</v>
      </c>
      <c r="E99" s="48" t="s">
        <v>59</v>
      </c>
      <c r="F99" s="49" t="s">
        <v>12</v>
      </c>
      <c r="G99" s="111" t="s">
        <v>13</v>
      </c>
      <c r="I99" s="9"/>
      <c r="J99" s="9"/>
      <c r="K99" s="9"/>
      <c r="L99" s="103"/>
      <c r="M99" s="108"/>
      <c r="N99" s="9"/>
    </row>
    <row r="100" spans="1:14" ht="20.100000000000001" customHeight="1">
      <c r="A100" s="149" t="s">
        <v>67</v>
      </c>
      <c r="B100" s="150"/>
      <c r="C100" s="150"/>
      <c r="D100" s="150"/>
      <c r="E100" s="150"/>
      <c r="F100" s="151"/>
      <c r="G100" s="116">
        <f>+G96</f>
        <v>365107.25</v>
      </c>
      <c r="I100" s="9"/>
      <c r="J100" s="9"/>
      <c r="K100" s="9"/>
      <c r="L100" s="103"/>
      <c r="M100" s="108"/>
      <c r="N100" s="9"/>
    </row>
    <row r="101" spans="1:14" ht="13.95" customHeight="1">
      <c r="A101" s="1"/>
      <c r="B101" s="1"/>
      <c r="C101" s="33"/>
      <c r="D101" s="1"/>
      <c r="E101" s="3"/>
      <c r="F101" s="13"/>
      <c r="G101" s="5"/>
      <c r="I101" s="9"/>
      <c r="J101" s="9"/>
      <c r="K101" s="9"/>
      <c r="L101" s="103"/>
      <c r="M101" s="108"/>
      <c r="N101" s="9"/>
    </row>
    <row r="102" spans="1:14" ht="13.95" customHeight="1">
      <c r="A102" s="1"/>
      <c r="B102" s="1"/>
      <c r="C102" s="37" t="s">
        <v>248</v>
      </c>
      <c r="D102" s="1"/>
      <c r="E102" s="3"/>
      <c r="F102" s="13"/>
      <c r="G102" s="5"/>
      <c r="I102" s="3"/>
      <c r="J102" s="3"/>
      <c r="K102" s="3"/>
      <c r="L102" s="103"/>
      <c r="M102" s="108"/>
      <c r="N102" s="9"/>
    </row>
    <row r="103" spans="1:14" ht="13.95" customHeight="1">
      <c r="A103" s="1"/>
      <c r="B103" s="1"/>
      <c r="C103" s="33"/>
      <c r="D103" s="1"/>
      <c r="E103" s="3"/>
      <c r="F103" s="13"/>
      <c r="G103" s="5"/>
      <c r="I103" s="3"/>
      <c r="J103" s="3"/>
      <c r="K103" s="3"/>
      <c r="L103" s="103"/>
      <c r="M103" s="108"/>
      <c r="N103" s="9"/>
    </row>
    <row r="104" spans="1:14" ht="13.95" customHeight="1">
      <c r="A104" s="1">
        <v>18</v>
      </c>
      <c r="B104" s="1"/>
      <c r="C104" s="33" t="s">
        <v>249</v>
      </c>
      <c r="D104" s="1" t="s">
        <v>60</v>
      </c>
      <c r="E104" s="3">
        <f>SUM(I104:N104)</f>
        <v>0</v>
      </c>
      <c r="F104" s="13">
        <v>1150</v>
      </c>
      <c r="G104" s="5">
        <f t="shared" ref="G104" si="24">+E104*F104</f>
        <v>0</v>
      </c>
      <c r="I104" s="3"/>
      <c r="J104" s="3"/>
      <c r="K104" s="3"/>
      <c r="L104" s="103"/>
      <c r="M104" s="108"/>
      <c r="N104" s="9"/>
    </row>
    <row r="105" spans="1:14" ht="13.95" customHeight="1">
      <c r="A105" s="1"/>
      <c r="B105" s="1"/>
      <c r="C105" s="33"/>
      <c r="D105" s="1"/>
      <c r="E105" s="3"/>
      <c r="F105" s="13"/>
      <c r="G105" s="5"/>
      <c r="I105" s="9"/>
      <c r="J105" s="9"/>
      <c r="K105" s="9"/>
      <c r="L105" s="103"/>
      <c r="M105" s="108"/>
      <c r="N105" s="9"/>
    </row>
    <row r="106" spans="1:14" ht="13.95" customHeight="1">
      <c r="A106" s="1"/>
      <c r="B106" s="1" t="s">
        <v>89</v>
      </c>
      <c r="C106" s="32" t="s">
        <v>156</v>
      </c>
      <c r="D106" s="1"/>
      <c r="E106" s="3"/>
      <c r="F106" s="4"/>
      <c r="G106" s="5"/>
      <c r="I106" s="9"/>
      <c r="J106" s="9"/>
      <c r="K106" s="9"/>
      <c r="L106" s="103"/>
      <c r="M106" s="108"/>
      <c r="N106" s="9"/>
    </row>
    <row r="107" spans="1:14" ht="13.95" customHeight="1">
      <c r="A107" s="1"/>
      <c r="B107" s="1"/>
      <c r="C107" s="33"/>
      <c r="D107" s="1"/>
      <c r="E107" s="3"/>
      <c r="F107" s="4"/>
      <c r="G107" s="5"/>
      <c r="I107" s="9"/>
      <c r="J107" s="9"/>
      <c r="K107" s="9"/>
      <c r="L107" s="103"/>
      <c r="M107" s="108"/>
      <c r="N107" s="9"/>
    </row>
    <row r="108" spans="1:14" ht="13.95" customHeight="1">
      <c r="A108" s="1">
        <v>19</v>
      </c>
      <c r="B108" s="1"/>
      <c r="C108" s="47" t="s">
        <v>244</v>
      </c>
      <c r="D108" s="1" t="s">
        <v>1</v>
      </c>
      <c r="E108" s="3">
        <f>SUM(I108:N108)</f>
        <v>33</v>
      </c>
      <c r="F108" s="3">
        <v>135</v>
      </c>
      <c r="G108" s="5">
        <f t="shared" ref="G108" si="25">+E108*F108</f>
        <v>4455</v>
      </c>
      <c r="I108" s="3">
        <v>33</v>
      </c>
      <c r="J108" s="3"/>
      <c r="K108" s="3"/>
      <c r="L108" s="103"/>
      <c r="M108" s="108"/>
      <c r="N108" s="9"/>
    </row>
    <row r="109" spans="1:14" ht="13.95" customHeight="1">
      <c r="A109" s="1"/>
      <c r="B109" s="1"/>
      <c r="C109" s="33"/>
      <c r="D109" s="1"/>
      <c r="E109" s="3"/>
      <c r="F109" s="4"/>
      <c r="G109" s="5"/>
      <c r="I109" s="3"/>
      <c r="J109" s="3"/>
      <c r="K109" s="3"/>
      <c r="L109" s="103"/>
      <c r="M109" s="108"/>
      <c r="N109" s="9"/>
    </row>
    <row r="110" spans="1:14" ht="13.95" customHeight="1">
      <c r="A110" s="1"/>
      <c r="B110" s="1" t="s">
        <v>90</v>
      </c>
      <c r="C110" s="32" t="s">
        <v>36</v>
      </c>
      <c r="D110" s="1"/>
      <c r="E110" s="3"/>
      <c r="F110" s="4"/>
      <c r="G110" s="5"/>
      <c r="I110" s="3"/>
      <c r="J110" s="3"/>
      <c r="K110" s="3"/>
      <c r="L110" s="103"/>
      <c r="M110" s="108"/>
      <c r="N110" s="9"/>
    </row>
    <row r="111" spans="1:14" ht="13.95" customHeight="1">
      <c r="A111" s="1"/>
      <c r="B111" s="1"/>
      <c r="C111" s="33"/>
      <c r="D111" s="1"/>
      <c r="E111" s="3"/>
      <c r="F111" s="4"/>
      <c r="G111" s="5"/>
      <c r="I111" s="3"/>
      <c r="J111" s="3"/>
      <c r="K111" s="3"/>
      <c r="L111" s="103"/>
      <c r="M111" s="108"/>
      <c r="N111" s="9"/>
    </row>
    <row r="112" spans="1:14" ht="24" customHeight="1">
      <c r="A112" s="1"/>
      <c r="B112" s="1"/>
      <c r="C112" s="33" t="s">
        <v>225</v>
      </c>
      <c r="D112" s="1"/>
      <c r="E112" s="3"/>
      <c r="F112" s="4"/>
      <c r="G112" s="5"/>
      <c r="I112" s="3"/>
      <c r="J112" s="3"/>
      <c r="K112" s="3"/>
      <c r="L112" s="103"/>
      <c r="M112" s="108"/>
      <c r="N112" s="9"/>
    </row>
    <row r="113" spans="1:14" ht="13.95" customHeight="1">
      <c r="A113" s="1"/>
      <c r="B113" s="1"/>
      <c r="C113" s="33"/>
      <c r="D113" s="1"/>
      <c r="E113" s="3"/>
      <c r="F113" s="4"/>
      <c r="G113" s="5"/>
      <c r="I113" s="3"/>
      <c r="J113" s="3"/>
      <c r="K113" s="3"/>
      <c r="L113" s="103"/>
      <c r="M113" s="108"/>
      <c r="N113" s="9"/>
    </row>
    <row r="114" spans="1:14" ht="13.95" customHeight="1">
      <c r="A114" s="1">
        <v>20</v>
      </c>
      <c r="B114" s="1"/>
      <c r="C114" s="33" t="s">
        <v>37</v>
      </c>
      <c r="D114" s="1" t="s">
        <v>6</v>
      </c>
      <c r="E114" s="3">
        <f>SUM(I114:N114)</f>
        <v>8</v>
      </c>
      <c r="F114" s="3">
        <v>75</v>
      </c>
      <c r="G114" s="5">
        <f t="shared" ref="G114" si="26">+E114*F114</f>
        <v>600</v>
      </c>
      <c r="I114" s="3"/>
      <c r="J114" s="3"/>
      <c r="K114" s="3"/>
      <c r="L114" s="103"/>
      <c r="M114" s="108">
        <v>8</v>
      </c>
      <c r="N114" s="9"/>
    </row>
    <row r="115" spans="1:14" ht="13.95" customHeight="1">
      <c r="A115" s="1"/>
      <c r="B115" s="1"/>
      <c r="C115" s="33"/>
      <c r="D115" s="1"/>
      <c r="E115" s="3"/>
      <c r="F115" s="3"/>
      <c r="G115" s="5"/>
      <c r="I115" s="3"/>
      <c r="J115" s="3"/>
      <c r="K115" s="3"/>
      <c r="L115" s="103"/>
      <c r="M115" s="108"/>
      <c r="N115" s="9"/>
    </row>
    <row r="116" spans="1:14" ht="13.95" customHeight="1">
      <c r="A116" s="1"/>
      <c r="B116" s="1"/>
      <c r="C116" s="33" t="s">
        <v>226</v>
      </c>
      <c r="D116" s="1" t="s">
        <v>6</v>
      </c>
      <c r="E116" s="3">
        <f>SUM(I116:N116)</f>
        <v>0</v>
      </c>
      <c r="F116" s="3">
        <v>275</v>
      </c>
      <c r="G116" s="5">
        <f t="shared" ref="G116" si="27">+E116*F116</f>
        <v>0</v>
      </c>
      <c r="I116" s="3"/>
      <c r="J116" s="3"/>
      <c r="K116" s="3"/>
      <c r="L116" s="103"/>
      <c r="M116" s="108"/>
      <c r="N116" s="9"/>
    </row>
    <row r="117" spans="1:14" ht="13.95" customHeight="1">
      <c r="A117" s="1"/>
      <c r="B117" s="1"/>
      <c r="D117" s="1"/>
      <c r="E117" s="3"/>
      <c r="F117" s="4"/>
      <c r="G117" s="5"/>
      <c r="I117" s="3"/>
      <c r="J117" s="3"/>
      <c r="K117" s="3"/>
      <c r="L117" s="103"/>
      <c r="M117" s="108"/>
      <c r="N117" s="9"/>
    </row>
    <row r="118" spans="1:14" ht="13.95" customHeight="1">
      <c r="A118" s="1"/>
      <c r="B118" s="1"/>
      <c r="C118" s="42" t="s">
        <v>104</v>
      </c>
      <c r="D118" s="1"/>
      <c r="E118" s="3"/>
      <c r="F118" s="4"/>
      <c r="G118" s="5"/>
      <c r="I118" s="3"/>
      <c r="J118" s="3"/>
      <c r="K118" s="3"/>
      <c r="L118" s="103"/>
      <c r="M118" s="108"/>
      <c r="N118" s="9"/>
    </row>
    <row r="119" spans="1:14" ht="13.95" customHeight="1">
      <c r="A119" s="1"/>
      <c r="B119" s="1"/>
      <c r="C119" s="6"/>
      <c r="D119" s="1"/>
      <c r="E119" s="3"/>
      <c r="F119" s="4"/>
      <c r="G119" s="5"/>
      <c r="I119" s="3"/>
      <c r="J119" s="3"/>
      <c r="K119" s="3"/>
      <c r="L119" s="103"/>
      <c r="M119" s="108"/>
      <c r="N119" s="9"/>
    </row>
    <row r="120" spans="1:14" ht="13.95" customHeight="1">
      <c r="A120" s="1">
        <f>A114+1</f>
        <v>21</v>
      </c>
      <c r="B120" s="1"/>
      <c r="C120" s="6" t="s">
        <v>106</v>
      </c>
      <c r="D120" s="1" t="s">
        <v>1</v>
      </c>
      <c r="E120" s="3">
        <f>SUM(I120:AG120)</f>
        <v>107</v>
      </c>
      <c r="F120" s="3">
        <v>36</v>
      </c>
      <c r="G120" s="5">
        <f t="shared" ref="G120" si="28">+E120*F120</f>
        <v>3852</v>
      </c>
      <c r="I120" s="3"/>
      <c r="J120" s="3">
        <v>66</v>
      </c>
      <c r="K120" s="3">
        <v>26</v>
      </c>
      <c r="L120" s="103"/>
      <c r="M120" s="108">
        <v>15</v>
      </c>
      <c r="N120" s="9"/>
    </row>
    <row r="121" spans="1:14" ht="13.95" customHeight="1">
      <c r="A121" s="1"/>
      <c r="B121" s="1"/>
      <c r="C121" s="6"/>
      <c r="D121" s="1"/>
      <c r="E121" s="3"/>
      <c r="F121" s="4"/>
      <c r="G121" s="5"/>
      <c r="I121" s="3"/>
      <c r="J121" s="3"/>
      <c r="K121" s="3"/>
      <c r="L121" s="103"/>
      <c r="M121" s="108"/>
      <c r="N121" s="9"/>
    </row>
    <row r="122" spans="1:14" ht="13.95" customHeight="1">
      <c r="A122" s="1"/>
      <c r="B122" s="2" t="s">
        <v>91</v>
      </c>
      <c r="C122" s="34" t="s">
        <v>18</v>
      </c>
      <c r="D122" s="1"/>
      <c r="E122" s="3"/>
      <c r="F122" s="4"/>
      <c r="G122" s="5"/>
      <c r="I122" s="3"/>
      <c r="J122" s="3"/>
      <c r="K122" s="3"/>
      <c r="L122" s="103"/>
      <c r="M122" s="108"/>
      <c r="N122" s="9"/>
    </row>
    <row r="123" spans="1:14" ht="13.95" customHeight="1">
      <c r="A123" s="1"/>
      <c r="B123" s="1"/>
      <c r="C123" s="33"/>
      <c r="D123" s="1"/>
      <c r="E123" s="3"/>
      <c r="F123" s="4"/>
      <c r="G123" s="5"/>
      <c r="I123" s="3"/>
      <c r="J123" s="3"/>
      <c r="K123" s="3"/>
      <c r="L123" s="103"/>
      <c r="M123" s="108"/>
      <c r="N123" s="9"/>
    </row>
    <row r="124" spans="1:14" ht="13.95" customHeight="1">
      <c r="A124" s="1"/>
      <c r="B124" s="1" t="s">
        <v>84</v>
      </c>
      <c r="C124" s="32" t="s">
        <v>19</v>
      </c>
      <c r="D124" s="1"/>
      <c r="E124" s="3"/>
      <c r="F124" s="4"/>
      <c r="G124" s="5"/>
      <c r="I124" s="3"/>
      <c r="J124" s="3"/>
      <c r="K124" s="3"/>
      <c r="L124" s="103"/>
      <c r="M124" s="108"/>
      <c r="N124" s="9"/>
    </row>
    <row r="125" spans="1:14" ht="13.95" customHeight="1">
      <c r="A125" s="1"/>
      <c r="B125" s="1"/>
      <c r="C125" s="33"/>
      <c r="D125" s="1"/>
      <c r="E125" s="3"/>
      <c r="F125" s="4"/>
      <c r="G125" s="5"/>
      <c r="I125" s="3"/>
      <c r="J125" s="3"/>
      <c r="K125" s="3"/>
      <c r="L125" s="103"/>
      <c r="M125" s="108"/>
      <c r="N125" s="9"/>
    </row>
    <row r="126" spans="1:14" ht="13.95" customHeight="1">
      <c r="A126" s="1">
        <f>A120+1</f>
        <v>22</v>
      </c>
      <c r="B126" s="1"/>
      <c r="C126" s="33" t="s">
        <v>72</v>
      </c>
      <c r="D126" s="1" t="s">
        <v>2</v>
      </c>
      <c r="E126" s="3">
        <f>SUM(I126:N126)</f>
        <v>6.32</v>
      </c>
      <c r="F126" s="3">
        <v>25750</v>
      </c>
      <c r="G126" s="5">
        <f t="shared" ref="G126" si="29">+E126*F126</f>
        <v>162740</v>
      </c>
      <c r="I126" s="4"/>
      <c r="J126" s="4">
        <v>2.7</v>
      </c>
      <c r="K126" s="4">
        <v>1</v>
      </c>
      <c r="L126" s="103">
        <v>0.4</v>
      </c>
      <c r="M126" s="108">
        <v>0.22</v>
      </c>
      <c r="N126" s="9">
        <v>2</v>
      </c>
    </row>
    <row r="127" spans="1:14" ht="13.95" customHeight="1">
      <c r="A127" s="1"/>
      <c r="B127" s="1"/>
      <c r="C127" s="33"/>
      <c r="D127" s="1"/>
      <c r="E127" s="3"/>
      <c r="F127" s="4"/>
      <c r="G127" s="5"/>
      <c r="I127" s="3"/>
      <c r="J127" s="3"/>
      <c r="K127" s="3"/>
      <c r="L127" s="103"/>
      <c r="M127" s="108"/>
      <c r="N127" s="9"/>
    </row>
    <row r="128" spans="1:14" ht="13.95" customHeight="1">
      <c r="A128" s="1"/>
      <c r="B128" s="1" t="s">
        <v>92</v>
      </c>
      <c r="C128" s="32" t="s">
        <v>3</v>
      </c>
      <c r="D128" s="1"/>
      <c r="E128" s="3"/>
      <c r="F128" s="4"/>
      <c r="G128" s="5"/>
      <c r="I128" s="3"/>
      <c r="J128" s="3"/>
      <c r="K128" s="3"/>
      <c r="L128" s="103"/>
      <c r="M128" s="108"/>
      <c r="N128" s="9"/>
    </row>
    <row r="129" spans="1:14" ht="13.95" customHeight="1">
      <c r="A129" s="1"/>
      <c r="B129" s="1"/>
      <c r="C129" s="33"/>
      <c r="D129" s="1"/>
      <c r="E129" s="3"/>
      <c r="F129" s="4"/>
      <c r="G129" s="5"/>
      <c r="I129" s="3"/>
      <c r="J129" s="3"/>
      <c r="K129" s="3"/>
      <c r="L129" s="103"/>
      <c r="M129" s="108"/>
      <c r="N129" s="9"/>
    </row>
    <row r="130" spans="1:14" ht="13.95" customHeight="1">
      <c r="A130" s="1">
        <f>A126+1</f>
        <v>23</v>
      </c>
      <c r="B130" s="1"/>
      <c r="C130" s="33" t="s">
        <v>73</v>
      </c>
      <c r="D130" s="1" t="s">
        <v>60</v>
      </c>
      <c r="E130" s="3">
        <f>SUM(I130:N130)</f>
        <v>54</v>
      </c>
      <c r="F130" s="13">
        <v>345</v>
      </c>
      <c r="G130" s="5">
        <f t="shared" ref="G130" si="30">+E130*F130</f>
        <v>18630</v>
      </c>
      <c r="I130" s="3">
        <v>54</v>
      </c>
      <c r="J130" s="3"/>
      <c r="K130" s="3"/>
      <c r="L130" s="103"/>
      <c r="M130" s="108"/>
      <c r="N130" s="9"/>
    </row>
    <row r="131" spans="1:14" ht="13.95" customHeight="1">
      <c r="A131" s="1"/>
      <c r="B131" s="1"/>
      <c r="C131" s="33"/>
      <c r="D131" s="1"/>
      <c r="E131" s="3"/>
      <c r="F131" s="4"/>
      <c r="G131" s="5"/>
      <c r="I131" s="3"/>
      <c r="J131" s="3"/>
      <c r="K131" s="3"/>
      <c r="L131" s="103"/>
      <c r="M131" s="108"/>
      <c r="N131" s="9"/>
    </row>
    <row r="132" spans="1:14" ht="13.95" customHeight="1">
      <c r="A132" s="1"/>
      <c r="B132" s="36" t="s">
        <v>93</v>
      </c>
      <c r="C132" s="34" t="s">
        <v>4</v>
      </c>
      <c r="D132" s="1"/>
      <c r="E132" s="3"/>
      <c r="F132" s="4"/>
      <c r="G132" s="5"/>
      <c r="I132" s="3"/>
      <c r="J132" s="3"/>
      <c r="K132" s="3"/>
      <c r="L132" s="103"/>
      <c r="M132" s="108"/>
      <c r="N132" s="9"/>
    </row>
    <row r="133" spans="1:14" ht="13.95" customHeight="1">
      <c r="A133" s="1"/>
      <c r="C133" s="33"/>
      <c r="D133" s="1"/>
      <c r="E133" s="3"/>
      <c r="F133" s="4"/>
      <c r="G133" s="5"/>
      <c r="I133" s="3"/>
      <c r="J133" s="3"/>
      <c r="K133" s="3"/>
      <c r="L133" s="103"/>
      <c r="M133" s="108"/>
      <c r="N133" s="9"/>
    </row>
    <row r="134" spans="1:14" ht="13.95" customHeight="1">
      <c r="A134" s="1"/>
      <c r="B134" s="20" t="s">
        <v>94</v>
      </c>
      <c r="C134" s="32" t="s">
        <v>5</v>
      </c>
      <c r="D134" s="1"/>
      <c r="E134" s="3"/>
      <c r="F134" s="4"/>
      <c r="G134" s="5"/>
      <c r="I134" s="3"/>
      <c r="J134" s="3"/>
      <c r="K134" s="3"/>
      <c r="L134" s="103"/>
      <c r="M134" s="108"/>
      <c r="N134" s="9"/>
    </row>
    <row r="135" spans="1:14" ht="13.95" customHeight="1">
      <c r="A135" s="1"/>
      <c r="C135" s="33"/>
      <c r="D135" s="1"/>
      <c r="E135" s="3"/>
      <c r="F135" s="4"/>
      <c r="G135" s="5"/>
      <c r="I135" s="3"/>
      <c r="J135" s="3"/>
      <c r="K135" s="3"/>
      <c r="L135" s="103"/>
      <c r="M135" s="108"/>
      <c r="N135" s="9"/>
    </row>
    <row r="136" spans="1:14" ht="13.95" customHeight="1">
      <c r="A136" s="1"/>
      <c r="C136" s="33" t="s">
        <v>74</v>
      </c>
      <c r="D136" s="1"/>
      <c r="E136" s="3"/>
      <c r="F136" s="4"/>
      <c r="G136" s="5"/>
      <c r="I136" s="3"/>
      <c r="J136" s="3"/>
      <c r="K136" s="3"/>
      <c r="L136" s="103"/>
      <c r="M136" s="108"/>
      <c r="N136" s="9"/>
    </row>
    <row r="137" spans="1:14" ht="13.95" customHeight="1">
      <c r="A137" s="1"/>
      <c r="C137" s="33"/>
      <c r="D137" s="1"/>
      <c r="E137" s="3"/>
      <c r="F137" s="4"/>
      <c r="G137" s="5"/>
      <c r="I137" s="3"/>
      <c r="J137" s="3"/>
      <c r="K137" s="3"/>
      <c r="L137" s="103"/>
      <c r="M137" s="108"/>
      <c r="N137" s="9"/>
    </row>
    <row r="138" spans="1:14" ht="13.95" customHeight="1">
      <c r="A138" s="1">
        <f>A130+1</f>
        <v>24</v>
      </c>
      <c r="C138" s="33" t="s">
        <v>24</v>
      </c>
      <c r="D138" s="1" t="s">
        <v>60</v>
      </c>
      <c r="E138" s="3">
        <f>SUM(I138:N138)</f>
        <v>38.29</v>
      </c>
      <c r="F138" s="3">
        <v>175</v>
      </c>
      <c r="G138" s="5">
        <f t="shared" ref="G138" si="31">+E138*F138</f>
        <v>6700.75</v>
      </c>
      <c r="I138" s="3"/>
      <c r="J138" s="3">
        <v>33</v>
      </c>
      <c r="K138" s="3"/>
      <c r="L138" s="103">
        <v>5.29</v>
      </c>
      <c r="M138" s="108"/>
      <c r="N138" s="9"/>
    </row>
    <row r="139" spans="1:14" ht="13.95" customHeight="1">
      <c r="A139" s="1"/>
      <c r="C139" s="33"/>
      <c r="D139" s="1"/>
      <c r="E139" s="3"/>
      <c r="F139" s="3"/>
      <c r="G139" s="5"/>
      <c r="I139" s="3"/>
      <c r="J139" s="3"/>
      <c r="K139" s="3"/>
      <c r="L139" s="103"/>
      <c r="M139" s="108"/>
      <c r="N139" s="9"/>
    </row>
    <row r="140" spans="1:14" ht="13.95" customHeight="1">
      <c r="A140" s="1"/>
      <c r="C140" s="33"/>
      <c r="D140" s="1"/>
      <c r="E140" s="3"/>
      <c r="F140" s="3"/>
      <c r="G140" s="5"/>
      <c r="I140" s="3"/>
      <c r="J140" s="3"/>
      <c r="K140" s="3"/>
      <c r="L140" s="103"/>
      <c r="M140" s="108"/>
      <c r="N140" s="9"/>
    </row>
    <row r="141" spans="1:14" ht="13.95" customHeight="1">
      <c r="A141" s="1"/>
      <c r="C141" s="33"/>
      <c r="D141" s="1"/>
      <c r="E141" s="3"/>
      <c r="F141" s="3"/>
      <c r="G141" s="5"/>
      <c r="I141" s="3"/>
      <c r="J141" s="3"/>
      <c r="K141" s="3"/>
      <c r="L141" s="103"/>
      <c r="M141" s="108"/>
      <c r="N141" s="9"/>
    </row>
    <row r="142" spans="1:14" ht="13.95" customHeight="1">
      <c r="A142" s="1"/>
      <c r="C142" s="33"/>
      <c r="D142" s="1"/>
      <c r="E142" s="3"/>
      <c r="F142" s="3"/>
      <c r="G142" s="5"/>
      <c r="I142" s="3"/>
      <c r="J142" s="3"/>
      <c r="K142" s="3"/>
      <c r="L142" s="103"/>
      <c r="M142" s="108"/>
      <c r="N142" s="9"/>
    </row>
    <row r="143" spans="1:14" ht="13.95" customHeight="1">
      <c r="A143" s="1"/>
      <c r="C143" s="33"/>
      <c r="D143" s="1"/>
      <c r="E143" s="3"/>
      <c r="F143" s="3"/>
      <c r="G143" s="5"/>
      <c r="I143" s="3"/>
      <c r="J143" s="3"/>
      <c r="K143" s="3"/>
      <c r="L143" s="103"/>
      <c r="M143" s="108"/>
      <c r="N143" s="9"/>
    </row>
    <row r="144" spans="1:14" ht="13.95" customHeight="1">
      <c r="A144" s="1"/>
      <c r="C144" s="33"/>
      <c r="D144" s="1"/>
      <c r="E144" s="3"/>
      <c r="F144" s="3"/>
      <c r="G144" s="5"/>
      <c r="I144" s="3"/>
      <c r="J144" s="3"/>
      <c r="K144" s="3"/>
      <c r="L144" s="103"/>
      <c r="M144" s="108"/>
      <c r="N144" s="9"/>
    </row>
    <row r="145" spans="1:14" ht="13.95" customHeight="1">
      <c r="A145" s="1"/>
      <c r="B145" s="1"/>
      <c r="C145" s="33"/>
      <c r="D145" s="1"/>
      <c r="E145" s="3"/>
      <c r="F145" s="4"/>
      <c r="G145" s="5"/>
      <c r="I145" s="3"/>
      <c r="J145" s="3"/>
      <c r="K145" s="3"/>
      <c r="L145" s="103"/>
      <c r="M145" s="108"/>
      <c r="N145" s="9"/>
    </row>
    <row r="146" spans="1:14" ht="13.95" customHeight="1">
      <c r="A146" s="1"/>
      <c r="B146" s="1"/>
      <c r="C146" s="33"/>
      <c r="D146" s="1"/>
      <c r="E146" s="3"/>
      <c r="F146" s="4"/>
      <c r="G146" s="5"/>
      <c r="I146" s="3"/>
      <c r="J146" s="3"/>
      <c r="K146" s="3"/>
      <c r="L146" s="103"/>
      <c r="M146" s="108"/>
      <c r="N146" s="9"/>
    </row>
    <row r="147" spans="1:14" ht="13.95" customHeight="1">
      <c r="A147" s="1"/>
      <c r="B147" s="1"/>
      <c r="C147" s="33"/>
      <c r="D147" s="1"/>
      <c r="E147" s="3"/>
      <c r="F147" s="4"/>
      <c r="G147" s="5"/>
      <c r="I147" s="3"/>
      <c r="J147" s="3"/>
      <c r="K147" s="3"/>
      <c r="L147" s="103"/>
      <c r="M147" s="108"/>
      <c r="N147" s="9"/>
    </row>
    <row r="148" spans="1:14" ht="20.100000000000001" customHeight="1">
      <c r="A148" s="149" t="s">
        <v>66</v>
      </c>
      <c r="B148" s="150"/>
      <c r="C148" s="150"/>
      <c r="D148" s="150"/>
      <c r="E148" s="150"/>
      <c r="F148" s="151"/>
      <c r="G148" s="116">
        <f>SUM(G100:G147)</f>
        <v>562085</v>
      </c>
      <c r="I148" s="9"/>
      <c r="J148" s="9"/>
      <c r="K148" s="9"/>
      <c r="L148" s="103"/>
      <c r="M148" s="108"/>
      <c r="N148" s="9"/>
    </row>
    <row r="149" spans="1:14" ht="13.95" customHeight="1">
      <c r="A149" s="39"/>
      <c r="B149" s="39"/>
      <c r="C149" s="39"/>
      <c r="D149" s="39"/>
      <c r="E149" s="39"/>
      <c r="F149" s="39"/>
      <c r="G149" s="113"/>
      <c r="I149" s="9"/>
      <c r="J149" s="9"/>
      <c r="K149" s="9"/>
      <c r="L149" s="103"/>
      <c r="M149" s="108"/>
      <c r="N149" s="9"/>
    </row>
    <row r="150" spans="1:14" ht="13.95" customHeight="1">
      <c r="A150" s="39"/>
      <c r="B150" s="39"/>
      <c r="C150" s="39"/>
      <c r="D150" s="39"/>
      <c r="E150" s="39"/>
      <c r="F150" s="39"/>
      <c r="G150" s="113"/>
      <c r="I150" s="9"/>
      <c r="J150" s="9"/>
      <c r="K150" s="9"/>
      <c r="L150" s="103"/>
      <c r="M150" s="108"/>
      <c r="N150" s="9"/>
    </row>
    <row r="151" spans="1:14" ht="22.2" customHeight="1">
      <c r="A151" s="44" t="s">
        <v>8</v>
      </c>
      <c r="B151" s="48" t="s">
        <v>9</v>
      </c>
      <c r="C151" s="44" t="s">
        <v>10</v>
      </c>
      <c r="D151" s="48" t="s">
        <v>11</v>
      </c>
      <c r="E151" s="48" t="s">
        <v>59</v>
      </c>
      <c r="F151" s="49" t="s">
        <v>12</v>
      </c>
      <c r="G151" s="111" t="s">
        <v>13</v>
      </c>
      <c r="I151" s="9"/>
      <c r="J151" s="9"/>
      <c r="K151" s="9"/>
      <c r="L151" s="103"/>
      <c r="M151" s="108"/>
      <c r="N151" s="9"/>
    </row>
    <row r="152" spans="1:14" ht="20.100000000000001" customHeight="1">
      <c r="A152" s="149" t="s">
        <v>67</v>
      </c>
      <c r="B152" s="150"/>
      <c r="C152" s="150"/>
      <c r="D152" s="150"/>
      <c r="E152" s="150"/>
      <c r="F152" s="151"/>
      <c r="G152" s="116">
        <f>+G148</f>
        <v>562085</v>
      </c>
      <c r="I152" s="9"/>
      <c r="J152" s="9"/>
      <c r="K152" s="9"/>
      <c r="L152" s="103"/>
      <c r="M152" s="108"/>
      <c r="N152" s="9"/>
    </row>
    <row r="153" spans="1:14" ht="13.95" customHeight="1">
      <c r="A153" s="1"/>
      <c r="B153" s="1"/>
      <c r="C153" s="33"/>
      <c r="D153" s="1"/>
      <c r="E153" s="3"/>
      <c r="F153" s="4"/>
      <c r="G153" s="5"/>
      <c r="I153" s="3"/>
      <c r="J153" s="3"/>
      <c r="K153" s="3"/>
      <c r="L153" s="103"/>
      <c r="M153" s="108"/>
      <c r="N153" s="9"/>
    </row>
    <row r="154" spans="1:14" ht="13.95" customHeight="1">
      <c r="A154" s="1"/>
      <c r="B154" s="1"/>
      <c r="C154" s="32" t="s">
        <v>158</v>
      </c>
      <c r="D154" s="1"/>
      <c r="E154" s="3"/>
      <c r="F154" s="4"/>
      <c r="G154" s="5"/>
      <c r="I154" s="3"/>
      <c r="J154" s="3"/>
      <c r="K154" s="3"/>
      <c r="L154" s="103"/>
      <c r="M154" s="108"/>
      <c r="N154" s="9"/>
    </row>
    <row r="155" spans="1:14" ht="13.95" customHeight="1">
      <c r="A155" s="1"/>
      <c r="B155" s="1"/>
      <c r="C155" s="33"/>
      <c r="D155" s="1"/>
      <c r="E155" s="3"/>
      <c r="F155" s="4"/>
      <c r="G155" s="5"/>
      <c r="I155" s="3"/>
      <c r="J155" s="3"/>
      <c r="K155" s="3"/>
      <c r="L155" s="103"/>
      <c r="M155" s="108"/>
      <c r="N155" s="9"/>
    </row>
    <row r="156" spans="1:14" ht="13.95" customHeight="1">
      <c r="A156" s="1">
        <f>A138+1</f>
        <v>25</v>
      </c>
      <c r="B156" s="1"/>
      <c r="C156" s="33" t="s">
        <v>202</v>
      </c>
      <c r="D156" s="1" t="s">
        <v>51</v>
      </c>
      <c r="E156" s="3">
        <f>SUM(I156:N156)</f>
        <v>10</v>
      </c>
      <c r="F156" s="3">
        <v>3550</v>
      </c>
      <c r="G156" s="5">
        <f t="shared" ref="G156" si="32">+E156*F156</f>
        <v>35500</v>
      </c>
      <c r="I156" s="3"/>
      <c r="J156" s="3"/>
      <c r="K156" s="3">
        <v>6</v>
      </c>
      <c r="L156" s="103"/>
      <c r="M156" s="108">
        <v>2</v>
      </c>
      <c r="N156" s="9">
        <v>2</v>
      </c>
    </row>
    <row r="157" spans="1:14" ht="13.95" customHeight="1">
      <c r="A157" s="1"/>
      <c r="B157" s="1"/>
      <c r="C157" s="33"/>
      <c r="D157" s="1"/>
      <c r="E157" s="3"/>
      <c r="F157" s="3"/>
      <c r="G157" s="5"/>
      <c r="I157" s="3"/>
      <c r="J157" s="3"/>
      <c r="K157" s="3"/>
      <c r="L157" s="103"/>
      <c r="M157" s="108"/>
      <c r="N157" s="9"/>
    </row>
    <row r="158" spans="1:14" ht="13.95" customHeight="1">
      <c r="A158" s="1">
        <f>A156+1</f>
        <v>26</v>
      </c>
      <c r="B158" s="1"/>
      <c r="C158" s="33" t="s">
        <v>28</v>
      </c>
      <c r="D158" s="1" t="s">
        <v>51</v>
      </c>
      <c r="E158" s="3">
        <f>SUM(I158:N158)</f>
        <v>21.990000000000002</v>
      </c>
      <c r="F158" s="3">
        <v>3200</v>
      </c>
      <c r="G158" s="5">
        <f t="shared" ref="G158" si="33">+E158*F158</f>
        <v>70368</v>
      </c>
      <c r="I158" s="3"/>
      <c r="J158" s="3">
        <v>13</v>
      </c>
      <c r="K158" s="3"/>
      <c r="L158" s="103">
        <v>2.12</v>
      </c>
      <c r="M158" s="108"/>
      <c r="N158" s="9">
        <v>6.87</v>
      </c>
    </row>
    <row r="159" spans="1:14" ht="13.95" customHeight="1">
      <c r="A159" s="1"/>
      <c r="B159" s="1"/>
      <c r="C159" s="33"/>
      <c r="D159" s="1"/>
      <c r="E159" s="3"/>
      <c r="F159" s="3"/>
      <c r="G159" s="5"/>
      <c r="I159" s="3"/>
      <c r="J159" s="3"/>
      <c r="K159" s="3"/>
      <c r="L159" s="103"/>
      <c r="M159" s="108"/>
      <c r="N159" s="9"/>
    </row>
    <row r="160" spans="1:14" ht="13.95" customHeight="1">
      <c r="A160" s="1">
        <v>25</v>
      </c>
      <c r="B160" s="1"/>
      <c r="C160" s="33" t="s">
        <v>62</v>
      </c>
      <c r="D160" s="1" t="s">
        <v>51</v>
      </c>
      <c r="E160" s="3">
        <f>SUM(I160:N160)</f>
        <v>9.25</v>
      </c>
      <c r="F160" s="3">
        <v>3350</v>
      </c>
      <c r="G160" s="5">
        <f t="shared" ref="G160" si="34">+E160*F160</f>
        <v>30987.5</v>
      </c>
      <c r="I160" s="3"/>
      <c r="J160" s="3">
        <v>8</v>
      </c>
      <c r="K160" s="3"/>
      <c r="L160" s="103">
        <v>1.25</v>
      </c>
      <c r="M160" s="108"/>
      <c r="N160" s="9"/>
    </row>
    <row r="161" spans="1:14" ht="13.95" customHeight="1">
      <c r="A161" s="1"/>
      <c r="B161" s="1"/>
      <c r="C161" s="33"/>
      <c r="D161" s="1"/>
      <c r="E161" s="3"/>
      <c r="F161" s="3"/>
      <c r="G161" s="5"/>
      <c r="I161" s="3"/>
      <c r="J161" s="3"/>
      <c r="K161" s="3"/>
      <c r="L161" s="103"/>
      <c r="M161" s="108"/>
      <c r="N161" s="9"/>
    </row>
    <row r="162" spans="1:14" ht="13.95" customHeight="1">
      <c r="A162" s="1">
        <v>26</v>
      </c>
      <c r="B162" s="1"/>
      <c r="C162" s="33" t="s">
        <v>27</v>
      </c>
      <c r="D162" s="1" t="s">
        <v>51</v>
      </c>
      <c r="E162" s="3">
        <f>SUM(I162:N162)</f>
        <v>11</v>
      </c>
      <c r="F162" s="3">
        <v>3200</v>
      </c>
      <c r="G162" s="5">
        <f t="shared" ref="G162" si="35">+E162*F162</f>
        <v>35200</v>
      </c>
      <c r="I162" s="3">
        <v>11</v>
      </c>
      <c r="J162" s="3"/>
      <c r="K162" s="3"/>
      <c r="L162" s="103"/>
      <c r="M162" s="108"/>
      <c r="N162" s="9"/>
    </row>
    <row r="163" spans="1:14" ht="13.95" customHeight="1">
      <c r="A163" s="1"/>
      <c r="B163" s="1"/>
      <c r="C163" s="33"/>
      <c r="D163" s="1"/>
      <c r="E163" s="3"/>
      <c r="F163" s="3"/>
      <c r="G163" s="5"/>
      <c r="I163" s="3"/>
      <c r="J163" s="3"/>
      <c r="K163" s="3"/>
      <c r="L163" s="103"/>
      <c r="M163" s="108"/>
      <c r="N163" s="9"/>
    </row>
    <row r="164" spans="1:14" ht="13.95" customHeight="1">
      <c r="A164" s="1">
        <f>A162+1</f>
        <v>27</v>
      </c>
      <c r="B164" s="1"/>
      <c r="C164" s="33" t="s">
        <v>250</v>
      </c>
      <c r="D164" s="1" t="s">
        <v>51</v>
      </c>
      <c r="E164" s="3">
        <f>SUM(I164:N164)</f>
        <v>0</v>
      </c>
      <c r="F164" s="3">
        <v>3650</v>
      </c>
      <c r="G164" s="5">
        <f t="shared" ref="G164" si="36">+E164*F164</f>
        <v>0</v>
      </c>
      <c r="I164" s="3"/>
      <c r="J164" s="3"/>
      <c r="K164" s="3"/>
      <c r="L164" s="103"/>
      <c r="M164" s="108"/>
      <c r="N164" s="9"/>
    </row>
    <row r="165" spans="1:14" ht="13.95" customHeight="1">
      <c r="A165" s="1"/>
      <c r="B165" s="1"/>
      <c r="C165" s="33"/>
      <c r="D165" s="1"/>
      <c r="E165" s="3"/>
      <c r="F165" s="4"/>
      <c r="G165" s="5"/>
      <c r="I165" s="3"/>
      <c r="J165" s="3"/>
      <c r="K165" s="3"/>
      <c r="L165" s="103"/>
      <c r="M165" s="108"/>
      <c r="N165" s="9"/>
    </row>
    <row r="166" spans="1:14" ht="13.95" customHeight="1">
      <c r="A166" s="1"/>
      <c r="B166" s="1" t="s">
        <v>96</v>
      </c>
      <c r="C166" s="32" t="s">
        <v>159</v>
      </c>
      <c r="D166" s="1"/>
      <c r="E166" s="3"/>
      <c r="F166" s="4"/>
      <c r="G166" s="5"/>
      <c r="I166" s="9"/>
      <c r="J166" s="9"/>
      <c r="K166" s="9"/>
      <c r="L166" s="103"/>
      <c r="M166" s="108"/>
      <c r="N166" s="9"/>
    </row>
    <row r="167" spans="1:14" ht="13.95" customHeight="1">
      <c r="A167" s="1"/>
      <c r="B167" s="1"/>
      <c r="C167" s="33"/>
      <c r="D167" s="1"/>
      <c r="E167" s="3"/>
      <c r="F167" s="4"/>
      <c r="G167" s="5"/>
      <c r="I167" s="9"/>
      <c r="J167" s="9"/>
      <c r="K167" s="9"/>
      <c r="L167" s="103"/>
      <c r="M167" s="108"/>
      <c r="N167" s="9"/>
    </row>
    <row r="168" spans="1:14" ht="13.95" customHeight="1">
      <c r="A168" s="1"/>
      <c r="B168" s="1"/>
      <c r="C168" s="33" t="s">
        <v>160</v>
      </c>
      <c r="D168" s="1"/>
      <c r="E168" s="3"/>
      <c r="F168" s="4"/>
      <c r="G168" s="5"/>
      <c r="I168" s="9"/>
      <c r="J168" s="9"/>
      <c r="K168" s="9"/>
      <c r="L168" s="103"/>
      <c r="M168" s="108"/>
      <c r="N168" s="9"/>
    </row>
    <row r="169" spans="1:14" ht="13.95" customHeight="1">
      <c r="A169" s="1"/>
      <c r="B169" s="1"/>
      <c r="C169" s="33"/>
      <c r="D169" s="1"/>
      <c r="E169" s="3"/>
      <c r="F169" s="4"/>
      <c r="G169" s="5"/>
      <c r="I169" s="9"/>
      <c r="J169" s="9"/>
      <c r="K169" s="9"/>
      <c r="L169" s="103"/>
      <c r="M169" s="108"/>
      <c r="N169" s="9"/>
    </row>
    <row r="170" spans="1:14" ht="13.95" customHeight="1">
      <c r="A170" s="1">
        <f>A164+1</f>
        <v>28</v>
      </c>
      <c r="B170" s="1"/>
      <c r="C170" s="33" t="s">
        <v>28</v>
      </c>
      <c r="D170" s="1" t="s">
        <v>60</v>
      </c>
      <c r="E170" s="3">
        <f>SUM(I170:N170)</f>
        <v>38.29</v>
      </c>
      <c r="F170" s="3">
        <v>46</v>
      </c>
      <c r="G170" s="5">
        <f t="shared" ref="G170" si="37">+E170*F170</f>
        <v>1761.34</v>
      </c>
      <c r="I170" s="3"/>
      <c r="J170" s="3">
        <v>33</v>
      </c>
      <c r="K170" s="3"/>
      <c r="L170" s="103">
        <v>5.29</v>
      </c>
      <c r="M170" s="108"/>
      <c r="N170" s="9"/>
    </row>
    <row r="171" spans="1:14" ht="13.95" customHeight="1">
      <c r="A171" s="1"/>
      <c r="B171" s="1"/>
      <c r="C171" s="33"/>
      <c r="D171" s="1"/>
      <c r="E171" s="3"/>
      <c r="F171" s="3"/>
      <c r="G171" s="5"/>
      <c r="I171" s="3"/>
      <c r="J171" s="3"/>
      <c r="K171" s="3"/>
      <c r="L171" s="103"/>
      <c r="M171" s="108"/>
      <c r="N171" s="9"/>
    </row>
    <row r="172" spans="1:14" ht="13.95" customHeight="1">
      <c r="A172" s="1"/>
      <c r="B172" s="1"/>
      <c r="C172" s="33" t="s">
        <v>196</v>
      </c>
      <c r="D172" s="1"/>
      <c r="E172" s="3"/>
      <c r="F172" s="3"/>
      <c r="G172" s="5"/>
      <c r="I172" s="3"/>
      <c r="J172" s="3"/>
      <c r="K172" s="3"/>
      <c r="L172" s="103"/>
      <c r="M172" s="108"/>
      <c r="N172" s="9"/>
    </row>
    <row r="173" spans="1:14" ht="13.95" customHeight="1">
      <c r="A173" s="1"/>
      <c r="B173" s="1"/>
      <c r="C173" s="33"/>
      <c r="D173" s="1"/>
      <c r="E173" s="3"/>
      <c r="F173" s="3"/>
      <c r="G173" s="5"/>
      <c r="I173" s="3"/>
      <c r="J173" s="3"/>
      <c r="K173" s="3"/>
      <c r="L173" s="103"/>
      <c r="M173" s="108"/>
      <c r="N173" s="9"/>
    </row>
    <row r="174" spans="1:14" ht="13.95" customHeight="1">
      <c r="A174" s="1">
        <f>A170+1</f>
        <v>29</v>
      </c>
      <c r="B174" s="1"/>
      <c r="C174" s="33" t="s">
        <v>29</v>
      </c>
      <c r="D174" s="1" t="s">
        <v>60</v>
      </c>
      <c r="E174" s="3">
        <f>SUM(I174:N174)</f>
        <v>54</v>
      </c>
      <c r="F174" s="3">
        <v>75</v>
      </c>
      <c r="G174" s="5">
        <f t="shared" ref="G174" si="38">+E174*F174</f>
        <v>4050</v>
      </c>
      <c r="I174" s="3">
        <v>54</v>
      </c>
      <c r="J174" s="3"/>
      <c r="K174" s="3"/>
      <c r="L174" s="103"/>
      <c r="M174" s="108"/>
      <c r="N174" s="9"/>
    </row>
    <row r="175" spans="1:14" ht="13.95" customHeight="1">
      <c r="A175" s="1"/>
      <c r="B175" s="1"/>
      <c r="C175" s="33"/>
      <c r="D175" s="1"/>
      <c r="E175" s="3"/>
      <c r="F175" s="4"/>
      <c r="G175" s="5"/>
      <c r="I175" s="3"/>
      <c r="J175" s="3"/>
      <c r="K175" s="3"/>
      <c r="L175" s="103"/>
      <c r="M175" s="108"/>
      <c r="N175" s="9"/>
    </row>
    <row r="176" spans="1:14" ht="13.95" customHeight="1">
      <c r="A176" s="1"/>
      <c r="B176" s="1" t="s">
        <v>97</v>
      </c>
      <c r="C176" s="34" t="s">
        <v>20</v>
      </c>
      <c r="D176" s="1"/>
      <c r="E176" s="3"/>
      <c r="F176" s="4"/>
      <c r="G176" s="5"/>
      <c r="I176" s="3"/>
      <c r="J176" s="3"/>
      <c r="K176" s="3"/>
      <c r="L176" s="103"/>
      <c r="M176" s="108"/>
      <c r="N176" s="9"/>
    </row>
    <row r="177" spans="1:14" ht="13.95" customHeight="1">
      <c r="A177" s="1"/>
      <c r="B177" s="1"/>
      <c r="C177" s="34"/>
      <c r="D177" s="1"/>
      <c r="E177" s="3"/>
      <c r="F177" s="4"/>
      <c r="G177" s="5"/>
      <c r="I177" s="3"/>
      <c r="J177" s="3"/>
      <c r="K177" s="3"/>
      <c r="L177" s="103"/>
      <c r="M177" s="108"/>
      <c r="N177" s="9"/>
    </row>
    <row r="178" spans="1:14" ht="13.95" customHeight="1">
      <c r="A178" s="1"/>
      <c r="B178" s="1"/>
      <c r="C178" s="32" t="s">
        <v>213</v>
      </c>
      <c r="D178" s="1"/>
      <c r="E178" s="3"/>
      <c r="F178" s="4"/>
      <c r="G178" s="5"/>
      <c r="I178" s="3"/>
      <c r="J178" s="3"/>
      <c r="K178" s="3"/>
      <c r="L178" s="103"/>
      <c r="M178" s="108"/>
      <c r="N178" s="9"/>
    </row>
    <row r="179" spans="1:14" ht="13.95" customHeight="1">
      <c r="A179" s="1"/>
      <c r="B179" s="1"/>
      <c r="C179" s="34"/>
      <c r="D179" s="1"/>
      <c r="E179" s="3"/>
      <c r="F179" s="4"/>
      <c r="G179" s="5"/>
      <c r="I179" s="3"/>
      <c r="J179" s="3"/>
      <c r="K179" s="3"/>
      <c r="L179" s="103"/>
      <c r="M179" s="108"/>
      <c r="N179" s="9"/>
    </row>
    <row r="180" spans="1:14" ht="27" customHeight="1">
      <c r="A180" s="1">
        <f>A174+1</f>
        <v>30</v>
      </c>
      <c r="B180" s="1"/>
      <c r="C180" s="33" t="s">
        <v>237</v>
      </c>
      <c r="D180" s="1" t="s">
        <v>1</v>
      </c>
      <c r="E180" s="3">
        <f>SUM(I180:N180)</f>
        <v>0</v>
      </c>
      <c r="F180" s="3">
        <v>375</v>
      </c>
      <c r="G180" s="5">
        <f t="shared" ref="G180" si="39">+E180*F180</f>
        <v>0</v>
      </c>
      <c r="I180" s="3"/>
      <c r="J180" s="3"/>
      <c r="K180" s="3"/>
      <c r="L180" s="103"/>
      <c r="M180" s="108"/>
      <c r="N180" s="9"/>
    </row>
    <row r="181" spans="1:14" ht="13.95" customHeight="1">
      <c r="A181" s="1"/>
      <c r="B181" s="1"/>
      <c r="C181" s="33"/>
      <c r="D181" s="1"/>
      <c r="E181" s="3"/>
      <c r="F181" s="3"/>
      <c r="G181" s="5"/>
      <c r="I181" s="3"/>
      <c r="J181" s="3"/>
      <c r="K181" s="3"/>
      <c r="L181" s="103"/>
      <c r="M181" s="108"/>
      <c r="N181" s="9"/>
    </row>
    <row r="182" spans="1:14" ht="24.6" customHeight="1">
      <c r="A182" s="1">
        <f>A180+1</f>
        <v>31</v>
      </c>
      <c r="B182" s="1"/>
      <c r="C182" s="33" t="s">
        <v>285</v>
      </c>
      <c r="D182" s="1" t="s">
        <v>1</v>
      </c>
      <c r="E182" s="3">
        <f>SUM(I182:N182)</f>
        <v>24</v>
      </c>
      <c r="F182" s="3">
        <v>355</v>
      </c>
      <c r="G182" s="5">
        <f t="shared" ref="G182" si="40">+E182*F182</f>
        <v>8520</v>
      </c>
      <c r="I182" s="3">
        <v>24</v>
      </c>
      <c r="J182" s="3"/>
      <c r="K182" s="3"/>
      <c r="L182" s="104"/>
      <c r="M182" s="108"/>
      <c r="N182" s="9"/>
    </row>
    <row r="183" spans="1:14" ht="13.95" customHeight="1">
      <c r="A183" s="1"/>
      <c r="B183" s="1"/>
      <c r="C183" s="33"/>
      <c r="D183" s="1"/>
      <c r="E183" s="3"/>
      <c r="F183" s="3"/>
      <c r="G183" s="5"/>
      <c r="I183" s="3"/>
      <c r="J183" s="3"/>
      <c r="K183" s="3"/>
      <c r="L183" s="103"/>
      <c r="M183" s="108"/>
      <c r="N183" s="9"/>
    </row>
    <row r="184" spans="1:14" ht="23.4" customHeight="1">
      <c r="A184" s="1">
        <f>A182+1</f>
        <v>32</v>
      </c>
      <c r="B184" s="1"/>
      <c r="C184" s="33" t="s">
        <v>243</v>
      </c>
      <c r="D184" s="1" t="s">
        <v>1</v>
      </c>
      <c r="E184" s="3">
        <f>SUM(I184:N184)</f>
        <v>74</v>
      </c>
      <c r="F184" s="3">
        <v>195</v>
      </c>
      <c r="G184" s="5">
        <f t="shared" ref="G184" si="41">+E184*F184</f>
        <v>14430</v>
      </c>
      <c r="I184" s="3">
        <v>33</v>
      </c>
      <c r="J184" s="3"/>
      <c r="K184" s="3">
        <v>26</v>
      </c>
      <c r="L184" s="103"/>
      <c r="M184" s="108">
        <v>15</v>
      </c>
      <c r="N184" s="9"/>
    </row>
    <row r="185" spans="1:14" ht="13.95" customHeight="1">
      <c r="A185" s="1"/>
      <c r="B185" s="1"/>
      <c r="C185" s="33"/>
      <c r="D185" s="1"/>
      <c r="E185" s="3"/>
      <c r="F185" s="3"/>
      <c r="G185" s="5"/>
      <c r="I185" s="3"/>
      <c r="J185" s="3"/>
      <c r="K185" s="3"/>
      <c r="L185" s="103"/>
      <c r="M185" s="108"/>
      <c r="N185" s="9"/>
    </row>
    <row r="186" spans="1:14" ht="13.95" customHeight="1">
      <c r="A186" s="1"/>
      <c r="B186" s="1"/>
      <c r="C186" s="33" t="s">
        <v>239</v>
      </c>
      <c r="D186" s="1" t="s">
        <v>1</v>
      </c>
      <c r="E186" s="3">
        <f>SUM(I186:N186)</f>
        <v>14</v>
      </c>
      <c r="F186" s="3">
        <v>155</v>
      </c>
      <c r="G186" s="5">
        <f t="shared" ref="G186" si="42">+E186*F186</f>
        <v>2170</v>
      </c>
      <c r="I186" s="3">
        <v>14</v>
      </c>
      <c r="J186" s="3"/>
      <c r="K186" s="3"/>
      <c r="L186" s="103"/>
      <c r="M186" s="108"/>
      <c r="N186" s="9"/>
    </row>
    <row r="187" spans="1:14" ht="13.95" customHeight="1">
      <c r="A187" s="1"/>
      <c r="B187" s="1"/>
      <c r="C187" s="33"/>
      <c r="D187" s="1"/>
      <c r="E187" s="3"/>
      <c r="F187" s="4"/>
      <c r="G187" s="5"/>
      <c r="I187" s="3"/>
      <c r="J187" s="3"/>
      <c r="K187" s="3"/>
      <c r="L187" s="103"/>
      <c r="M187" s="108"/>
      <c r="N187" s="9"/>
    </row>
    <row r="188" spans="1:14" ht="13.95" customHeight="1">
      <c r="A188" s="1"/>
      <c r="B188" s="1"/>
      <c r="C188" s="32" t="s">
        <v>198</v>
      </c>
      <c r="D188" s="1"/>
      <c r="E188" s="3"/>
      <c r="F188" s="4"/>
      <c r="G188" s="5"/>
      <c r="I188" s="3"/>
      <c r="J188" s="3"/>
      <c r="K188" s="3"/>
      <c r="L188" s="103"/>
      <c r="M188" s="108"/>
      <c r="N188" s="9"/>
    </row>
    <row r="189" spans="1:14" ht="13.95" customHeight="1">
      <c r="A189" s="1"/>
      <c r="B189" s="1"/>
      <c r="C189" s="33"/>
      <c r="D189" s="1"/>
      <c r="E189" s="3"/>
      <c r="F189" s="4"/>
      <c r="G189" s="5"/>
      <c r="I189" s="3"/>
      <c r="J189" s="3"/>
      <c r="K189" s="3"/>
      <c r="L189" s="103"/>
      <c r="M189" s="108"/>
      <c r="N189" s="9"/>
    </row>
    <row r="190" spans="1:14" ht="13.95" customHeight="1">
      <c r="A190" s="1">
        <f>A184+1</f>
        <v>33</v>
      </c>
      <c r="B190" s="1"/>
      <c r="C190" s="33" t="s">
        <v>199</v>
      </c>
      <c r="D190" s="1" t="s">
        <v>1</v>
      </c>
      <c r="E190" s="3">
        <f>SUM(I190:N190)</f>
        <v>8</v>
      </c>
      <c r="F190" s="3">
        <f>F180</f>
        <v>375</v>
      </c>
      <c r="G190" s="5">
        <f t="shared" ref="G190" si="43">+E190*F190</f>
        <v>3000</v>
      </c>
      <c r="I190" s="3"/>
      <c r="J190" s="3">
        <v>8</v>
      </c>
      <c r="K190" s="3"/>
      <c r="L190" s="103"/>
      <c r="M190" s="108"/>
      <c r="N190" s="9"/>
    </row>
    <row r="191" spans="1:14" ht="13.95" customHeight="1">
      <c r="A191" s="1"/>
      <c r="B191" s="1"/>
      <c r="C191" s="33"/>
      <c r="D191" s="1"/>
      <c r="E191" s="3"/>
      <c r="F191" s="3"/>
      <c r="G191" s="5"/>
      <c r="I191" s="3"/>
      <c r="J191" s="3"/>
      <c r="K191" s="3"/>
      <c r="L191" s="103"/>
      <c r="M191" s="108"/>
      <c r="N191" s="9"/>
    </row>
    <row r="192" spans="1:14" ht="13.95" customHeight="1">
      <c r="A192" s="1">
        <f>A190+1</f>
        <v>34</v>
      </c>
      <c r="B192" s="1"/>
      <c r="C192" s="33" t="s">
        <v>200</v>
      </c>
      <c r="D192" s="1" t="s">
        <v>1</v>
      </c>
      <c r="E192" s="3">
        <f>SUM(I192:N192)</f>
        <v>6</v>
      </c>
      <c r="F192" s="3">
        <v>395</v>
      </c>
      <c r="G192" s="5">
        <f t="shared" ref="G192" si="44">+E192*F192</f>
        <v>2370</v>
      </c>
      <c r="I192" s="3"/>
      <c r="J192" s="3">
        <v>6</v>
      </c>
      <c r="K192" s="3"/>
      <c r="L192" s="103"/>
      <c r="M192" s="108"/>
      <c r="N192" s="9"/>
    </row>
    <row r="193" spans="1:14" ht="13.95" customHeight="1">
      <c r="A193" s="1"/>
      <c r="B193" s="1"/>
      <c r="C193" s="33"/>
      <c r="D193" s="1"/>
      <c r="E193" s="3"/>
      <c r="F193" s="3"/>
      <c r="G193" s="5"/>
      <c r="I193" s="3"/>
      <c r="J193" s="3"/>
      <c r="K193" s="3"/>
      <c r="L193" s="103"/>
      <c r="M193" s="108"/>
      <c r="N193" s="9"/>
    </row>
    <row r="194" spans="1:14" ht="13.95" customHeight="1">
      <c r="A194" s="1">
        <f>A192+1</f>
        <v>35</v>
      </c>
      <c r="B194" s="1"/>
      <c r="C194" s="33" t="s">
        <v>214</v>
      </c>
      <c r="D194" s="1" t="s">
        <v>1</v>
      </c>
      <c r="E194" s="3">
        <f>SUM(I194:N194)</f>
        <v>4</v>
      </c>
      <c r="F194" s="3">
        <v>395</v>
      </c>
      <c r="G194" s="5">
        <f t="shared" ref="G194" si="45">+E194*F194</f>
        <v>1580</v>
      </c>
      <c r="I194" s="3"/>
      <c r="J194" s="3">
        <v>4</v>
      </c>
      <c r="K194" s="3"/>
      <c r="L194" s="103"/>
      <c r="M194" s="108"/>
      <c r="N194" s="9"/>
    </row>
    <row r="195" spans="1:14" ht="13.95" customHeight="1">
      <c r="A195" s="1"/>
      <c r="B195" s="1"/>
      <c r="C195" s="33"/>
      <c r="D195" s="1"/>
      <c r="E195" s="3"/>
      <c r="F195" s="3"/>
      <c r="G195" s="5"/>
      <c r="I195" s="3"/>
      <c r="J195" s="3"/>
      <c r="K195" s="3"/>
      <c r="L195" s="103"/>
      <c r="M195" s="108"/>
      <c r="N195" s="9"/>
    </row>
    <row r="196" spans="1:14" ht="13.95" customHeight="1">
      <c r="A196" s="1"/>
      <c r="B196" s="1"/>
      <c r="C196" s="33"/>
      <c r="D196" s="1"/>
      <c r="E196" s="3"/>
      <c r="F196" s="4"/>
      <c r="G196" s="5"/>
      <c r="I196" s="3"/>
      <c r="J196" s="3"/>
      <c r="K196" s="3"/>
      <c r="L196" s="103"/>
      <c r="M196" s="108"/>
      <c r="N196" s="9"/>
    </row>
    <row r="197" spans="1:14" ht="13.95" customHeight="1">
      <c r="A197" s="1"/>
      <c r="B197" s="1"/>
      <c r="C197" s="33"/>
      <c r="D197" s="1"/>
      <c r="E197" s="3"/>
      <c r="F197" s="4"/>
      <c r="G197" s="5"/>
      <c r="I197" s="3"/>
      <c r="J197" s="3"/>
      <c r="K197" s="3"/>
      <c r="L197" s="103"/>
      <c r="M197" s="108"/>
      <c r="N197" s="9"/>
    </row>
    <row r="198" spans="1:14" ht="20.100000000000001" customHeight="1">
      <c r="A198" s="149" t="s">
        <v>66</v>
      </c>
      <c r="B198" s="150"/>
      <c r="C198" s="150"/>
      <c r="D198" s="150"/>
      <c r="E198" s="150"/>
      <c r="F198" s="151"/>
      <c r="G198" s="116">
        <f>SUM(G152:G197)</f>
        <v>772021.84</v>
      </c>
      <c r="I198" s="9"/>
      <c r="J198" s="9"/>
      <c r="K198" s="9"/>
      <c r="L198" s="103"/>
      <c r="M198" s="108"/>
      <c r="N198" s="9"/>
    </row>
    <row r="199" spans="1:14" ht="13.95" customHeight="1">
      <c r="A199" s="39"/>
      <c r="B199" s="39"/>
      <c r="C199" s="39"/>
      <c r="D199" s="39"/>
      <c r="E199" s="39"/>
      <c r="F199" s="39"/>
      <c r="G199" s="113"/>
      <c r="I199" s="9"/>
      <c r="J199" s="9"/>
      <c r="K199" s="9"/>
      <c r="L199" s="103"/>
      <c r="M199" s="108"/>
      <c r="N199" s="9"/>
    </row>
    <row r="200" spans="1:14" ht="13.95" customHeight="1">
      <c r="A200" s="39"/>
      <c r="B200" s="39"/>
      <c r="C200" s="39"/>
      <c r="D200" s="39"/>
      <c r="E200" s="39"/>
      <c r="F200" s="39"/>
      <c r="G200" s="113"/>
      <c r="I200" s="9"/>
      <c r="J200" s="9"/>
      <c r="K200" s="9"/>
      <c r="L200" s="103"/>
      <c r="M200" s="108"/>
      <c r="N200" s="9"/>
    </row>
    <row r="201" spans="1:14" ht="22.2" customHeight="1">
      <c r="A201" s="44" t="s">
        <v>8</v>
      </c>
      <c r="B201" s="48" t="s">
        <v>9</v>
      </c>
      <c r="C201" s="44" t="s">
        <v>10</v>
      </c>
      <c r="D201" s="48" t="s">
        <v>11</v>
      </c>
      <c r="E201" s="48" t="s">
        <v>59</v>
      </c>
      <c r="F201" s="49" t="s">
        <v>12</v>
      </c>
      <c r="G201" s="111" t="s">
        <v>13</v>
      </c>
      <c r="I201" s="9"/>
      <c r="J201" s="9"/>
      <c r="K201" s="9"/>
      <c r="L201" s="103"/>
      <c r="M201" s="108"/>
      <c r="N201" s="9"/>
    </row>
    <row r="202" spans="1:14" ht="20.100000000000001" customHeight="1">
      <c r="A202" s="149" t="s">
        <v>67</v>
      </c>
      <c r="B202" s="150"/>
      <c r="C202" s="150"/>
      <c r="D202" s="150"/>
      <c r="E202" s="150"/>
      <c r="F202" s="151"/>
      <c r="G202" s="116">
        <f>+G198</f>
        <v>772021.84</v>
      </c>
      <c r="I202" s="9"/>
      <c r="J202" s="9"/>
      <c r="K202" s="9"/>
      <c r="L202" s="103"/>
      <c r="M202" s="108"/>
      <c r="N202" s="9"/>
    </row>
    <row r="203" spans="1:14" ht="13.95" customHeight="1">
      <c r="A203" s="1"/>
      <c r="B203" s="1"/>
      <c r="C203" s="33"/>
      <c r="D203" s="1"/>
      <c r="E203" s="3"/>
      <c r="F203" s="4"/>
      <c r="G203" s="5"/>
      <c r="I203" s="3"/>
      <c r="J203" s="3"/>
      <c r="K203" s="3"/>
      <c r="L203" s="103"/>
      <c r="M203" s="108"/>
      <c r="N203" s="9"/>
    </row>
    <row r="204" spans="1:14" ht="13.95" customHeight="1">
      <c r="A204" s="9"/>
      <c r="B204" s="1" t="s">
        <v>98</v>
      </c>
      <c r="C204" s="34" t="s">
        <v>30</v>
      </c>
      <c r="D204" s="1"/>
      <c r="E204" s="3"/>
      <c r="F204" s="4"/>
      <c r="G204" s="5"/>
      <c r="I204" s="3"/>
      <c r="J204" s="3"/>
      <c r="K204" s="3"/>
      <c r="L204" s="103"/>
      <c r="M204" s="108"/>
      <c r="N204" s="9"/>
    </row>
    <row r="205" spans="1:14" ht="13.95" customHeight="1">
      <c r="A205" s="9"/>
      <c r="B205" s="1"/>
      <c r="C205" s="33"/>
      <c r="D205" s="1"/>
      <c r="E205" s="3"/>
      <c r="F205" s="4"/>
      <c r="G205" s="5"/>
      <c r="I205" s="3"/>
      <c r="J205" s="3"/>
      <c r="K205" s="3"/>
      <c r="L205" s="103"/>
      <c r="M205" s="108"/>
      <c r="N205" s="9"/>
    </row>
    <row r="206" spans="1:14" ht="13.95" customHeight="1">
      <c r="A206" s="9"/>
      <c r="B206" s="1"/>
      <c r="C206" s="33" t="s">
        <v>31</v>
      </c>
      <c r="D206" s="1"/>
      <c r="E206" s="3"/>
      <c r="F206" s="4"/>
      <c r="G206" s="5"/>
      <c r="I206" s="3"/>
      <c r="J206" s="3"/>
      <c r="K206" s="3"/>
      <c r="L206" s="103"/>
      <c r="M206" s="108"/>
      <c r="N206" s="9"/>
    </row>
    <row r="207" spans="1:14" ht="13.95" customHeight="1">
      <c r="A207" s="9"/>
      <c r="B207" s="1"/>
      <c r="C207" s="33"/>
      <c r="D207" s="1"/>
      <c r="E207" s="3"/>
      <c r="F207" s="4"/>
      <c r="G207" s="5"/>
      <c r="I207" s="3"/>
      <c r="J207" s="3"/>
      <c r="K207" s="3"/>
      <c r="L207" s="103"/>
      <c r="M207" s="108"/>
      <c r="N207" s="9"/>
    </row>
    <row r="208" spans="1:14" ht="13.95" customHeight="1">
      <c r="A208" s="9">
        <f>A194+1</f>
        <v>36</v>
      </c>
      <c r="B208" s="1"/>
      <c r="C208" s="33" t="s">
        <v>32</v>
      </c>
      <c r="D208" s="1" t="s">
        <v>51</v>
      </c>
      <c r="E208" s="3">
        <f>SUM(I208:N208)</f>
        <v>2.0099999999999998</v>
      </c>
      <c r="F208" s="3">
        <v>35000</v>
      </c>
      <c r="G208" s="5">
        <f t="shared" ref="G208" si="46">+E208*F208</f>
        <v>70349.999999999985</v>
      </c>
      <c r="I208" s="4"/>
      <c r="J208" s="4"/>
      <c r="K208" s="4">
        <v>1.54</v>
      </c>
      <c r="L208" s="103"/>
      <c r="M208" s="108">
        <v>0.47</v>
      </c>
      <c r="N208" s="9"/>
    </row>
    <row r="209" spans="1:14" ht="13.95" customHeight="1">
      <c r="A209" s="9"/>
      <c r="B209" s="1"/>
      <c r="C209" s="33"/>
      <c r="D209" s="1"/>
      <c r="E209" s="4"/>
      <c r="F209" s="3"/>
      <c r="G209" s="5"/>
      <c r="I209" s="4"/>
      <c r="J209" s="4"/>
      <c r="K209" s="4"/>
      <c r="L209" s="103"/>
      <c r="M209" s="108"/>
      <c r="N209" s="9"/>
    </row>
    <row r="210" spans="1:14" ht="13.95" customHeight="1">
      <c r="A210" s="9"/>
      <c r="B210" s="1"/>
      <c r="C210" s="37" t="s">
        <v>40</v>
      </c>
      <c r="D210" s="1"/>
      <c r="E210" s="4"/>
      <c r="F210" s="3"/>
      <c r="G210" s="5"/>
      <c r="I210" s="4"/>
      <c r="J210" s="4"/>
      <c r="K210" s="4"/>
      <c r="L210" s="103"/>
      <c r="M210" s="108"/>
      <c r="N210" s="9"/>
    </row>
    <row r="211" spans="1:14" ht="13.95" customHeight="1">
      <c r="A211" s="9"/>
      <c r="B211" s="1"/>
      <c r="C211" s="33"/>
      <c r="D211" s="1"/>
      <c r="E211" s="4"/>
      <c r="F211" s="3"/>
      <c r="G211" s="5"/>
      <c r="I211" s="4"/>
      <c r="J211" s="4"/>
      <c r="K211" s="4"/>
      <c r="L211" s="103"/>
      <c r="M211" s="108"/>
      <c r="N211" s="9"/>
    </row>
    <row r="212" spans="1:14" ht="13.95" customHeight="1">
      <c r="A212" s="9">
        <f>A208+1</f>
        <v>37</v>
      </c>
      <c r="B212" s="1"/>
      <c r="C212" s="33" t="s">
        <v>32</v>
      </c>
      <c r="D212" s="1" t="s">
        <v>51</v>
      </c>
      <c r="E212" s="3">
        <f>SUM(I212:N212)</f>
        <v>0.04</v>
      </c>
      <c r="F212" s="3">
        <f>F208</f>
        <v>35000</v>
      </c>
      <c r="G212" s="5">
        <f t="shared" ref="G212" si="47">+E212*F212</f>
        <v>1400</v>
      </c>
      <c r="I212" s="4"/>
      <c r="J212" s="4"/>
      <c r="K212" s="4"/>
      <c r="L212" s="103"/>
      <c r="M212" s="108">
        <v>0.04</v>
      </c>
      <c r="N212" s="9"/>
    </row>
    <row r="213" spans="1:14" ht="13.95" customHeight="1">
      <c r="A213" s="1"/>
      <c r="B213" s="1"/>
      <c r="C213" s="33"/>
      <c r="D213" s="1"/>
      <c r="E213" s="3"/>
      <c r="F213" s="4"/>
      <c r="G213" s="5"/>
      <c r="I213" s="3"/>
      <c r="J213" s="3"/>
      <c r="K213" s="3"/>
      <c r="L213" s="103"/>
      <c r="M213" s="108"/>
      <c r="N213" s="9"/>
    </row>
    <row r="214" spans="1:14" ht="24.6" customHeight="1">
      <c r="A214" s="9"/>
      <c r="B214" s="1" t="s">
        <v>99</v>
      </c>
      <c r="C214" s="34" t="s">
        <v>63</v>
      </c>
      <c r="D214" s="1"/>
      <c r="E214" s="3"/>
      <c r="F214" s="4"/>
      <c r="G214" s="5"/>
      <c r="I214" s="9"/>
      <c r="J214" s="9"/>
      <c r="K214" s="9"/>
      <c r="L214" s="103"/>
      <c r="M214" s="108"/>
      <c r="N214" s="9"/>
    </row>
    <row r="215" spans="1:14" ht="13.95" customHeight="1">
      <c r="A215" s="9"/>
      <c r="B215" s="1"/>
      <c r="C215" s="34"/>
      <c r="D215" s="1"/>
      <c r="E215" s="3"/>
      <c r="F215" s="4"/>
      <c r="G215" s="5"/>
      <c r="I215" s="9"/>
      <c r="J215" s="9"/>
      <c r="K215" s="9"/>
      <c r="L215" s="103"/>
      <c r="M215" s="108"/>
      <c r="N215" s="9"/>
    </row>
    <row r="216" spans="1:14" ht="22.95" customHeight="1">
      <c r="A216" s="9"/>
      <c r="B216" s="1"/>
      <c r="C216" s="34" t="s">
        <v>58</v>
      </c>
      <c r="D216" s="1"/>
      <c r="E216" s="3"/>
      <c r="F216" s="4"/>
      <c r="G216" s="5"/>
      <c r="I216" s="9"/>
      <c r="J216" s="9"/>
      <c r="K216" s="9"/>
      <c r="L216" s="103"/>
      <c r="M216" s="108"/>
      <c r="N216" s="9"/>
    </row>
    <row r="217" spans="1:14" ht="13.95" customHeight="1">
      <c r="A217" s="9"/>
      <c r="B217" s="1"/>
      <c r="C217" s="33"/>
      <c r="D217" s="1"/>
      <c r="E217" s="3"/>
      <c r="F217" s="4"/>
      <c r="G217" s="5"/>
      <c r="I217" s="9"/>
      <c r="J217" s="9"/>
      <c r="K217" s="9"/>
      <c r="L217" s="103"/>
      <c r="M217" s="108"/>
      <c r="N217" s="9"/>
    </row>
    <row r="218" spans="1:14" ht="46.2" customHeight="1">
      <c r="A218" s="9">
        <f>A212+1</f>
        <v>38</v>
      </c>
      <c r="B218" s="1"/>
      <c r="C218" s="33" t="s">
        <v>240</v>
      </c>
      <c r="D218" s="1" t="s">
        <v>6</v>
      </c>
      <c r="E218" s="3">
        <f>SUM(I218:N218)</f>
        <v>16</v>
      </c>
      <c r="F218" s="3">
        <v>275</v>
      </c>
      <c r="G218" s="5">
        <f t="shared" ref="G218" si="48">+E218*F218</f>
        <v>4400</v>
      </c>
      <c r="I218" s="9"/>
      <c r="J218" s="9"/>
      <c r="K218" s="9">
        <v>8</v>
      </c>
      <c r="L218" s="103"/>
      <c r="M218" s="108">
        <v>8</v>
      </c>
      <c r="N218" s="9"/>
    </row>
    <row r="219" spans="1:14" ht="13.95" customHeight="1">
      <c r="A219" s="9"/>
      <c r="B219" s="1"/>
      <c r="C219" s="33"/>
      <c r="D219" s="1"/>
      <c r="E219" s="3"/>
      <c r="F219" s="3"/>
      <c r="G219" s="5"/>
      <c r="I219" s="9"/>
      <c r="J219" s="9"/>
      <c r="K219" s="9"/>
      <c r="L219" s="103"/>
      <c r="M219" s="108"/>
      <c r="N219" s="9"/>
    </row>
    <row r="220" spans="1:14" ht="48" customHeight="1">
      <c r="A220" s="9">
        <f>A218+1</f>
        <v>39</v>
      </c>
      <c r="B220" s="1"/>
      <c r="C220" s="33" t="s">
        <v>227</v>
      </c>
      <c r="D220" s="1" t="s">
        <v>6</v>
      </c>
      <c r="E220" s="3">
        <f>SUM(I220:N220)</f>
        <v>0</v>
      </c>
      <c r="F220" s="3">
        <v>975</v>
      </c>
      <c r="G220" s="5">
        <f t="shared" ref="G220" si="49">+E220*F220</f>
        <v>0</v>
      </c>
      <c r="I220" s="45"/>
      <c r="J220" s="45"/>
      <c r="K220" s="45"/>
      <c r="L220" s="103"/>
      <c r="M220" s="108"/>
      <c r="N220" s="9"/>
    </row>
    <row r="221" spans="1:14" ht="12.6" customHeight="1">
      <c r="A221" s="9"/>
      <c r="B221" s="1"/>
      <c r="C221" s="33"/>
      <c r="D221" s="1"/>
      <c r="E221" s="3"/>
      <c r="F221" s="4"/>
      <c r="G221" s="5"/>
      <c r="I221" s="9"/>
      <c r="J221" s="9"/>
      <c r="K221" s="9"/>
      <c r="L221" s="103"/>
      <c r="M221" s="108"/>
      <c r="N221" s="9"/>
    </row>
    <row r="222" spans="1:14" ht="13.95" customHeight="1">
      <c r="A222" s="1"/>
      <c r="B222" s="1" t="s">
        <v>103</v>
      </c>
      <c r="C222" s="34" t="s">
        <v>7</v>
      </c>
      <c r="D222" s="1"/>
      <c r="E222" s="3"/>
      <c r="F222" s="4"/>
      <c r="G222" s="5"/>
      <c r="I222" s="9"/>
      <c r="J222" s="9"/>
      <c r="K222" s="9"/>
      <c r="L222" s="103"/>
      <c r="M222" s="108"/>
      <c r="N222" s="9"/>
    </row>
    <row r="223" spans="1:14" ht="13.95" customHeight="1">
      <c r="A223" s="1"/>
      <c r="B223" s="1"/>
      <c r="C223" s="33"/>
      <c r="D223" s="1"/>
      <c r="E223" s="3"/>
      <c r="F223" s="4"/>
      <c r="G223" s="5"/>
      <c r="I223" s="9"/>
      <c r="J223" s="9"/>
      <c r="K223" s="9"/>
      <c r="L223" s="103"/>
      <c r="M223" s="108"/>
      <c r="N223" s="9"/>
    </row>
    <row r="224" spans="1:14" ht="13.95" customHeight="1">
      <c r="A224" s="1"/>
      <c r="B224" s="1"/>
      <c r="C224" s="33" t="s">
        <v>68</v>
      </c>
      <c r="D224" s="1"/>
      <c r="E224" s="3"/>
      <c r="F224" s="4"/>
      <c r="G224" s="5"/>
      <c r="I224" s="9"/>
      <c r="J224" s="9"/>
      <c r="K224" s="9"/>
      <c r="L224" s="103"/>
      <c r="M224" s="108"/>
      <c r="N224" s="9"/>
    </row>
    <row r="225" spans="1:14" ht="13.95" customHeight="1">
      <c r="A225" s="1"/>
      <c r="B225" s="1"/>
      <c r="C225" s="33"/>
      <c r="D225" s="1"/>
      <c r="E225" s="3"/>
      <c r="F225" s="4"/>
      <c r="G225" s="5"/>
      <c r="I225" s="9"/>
      <c r="J225" s="9"/>
      <c r="K225" s="9"/>
      <c r="L225" s="103"/>
      <c r="M225" s="108"/>
      <c r="N225" s="9"/>
    </row>
    <row r="226" spans="1:14" ht="22.95" customHeight="1">
      <c r="A226" s="1">
        <f>A220+1</f>
        <v>40</v>
      </c>
      <c r="B226" s="1"/>
      <c r="C226" s="33" t="s">
        <v>197</v>
      </c>
      <c r="D226" s="1" t="s">
        <v>60</v>
      </c>
      <c r="E226" s="3">
        <f>SUM(I226:N226)</f>
        <v>54</v>
      </c>
      <c r="F226" s="13">
        <v>165</v>
      </c>
      <c r="G226" s="5">
        <f t="shared" ref="G226" si="50">+E226*F226</f>
        <v>8910</v>
      </c>
      <c r="I226" s="9">
        <v>54</v>
      </c>
      <c r="J226" s="9"/>
      <c r="K226" s="9"/>
      <c r="L226" s="103"/>
      <c r="M226" s="108"/>
      <c r="N226" s="9"/>
    </row>
    <row r="227" spans="1:14" ht="13.95" customHeight="1">
      <c r="A227" s="1"/>
      <c r="B227" s="1"/>
      <c r="C227" s="33"/>
      <c r="D227" s="35"/>
      <c r="E227" s="3"/>
      <c r="F227" s="4"/>
      <c r="G227" s="5"/>
      <c r="I227" s="9"/>
      <c r="J227" s="9"/>
      <c r="K227" s="9"/>
      <c r="L227" s="103"/>
      <c r="M227" s="108"/>
      <c r="N227" s="9"/>
    </row>
    <row r="228" spans="1:14" ht="13.95" customHeight="1">
      <c r="A228" s="1"/>
      <c r="B228" s="1"/>
      <c r="C228" s="46" t="s">
        <v>231</v>
      </c>
      <c r="D228" s="1"/>
      <c r="E228" s="3"/>
      <c r="F228" s="4"/>
      <c r="G228" s="5"/>
      <c r="I228" s="9"/>
      <c r="J228" s="9"/>
      <c r="K228" s="9"/>
      <c r="L228" s="103"/>
      <c r="M228" s="108"/>
      <c r="N228" s="9"/>
    </row>
    <row r="229" spans="1:14" ht="13.95" customHeight="1">
      <c r="A229" s="1"/>
      <c r="B229" s="1"/>
      <c r="C229" s="47"/>
      <c r="D229" s="35"/>
      <c r="E229" s="3"/>
      <c r="F229" s="4"/>
      <c r="G229" s="5"/>
      <c r="I229" s="9"/>
      <c r="J229" s="9"/>
      <c r="K229" s="9"/>
      <c r="L229" s="103"/>
      <c r="M229" s="108"/>
      <c r="N229" s="9"/>
    </row>
    <row r="230" spans="1:14" ht="48.6" customHeight="1">
      <c r="A230" s="1">
        <f>A226+1</f>
        <v>41</v>
      </c>
      <c r="B230" s="1"/>
      <c r="C230" s="55" t="s">
        <v>75</v>
      </c>
      <c r="D230" s="1" t="s">
        <v>51</v>
      </c>
      <c r="E230" s="3">
        <f>SUM(I230:N230)</f>
        <v>0</v>
      </c>
      <c r="F230" s="3">
        <v>1185</v>
      </c>
      <c r="G230" s="5">
        <f t="shared" ref="G230" si="51">+E230*F230</f>
        <v>0</v>
      </c>
      <c r="I230" s="9"/>
      <c r="J230" s="9"/>
      <c r="K230" s="9"/>
      <c r="L230" s="103"/>
      <c r="M230" s="108"/>
      <c r="N230" s="9"/>
    </row>
    <row r="231" spans="1:14">
      <c r="A231" s="1"/>
      <c r="B231" s="1"/>
      <c r="C231" s="55"/>
      <c r="D231" s="35"/>
      <c r="E231" s="3"/>
      <c r="F231" s="3"/>
      <c r="G231" s="5"/>
      <c r="I231" s="9"/>
      <c r="J231" s="9"/>
      <c r="K231" s="9"/>
      <c r="L231" s="103"/>
      <c r="M231" s="108"/>
      <c r="N231" s="9"/>
    </row>
    <row r="232" spans="1:14">
      <c r="A232" s="1"/>
      <c r="B232" s="1"/>
      <c r="C232" s="55"/>
      <c r="D232" s="35"/>
      <c r="E232" s="3"/>
      <c r="F232" s="3"/>
      <c r="G232" s="5"/>
      <c r="I232" s="9"/>
      <c r="J232" s="9"/>
      <c r="K232" s="9"/>
      <c r="L232" s="103"/>
      <c r="M232" s="108"/>
      <c r="N232" s="9"/>
    </row>
    <row r="233" spans="1:14">
      <c r="A233" s="1"/>
      <c r="B233" s="1"/>
      <c r="C233" s="55"/>
      <c r="D233" s="35"/>
      <c r="E233" s="3"/>
      <c r="F233" s="3"/>
      <c r="G233" s="5"/>
      <c r="I233" s="9"/>
      <c r="J233" s="9"/>
      <c r="K233" s="9"/>
      <c r="L233" s="103"/>
      <c r="M233" s="108"/>
      <c r="N233" s="9"/>
    </row>
    <row r="234" spans="1:14">
      <c r="A234" s="1"/>
      <c r="B234" s="1"/>
      <c r="C234" s="55"/>
      <c r="D234" s="35"/>
      <c r="E234" s="3"/>
      <c r="F234" s="3"/>
      <c r="G234" s="5"/>
      <c r="I234" s="9"/>
      <c r="J234" s="9"/>
      <c r="K234" s="9"/>
      <c r="L234" s="103"/>
      <c r="M234" s="108"/>
      <c r="N234" s="9"/>
    </row>
    <row r="235" spans="1:14">
      <c r="A235" s="1"/>
      <c r="B235" s="1"/>
      <c r="C235" s="55"/>
      <c r="D235" s="35"/>
      <c r="E235" s="3"/>
      <c r="F235" s="3"/>
      <c r="G235" s="5"/>
      <c r="I235" s="9"/>
      <c r="J235" s="9"/>
      <c r="K235" s="9"/>
      <c r="L235" s="103"/>
      <c r="M235" s="108"/>
      <c r="N235" s="9"/>
    </row>
    <row r="236" spans="1:14">
      <c r="A236" s="1"/>
      <c r="B236" s="1"/>
      <c r="C236" s="55"/>
      <c r="D236" s="35"/>
      <c r="E236" s="3"/>
      <c r="F236" s="3"/>
      <c r="G236" s="5"/>
      <c r="I236" s="9"/>
      <c r="J236" s="9"/>
      <c r="K236" s="9"/>
      <c r="L236" s="103"/>
      <c r="M236" s="108"/>
      <c r="N236" s="9"/>
    </row>
    <row r="237" spans="1:14" ht="13.95" customHeight="1">
      <c r="A237" s="1"/>
      <c r="B237" s="1"/>
      <c r="C237" s="55"/>
      <c r="D237" s="35"/>
      <c r="E237" s="3"/>
      <c r="F237" s="4"/>
      <c r="G237" s="5"/>
      <c r="I237" s="9"/>
      <c r="J237" s="9"/>
      <c r="K237" s="9"/>
      <c r="L237" s="103"/>
      <c r="M237" s="108"/>
      <c r="N237" s="9"/>
    </row>
    <row r="238" spans="1:14" ht="13.95" customHeight="1">
      <c r="A238" s="1"/>
      <c r="B238" s="1"/>
      <c r="C238" s="55"/>
      <c r="D238" s="35"/>
      <c r="E238" s="3"/>
      <c r="F238" s="4"/>
      <c r="G238" s="5"/>
      <c r="I238" s="9"/>
      <c r="J238" s="9"/>
      <c r="K238" s="9"/>
      <c r="L238" s="103"/>
      <c r="M238" s="108"/>
      <c r="N238" s="9"/>
    </row>
    <row r="239" spans="1:14" ht="13.95" customHeight="1">
      <c r="A239" s="1"/>
      <c r="B239" s="1"/>
      <c r="C239" s="55"/>
      <c r="D239" s="35"/>
      <c r="E239" s="3"/>
      <c r="F239" s="4"/>
      <c r="G239" s="5"/>
      <c r="I239" s="9"/>
      <c r="J239" s="9"/>
      <c r="K239" s="9"/>
      <c r="L239" s="103"/>
      <c r="M239" s="108"/>
      <c r="N239" s="9"/>
    </row>
    <row r="240" spans="1:14" ht="13.95" customHeight="1">
      <c r="A240" s="1"/>
      <c r="B240" s="1"/>
      <c r="C240" s="55"/>
      <c r="D240" s="35"/>
      <c r="E240" s="3"/>
      <c r="F240" s="4"/>
      <c r="G240" s="5"/>
      <c r="I240" s="9"/>
      <c r="J240" s="9"/>
      <c r="K240" s="9"/>
      <c r="L240" s="103"/>
      <c r="M240" s="108"/>
      <c r="N240" s="9"/>
    </row>
    <row r="241" spans="1:14" ht="13.95" customHeight="1">
      <c r="A241" s="1"/>
      <c r="B241" s="1"/>
      <c r="C241" s="55"/>
      <c r="D241" s="35"/>
      <c r="E241" s="3"/>
      <c r="F241" s="4"/>
      <c r="G241" s="5"/>
      <c r="I241" s="9"/>
      <c r="J241" s="9"/>
      <c r="K241" s="9"/>
      <c r="L241" s="103"/>
      <c r="M241" s="108"/>
      <c r="N241" s="9"/>
    </row>
    <row r="242" spans="1:14" ht="20.100000000000001" customHeight="1">
      <c r="A242" s="149" t="s">
        <v>66</v>
      </c>
      <c r="B242" s="150"/>
      <c r="C242" s="150"/>
      <c r="D242" s="150"/>
      <c r="E242" s="150"/>
      <c r="F242" s="151"/>
      <c r="G242" s="116">
        <f>SUM(G202:G241)</f>
        <v>857081.84</v>
      </c>
      <c r="I242" s="9"/>
      <c r="J242" s="9"/>
      <c r="K242" s="9"/>
      <c r="L242" s="103"/>
      <c r="M242" s="108"/>
      <c r="N242" s="9"/>
    </row>
    <row r="243" spans="1:14" ht="13.95" customHeight="1">
      <c r="A243" s="39"/>
      <c r="B243" s="39"/>
      <c r="C243" s="39"/>
      <c r="D243" s="39"/>
      <c r="E243" s="39"/>
      <c r="F243" s="39"/>
      <c r="G243" s="113"/>
      <c r="I243" s="9"/>
      <c r="J243" s="9"/>
      <c r="K243" s="9"/>
      <c r="L243" s="103"/>
      <c r="M243" s="108"/>
      <c r="N243" s="9"/>
    </row>
    <row r="244" spans="1:14" ht="13.95" customHeight="1">
      <c r="A244" s="39"/>
      <c r="B244" s="39"/>
      <c r="C244" s="39"/>
      <c r="D244" s="39"/>
      <c r="E244" s="39"/>
      <c r="F244" s="39"/>
      <c r="G244" s="113"/>
      <c r="I244" s="9"/>
      <c r="J244" s="9"/>
      <c r="K244" s="9"/>
      <c r="L244" s="103"/>
      <c r="M244" s="108"/>
      <c r="N244" s="9"/>
    </row>
    <row r="245" spans="1:14" ht="22.2" customHeight="1">
      <c r="A245" s="44" t="s">
        <v>8</v>
      </c>
      <c r="B245" s="48" t="s">
        <v>9</v>
      </c>
      <c r="C245" s="44" t="s">
        <v>10</v>
      </c>
      <c r="D245" s="48" t="s">
        <v>11</v>
      </c>
      <c r="E245" s="48" t="s">
        <v>59</v>
      </c>
      <c r="F245" s="49" t="s">
        <v>12</v>
      </c>
      <c r="G245" s="111" t="s">
        <v>13</v>
      </c>
      <c r="I245" s="9"/>
      <c r="J245" s="9"/>
      <c r="K245" s="9"/>
      <c r="L245" s="103"/>
      <c r="M245" s="108"/>
      <c r="N245" s="9"/>
    </row>
    <row r="246" spans="1:14" ht="20.100000000000001" customHeight="1">
      <c r="A246" s="149" t="s">
        <v>67</v>
      </c>
      <c r="B246" s="150"/>
      <c r="C246" s="150"/>
      <c r="D246" s="150"/>
      <c r="E246" s="150"/>
      <c r="F246" s="151"/>
      <c r="G246" s="116">
        <f>+G242</f>
        <v>857081.84</v>
      </c>
      <c r="I246" s="9"/>
      <c r="J246" s="9"/>
      <c r="K246" s="9"/>
      <c r="L246" s="103"/>
      <c r="M246" s="108"/>
      <c r="N246" s="9"/>
    </row>
    <row r="247" spans="1:14" ht="13.95" customHeight="1">
      <c r="A247" s="1"/>
      <c r="B247" s="1"/>
      <c r="C247" s="55"/>
      <c r="D247" s="35"/>
      <c r="E247" s="3"/>
      <c r="F247" s="4"/>
      <c r="G247" s="5"/>
      <c r="I247" s="9"/>
      <c r="J247" s="9"/>
      <c r="K247" s="9"/>
      <c r="L247" s="103"/>
      <c r="M247" s="108"/>
      <c r="N247" s="9"/>
    </row>
    <row r="248" spans="1:14" ht="13.95" customHeight="1">
      <c r="A248" s="1"/>
      <c r="B248" s="1"/>
      <c r="C248" s="56" t="s">
        <v>230</v>
      </c>
      <c r="D248" s="9"/>
      <c r="E248" s="9"/>
      <c r="F248" s="122"/>
      <c r="G248" s="5"/>
      <c r="I248" s="9"/>
      <c r="J248" s="9"/>
      <c r="K248" s="9"/>
      <c r="L248" s="103"/>
      <c r="M248" s="108"/>
      <c r="N248" s="9"/>
    </row>
    <row r="249" spans="1:14" ht="13.95" customHeight="1">
      <c r="A249" s="1"/>
      <c r="B249" s="1"/>
      <c r="C249" s="57"/>
      <c r="D249" s="9"/>
      <c r="E249" s="9"/>
      <c r="F249" s="122"/>
      <c r="G249" s="5"/>
      <c r="I249" s="9"/>
      <c r="J249" s="9"/>
      <c r="K249" s="9"/>
      <c r="L249" s="103"/>
      <c r="M249" s="108"/>
      <c r="N249" s="9"/>
    </row>
    <row r="250" spans="1:14" ht="48" customHeight="1">
      <c r="A250" s="1"/>
      <c r="B250" s="1"/>
      <c r="C250" s="33" t="s">
        <v>242</v>
      </c>
      <c r="D250" s="57"/>
      <c r="E250" s="57"/>
      <c r="F250" s="57"/>
      <c r="G250" s="5"/>
      <c r="I250" s="9"/>
      <c r="J250" s="9"/>
      <c r="K250" s="9"/>
      <c r="L250" s="103"/>
      <c r="M250" s="108"/>
      <c r="N250" s="9"/>
    </row>
    <row r="251" spans="1:14" ht="13.95" customHeight="1">
      <c r="A251" s="1"/>
      <c r="B251" s="1"/>
      <c r="C251" s="33"/>
      <c r="D251" s="9"/>
      <c r="E251" s="9"/>
      <c r="F251" s="122"/>
      <c r="G251" s="5"/>
      <c r="I251" s="9"/>
      <c r="J251" s="9"/>
      <c r="K251" s="9"/>
      <c r="L251" s="103"/>
      <c r="M251" s="108"/>
      <c r="N251" s="9"/>
    </row>
    <row r="252" spans="1:14" ht="25.95" customHeight="1">
      <c r="A252" s="1"/>
      <c r="B252" s="1"/>
      <c r="C252" s="33" t="s">
        <v>232</v>
      </c>
      <c r="D252" s="9"/>
      <c r="E252" s="9"/>
      <c r="F252" s="122"/>
      <c r="G252" s="5"/>
      <c r="I252" s="9"/>
      <c r="J252" s="9"/>
      <c r="K252" s="9"/>
      <c r="L252" s="103"/>
      <c r="M252" s="108"/>
      <c r="N252" s="9"/>
    </row>
    <row r="253" spans="1:14" ht="13.95" customHeight="1">
      <c r="A253" s="1"/>
      <c r="B253" s="1"/>
      <c r="C253" s="33"/>
      <c r="D253" s="9"/>
      <c r="E253" s="9"/>
      <c r="F253" s="122"/>
      <c r="G253" s="5"/>
      <c r="I253" s="9"/>
      <c r="J253" s="9"/>
      <c r="K253" s="9"/>
      <c r="L253" s="103"/>
      <c r="M253" s="108"/>
      <c r="N253" s="9"/>
    </row>
    <row r="254" spans="1:14" ht="38.4" customHeight="1">
      <c r="A254" s="1">
        <f>A230+1</f>
        <v>42</v>
      </c>
      <c r="B254" s="1"/>
      <c r="C254" s="33" t="s">
        <v>233</v>
      </c>
      <c r="D254" s="9" t="s">
        <v>1</v>
      </c>
      <c r="E254" s="3">
        <f>SUM(I254:N254)</f>
        <v>4</v>
      </c>
      <c r="F254" s="144">
        <v>775</v>
      </c>
      <c r="G254" s="5">
        <f t="shared" ref="G254" si="52">+E254*F254</f>
        <v>3100</v>
      </c>
      <c r="I254" s="9"/>
      <c r="J254" s="9"/>
      <c r="K254" s="9"/>
      <c r="L254" s="103">
        <v>4</v>
      </c>
      <c r="M254" s="108"/>
      <c r="N254" s="9"/>
    </row>
    <row r="255" spans="1:14" ht="13.95" customHeight="1">
      <c r="A255" s="1"/>
      <c r="B255" s="1"/>
      <c r="C255" s="33"/>
      <c r="D255" s="9"/>
      <c r="E255" s="9"/>
      <c r="F255" s="144"/>
      <c r="G255" s="5"/>
      <c r="I255" s="9"/>
      <c r="J255" s="9"/>
      <c r="K255" s="9"/>
      <c r="L255" s="103"/>
      <c r="M255" s="108"/>
      <c r="N255" s="9"/>
    </row>
    <row r="256" spans="1:14" ht="25.95" customHeight="1">
      <c r="A256" s="1">
        <f>A254+1</f>
        <v>43</v>
      </c>
      <c r="B256" s="1"/>
      <c r="C256" s="33" t="s">
        <v>228</v>
      </c>
      <c r="D256" s="9" t="s">
        <v>6</v>
      </c>
      <c r="E256" s="3">
        <f>SUM(I256:N256)</f>
        <v>0</v>
      </c>
      <c r="F256" s="144">
        <v>275</v>
      </c>
      <c r="G256" s="5">
        <f t="shared" ref="G256" si="53">+E256*F256</f>
        <v>0</v>
      </c>
      <c r="I256" s="9"/>
      <c r="J256" s="9"/>
      <c r="K256" s="9"/>
      <c r="L256" s="103"/>
      <c r="M256" s="108"/>
      <c r="N256" s="9"/>
    </row>
    <row r="257" spans="1:14" ht="13.95" customHeight="1">
      <c r="A257" s="1"/>
      <c r="B257" s="1"/>
      <c r="C257" s="33"/>
      <c r="D257" s="9"/>
      <c r="E257" s="9"/>
      <c r="F257" s="144"/>
      <c r="G257" s="5"/>
      <c r="I257" s="9"/>
      <c r="J257" s="9"/>
      <c r="K257" s="9"/>
      <c r="L257" s="103"/>
      <c r="M257" s="108"/>
      <c r="N257" s="9"/>
    </row>
    <row r="258" spans="1:14" ht="13.95" customHeight="1">
      <c r="A258" s="1">
        <f>A256+1</f>
        <v>44</v>
      </c>
      <c r="B258" s="1"/>
      <c r="C258" s="33" t="s">
        <v>229</v>
      </c>
      <c r="D258" s="9" t="s">
        <v>6</v>
      </c>
      <c r="E258" s="3">
        <f>SUM(I258:N258)</f>
        <v>0</v>
      </c>
      <c r="F258" s="144">
        <v>650</v>
      </c>
      <c r="G258" s="5">
        <f t="shared" ref="G258" si="54">+E258*F258</f>
        <v>0</v>
      </c>
      <c r="I258" s="9"/>
      <c r="J258" s="9"/>
      <c r="K258" s="9"/>
      <c r="L258" s="103"/>
      <c r="M258" s="108"/>
      <c r="N258" s="9"/>
    </row>
    <row r="259" spans="1:14" ht="13.95" customHeight="1">
      <c r="A259" s="1"/>
      <c r="B259" s="1"/>
      <c r="C259" s="17"/>
      <c r="D259" s="35"/>
      <c r="E259" s="3"/>
      <c r="F259" s="14"/>
      <c r="G259" s="5"/>
      <c r="I259" s="9"/>
      <c r="J259" s="9"/>
      <c r="K259" s="9"/>
      <c r="L259" s="103"/>
      <c r="M259" s="108"/>
      <c r="N259" s="9"/>
    </row>
    <row r="260" spans="1:14">
      <c r="A260" s="16">
        <f>+A258+1</f>
        <v>45</v>
      </c>
      <c r="B260" s="16"/>
      <c r="C260" s="47" t="s">
        <v>241</v>
      </c>
      <c r="D260" s="58" t="s">
        <v>1</v>
      </c>
      <c r="E260" s="3">
        <f>SUM(I260:N260)</f>
        <v>0</v>
      </c>
      <c r="F260" s="13">
        <v>425</v>
      </c>
      <c r="G260" s="15">
        <f t="shared" ref="G260" si="55">+E260*F260</f>
        <v>0</v>
      </c>
      <c r="I260" s="9"/>
      <c r="J260" s="9"/>
      <c r="K260" s="9"/>
      <c r="L260" s="103"/>
      <c r="M260" s="108"/>
      <c r="N260" s="9"/>
    </row>
    <row r="261" spans="1:14" ht="13.95" customHeight="1">
      <c r="A261" s="1"/>
      <c r="B261" s="1"/>
      <c r="C261" s="17"/>
      <c r="D261" s="35"/>
      <c r="E261" s="3"/>
      <c r="F261" s="4"/>
      <c r="G261" s="5"/>
      <c r="I261" s="9"/>
      <c r="J261" s="9"/>
      <c r="K261" s="9"/>
      <c r="L261" s="103"/>
      <c r="M261" s="108"/>
      <c r="N261" s="9"/>
    </row>
    <row r="262" spans="1:14" ht="22.2" customHeight="1">
      <c r="A262" s="1"/>
      <c r="B262" s="51" t="s">
        <v>105</v>
      </c>
      <c r="C262" s="11" t="s">
        <v>204</v>
      </c>
      <c r="D262" s="40"/>
      <c r="E262" s="3"/>
      <c r="F262" s="4"/>
      <c r="G262" s="5"/>
      <c r="I262" s="9"/>
      <c r="J262" s="9"/>
      <c r="K262" s="9"/>
      <c r="L262" s="103"/>
      <c r="M262" s="108"/>
      <c r="N262" s="9"/>
    </row>
    <row r="263" spans="1:14" ht="13.95" customHeight="1">
      <c r="A263" s="1"/>
      <c r="B263" s="51"/>
      <c r="C263" s="6"/>
      <c r="D263" s="9"/>
      <c r="E263" s="3"/>
      <c r="F263" s="4"/>
      <c r="G263" s="5"/>
      <c r="I263" s="9"/>
      <c r="J263" s="9"/>
      <c r="K263" s="9"/>
      <c r="L263" s="103"/>
      <c r="M263" s="108"/>
      <c r="N263" s="9"/>
    </row>
    <row r="264" spans="1:14" ht="13.95" customHeight="1">
      <c r="A264" s="1"/>
      <c r="B264" s="51" t="s">
        <v>92</v>
      </c>
      <c r="C264" s="52" t="s">
        <v>205</v>
      </c>
      <c r="D264" s="9"/>
      <c r="E264" s="3"/>
      <c r="F264" s="4"/>
      <c r="G264" s="5"/>
      <c r="I264" s="9"/>
      <c r="J264" s="9"/>
      <c r="K264" s="9"/>
      <c r="L264" s="103"/>
      <c r="M264" s="108"/>
      <c r="N264" s="9"/>
    </row>
    <row r="265" spans="1:14" ht="13.95" customHeight="1">
      <c r="A265" s="1"/>
      <c r="B265" s="51"/>
      <c r="C265" s="6"/>
      <c r="D265" s="9"/>
      <c r="E265" s="3"/>
      <c r="F265" s="4"/>
      <c r="G265" s="5"/>
      <c r="I265" s="9"/>
      <c r="J265" s="9"/>
      <c r="K265" s="9"/>
      <c r="L265" s="103"/>
      <c r="M265" s="108"/>
      <c r="N265" s="9"/>
    </row>
    <row r="266" spans="1:14" ht="24" customHeight="1">
      <c r="A266" s="1"/>
      <c r="B266" s="51" t="s">
        <v>206</v>
      </c>
      <c r="C266" s="21" t="s">
        <v>207</v>
      </c>
      <c r="D266" s="9"/>
      <c r="E266" s="3"/>
      <c r="F266" s="4"/>
      <c r="G266" s="5"/>
      <c r="I266" s="9"/>
      <c r="J266" s="9"/>
      <c r="K266" s="9"/>
      <c r="L266" s="103"/>
      <c r="M266" s="108"/>
      <c r="N266" s="9"/>
    </row>
    <row r="267" spans="1:14" ht="13.95" customHeight="1">
      <c r="A267" s="1"/>
      <c r="B267" s="51"/>
      <c r="C267" s="6"/>
      <c r="D267" s="9"/>
      <c r="E267" s="3"/>
      <c r="F267" s="4"/>
      <c r="G267" s="5"/>
      <c r="I267" s="9"/>
      <c r="J267" s="9"/>
      <c r="K267" s="9"/>
      <c r="L267" s="103"/>
      <c r="M267" s="108"/>
      <c r="N267" s="9"/>
    </row>
    <row r="268" spans="1:14" ht="13.95" customHeight="1">
      <c r="A268" s="1">
        <f>A260+1</f>
        <v>46</v>
      </c>
      <c r="B268" s="51" t="s">
        <v>208</v>
      </c>
      <c r="C268" s="6" t="s">
        <v>21</v>
      </c>
      <c r="D268" s="9" t="s">
        <v>1</v>
      </c>
      <c r="E268" s="3">
        <f>SUM(I268:N268)</f>
        <v>0</v>
      </c>
      <c r="F268" s="13">
        <v>1950</v>
      </c>
      <c r="G268" s="5">
        <f t="shared" ref="G268" si="56">+E268*F268</f>
        <v>0</v>
      </c>
      <c r="I268" s="9"/>
      <c r="J268" s="9"/>
      <c r="K268" s="9"/>
      <c r="L268" s="103"/>
      <c r="M268" s="108"/>
      <c r="N268" s="9"/>
    </row>
    <row r="269" spans="1:14" ht="13.95" customHeight="1">
      <c r="A269" s="1"/>
      <c r="B269" s="51"/>
      <c r="C269" s="6"/>
      <c r="D269" s="9"/>
      <c r="E269" s="3"/>
      <c r="F269" s="13"/>
      <c r="G269" s="5"/>
      <c r="I269" s="9"/>
      <c r="J269" s="9"/>
      <c r="K269" s="9"/>
      <c r="L269" s="103"/>
      <c r="M269" s="108"/>
      <c r="N269" s="9"/>
    </row>
    <row r="270" spans="1:14" ht="12.6" customHeight="1">
      <c r="A270" s="1">
        <f>A268+1</f>
        <v>47</v>
      </c>
      <c r="B270" s="51" t="s">
        <v>209</v>
      </c>
      <c r="C270" s="18" t="s">
        <v>210</v>
      </c>
      <c r="D270" s="9" t="s">
        <v>6</v>
      </c>
      <c r="E270" s="3">
        <f>SUM(I270:N270)</f>
        <v>0</v>
      </c>
      <c r="F270" s="13">
        <v>350</v>
      </c>
      <c r="G270" s="5">
        <f t="shared" ref="G270" si="57">+E270*F270</f>
        <v>0</v>
      </c>
      <c r="I270" s="9"/>
      <c r="J270" s="9"/>
      <c r="K270" s="9"/>
      <c r="L270" s="103"/>
      <c r="M270" s="108"/>
      <c r="N270" s="9"/>
    </row>
    <row r="271" spans="1:14" ht="12.6" customHeight="1">
      <c r="A271" s="1"/>
      <c r="B271" s="1"/>
      <c r="C271" s="33"/>
      <c r="D271" s="35"/>
      <c r="E271" s="3"/>
      <c r="F271" s="13"/>
      <c r="G271" s="5"/>
      <c r="I271" s="9"/>
      <c r="J271" s="9"/>
      <c r="K271" s="9"/>
      <c r="L271" s="103"/>
      <c r="M271" s="108"/>
      <c r="N271" s="9"/>
    </row>
    <row r="272" spans="1:14" ht="12.6" customHeight="1">
      <c r="A272" s="1"/>
      <c r="B272" s="1"/>
      <c r="C272" s="123" t="s">
        <v>236</v>
      </c>
      <c r="D272" s="35"/>
      <c r="E272" s="3"/>
      <c r="F272" s="13"/>
      <c r="G272" s="5"/>
      <c r="I272" s="9"/>
      <c r="J272" s="9"/>
      <c r="K272" s="9"/>
      <c r="L272" s="103"/>
      <c r="M272" s="108"/>
      <c r="N272" s="9"/>
    </row>
    <row r="273" spans="1:14" ht="12.6" customHeight="1">
      <c r="A273" s="1"/>
      <c r="B273" s="1"/>
      <c r="C273" s="6"/>
      <c r="D273" s="35"/>
      <c r="E273" s="3"/>
      <c r="F273" s="13"/>
      <c r="G273" s="5"/>
      <c r="I273" s="9"/>
      <c r="J273" s="9"/>
      <c r="K273" s="9"/>
      <c r="L273" s="103"/>
      <c r="M273" s="108"/>
      <c r="N273" s="9"/>
    </row>
    <row r="274" spans="1:14" ht="12.6" customHeight="1">
      <c r="A274" s="1"/>
      <c r="B274" s="1"/>
      <c r="C274" s="124" t="s">
        <v>234</v>
      </c>
      <c r="D274" s="35"/>
      <c r="E274" s="3"/>
      <c r="F274" s="13"/>
      <c r="G274" s="5"/>
      <c r="I274" s="9"/>
      <c r="J274" s="9"/>
      <c r="K274" s="9"/>
      <c r="L274" s="103"/>
      <c r="M274" s="108"/>
      <c r="N274" s="9"/>
    </row>
    <row r="275" spans="1:14" ht="12.6" customHeight="1">
      <c r="A275" s="1"/>
      <c r="B275" s="1"/>
      <c r="C275" s="33"/>
      <c r="D275" s="35"/>
      <c r="E275" s="3"/>
      <c r="F275" s="13"/>
      <c r="G275" s="5"/>
      <c r="I275" s="9"/>
      <c r="J275" s="9"/>
      <c r="K275" s="9"/>
      <c r="L275" s="103"/>
      <c r="M275" s="108"/>
      <c r="N275" s="9"/>
    </row>
    <row r="276" spans="1:14" ht="38.4" customHeight="1">
      <c r="A276" s="1">
        <f>A270+1</f>
        <v>48</v>
      </c>
      <c r="B276" s="1"/>
      <c r="C276" s="125" t="s">
        <v>235</v>
      </c>
      <c r="D276" s="1" t="s">
        <v>60</v>
      </c>
      <c r="E276" s="3">
        <f>SUM(I276:N276)</f>
        <v>1</v>
      </c>
      <c r="F276" s="13">
        <v>3750</v>
      </c>
      <c r="G276" s="5">
        <f t="shared" ref="G276" si="58">+E276*F276</f>
        <v>3750</v>
      </c>
      <c r="I276" s="9"/>
      <c r="J276" s="9"/>
      <c r="K276" s="9"/>
      <c r="L276" s="103">
        <v>1</v>
      </c>
      <c r="M276" s="108"/>
      <c r="N276" s="9"/>
    </row>
    <row r="277" spans="1:14" ht="12.6" customHeight="1">
      <c r="A277" s="1"/>
      <c r="B277" s="1"/>
      <c r="C277" s="33"/>
      <c r="D277" s="35"/>
      <c r="E277" s="3"/>
      <c r="F277" s="13"/>
      <c r="G277" s="5"/>
      <c r="I277" s="9"/>
      <c r="J277" s="9"/>
      <c r="K277" s="9"/>
      <c r="L277" s="103"/>
      <c r="M277" s="108"/>
      <c r="N277" s="9"/>
    </row>
    <row r="278" spans="1:14" ht="13.95" customHeight="1">
      <c r="A278" s="1"/>
      <c r="B278" s="1"/>
      <c r="C278" s="34" t="s">
        <v>212</v>
      </c>
      <c r="D278" s="1" t="s">
        <v>64</v>
      </c>
      <c r="E278" s="3"/>
      <c r="F278" s="14"/>
      <c r="G278" s="5"/>
      <c r="I278" s="9"/>
      <c r="J278" s="9"/>
      <c r="K278" s="9"/>
      <c r="L278" s="103"/>
      <c r="M278" s="108"/>
      <c r="N278" s="9"/>
    </row>
    <row r="279" spans="1:14" ht="13.95" customHeight="1">
      <c r="A279" s="1"/>
      <c r="B279" s="1"/>
      <c r="C279" s="33" t="s">
        <v>64</v>
      </c>
      <c r="D279" s="1" t="s">
        <v>64</v>
      </c>
      <c r="E279" s="3"/>
      <c r="F279" s="4"/>
      <c r="G279" s="5"/>
      <c r="I279" s="9"/>
      <c r="J279" s="9"/>
      <c r="K279" s="9"/>
      <c r="L279" s="103"/>
      <c r="M279" s="108"/>
      <c r="N279" s="9"/>
    </row>
    <row r="280" spans="1:14" ht="22.2" customHeight="1">
      <c r="A280" s="1">
        <f>A276+1</f>
        <v>49</v>
      </c>
      <c r="B280" s="1"/>
      <c r="C280" s="33" t="s">
        <v>217</v>
      </c>
      <c r="D280" s="1" t="s">
        <v>60</v>
      </c>
      <c r="E280" s="3">
        <f>SUM(I280:N280)</f>
        <v>120</v>
      </c>
      <c r="F280" s="3">
        <v>885</v>
      </c>
      <c r="G280" s="5">
        <f t="shared" ref="G280" si="59">+E280*F280</f>
        <v>106200</v>
      </c>
      <c r="I280" s="9">
        <v>54</v>
      </c>
      <c r="J280" s="9">
        <v>66</v>
      </c>
      <c r="K280" s="9"/>
      <c r="L280" s="103"/>
      <c r="M280" s="108"/>
      <c r="N280" s="9"/>
    </row>
    <row r="281" spans="1:14">
      <c r="A281" s="1"/>
      <c r="B281" s="1"/>
      <c r="C281" s="33"/>
      <c r="D281" s="35"/>
      <c r="E281" s="3"/>
      <c r="F281" s="3"/>
      <c r="G281" s="5"/>
      <c r="I281" s="9"/>
      <c r="J281" s="9"/>
      <c r="K281" s="9"/>
      <c r="L281" s="103"/>
      <c r="M281" s="108"/>
      <c r="N281" s="9"/>
    </row>
    <row r="282" spans="1:14" ht="13.95" customHeight="1">
      <c r="A282" s="1"/>
      <c r="B282" s="1"/>
      <c r="C282" s="33"/>
      <c r="D282" s="35"/>
      <c r="E282" s="3"/>
      <c r="F282" s="4"/>
      <c r="G282" s="5"/>
      <c r="I282" s="9"/>
      <c r="J282" s="9"/>
      <c r="K282" s="9"/>
      <c r="L282" s="103"/>
      <c r="M282" s="108"/>
      <c r="N282" s="9"/>
    </row>
    <row r="283" spans="1:14" ht="13.95" customHeight="1">
      <c r="A283" s="1"/>
      <c r="B283" s="1"/>
      <c r="C283" s="33"/>
      <c r="D283" s="35"/>
      <c r="E283" s="3"/>
      <c r="F283" s="4"/>
      <c r="G283" s="5"/>
      <c r="I283" s="9"/>
      <c r="J283" s="9"/>
      <c r="K283" s="9"/>
      <c r="L283" s="103"/>
      <c r="M283" s="108"/>
      <c r="N283" s="9"/>
    </row>
    <row r="284" spans="1:14" ht="13.95" customHeight="1">
      <c r="A284" s="1"/>
      <c r="B284" s="1"/>
      <c r="C284" s="33"/>
      <c r="D284" s="35"/>
      <c r="E284" s="3"/>
      <c r="F284" s="4"/>
      <c r="G284" s="5"/>
      <c r="I284" s="9"/>
      <c r="J284" s="9"/>
      <c r="K284" s="9"/>
      <c r="L284" s="103"/>
      <c r="M284" s="108"/>
      <c r="N284" s="9"/>
    </row>
    <row r="285" spans="1:14" ht="20.100000000000001" customHeight="1">
      <c r="A285" s="149" t="s">
        <v>66</v>
      </c>
      <c r="B285" s="150"/>
      <c r="C285" s="150"/>
      <c r="D285" s="150"/>
      <c r="E285" s="150"/>
      <c r="F285" s="151"/>
      <c r="G285" s="116">
        <f>SUM(G246:G284)</f>
        <v>970131.84</v>
      </c>
      <c r="I285" s="9"/>
      <c r="J285" s="9"/>
      <c r="K285" s="9"/>
      <c r="L285" s="103"/>
      <c r="M285" s="108"/>
      <c r="N285" s="9"/>
    </row>
    <row r="286" spans="1:14" ht="13.95" customHeight="1">
      <c r="A286" s="39"/>
      <c r="B286" s="39"/>
      <c r="C286" s="39"/>
      <c r="D286" s="39"/>
      <c r="E286" s="39"/>
      <c r="F286" s="39"/>
      <c r="G286" s="113"/>
      <c r="I286" s="9"/>
      <c r="J286" s="9"/>
      <c r="K286" s="9"/>
      <c r="L286" s="103"/>
      <c r="M286" s="108"/>
      <c r="N286" s="9"/>
    </row>
    <row r="287" spans="1:14" ht="13.95" customHeight="1">
      <c r="A287" s="39"/>
      <c r="B287" s="39"/>
      <c r="C287" s="39"/>
      <c r="D287" s="39"/>
      <c r="E287" s="39"/>
      <c r="F287" s="39"/>
      <c r="G287" s="113"/>
      <c r="I287" s="9"/>
      <c r="J287" s="9"/>
      <c r="K287" s="9"/>
      <c r="L287" s="103"/>
      <c r="M287" s="108"/>
      <c r="N287" s="9"/>
    </row>
    <row r="288" spans="1:14" ht="22.2" customHeight="1">
      <c r="A288" s="44" t="s">
        <v>8</v>
      </c>
      <c r="B288" s="48" t="s">
        <v>9</v>
      </c>
      <c r="C288" s="44" t="s">
        <v>10</v>
      </c>
      <c r="D288" s="48" t="s">
        <v>11</v>
      </c>
      <c r="E288" s="48" t="s">
        <v>59</v>
      </c>
      <c r="F288" s="49" t="s">
        <v>12</v>
      </c>
      <c r="G288" s="111" t="s">
        <v>13</v>
      </c>
      <c r="I288" s="9"/>
      <c r="J288" s="9"/>
      <c r="K288" s="9"/>
      <c r="L288" s="103"/>
      <c r="M288" s="108"/>
      <c r="N288" s="9"/>
    </row>
    <row r="289" spans="1:14" ht="20.100000000000001" customHeight="1">
      <c r="A289" s="149" t="s">
        <v>67</v>
      </c>
      <c r="B289" s="150"/>
      <c r="C289" s="150"/>
      <c r="D289" s="150"/>
      <c r="E289" s="150"/>
      <c r="F289" s="151"/>
      <c r="G289" s="116">
        <f>+G285</f>
        <v>970131.84</v>
      </c>
      <c r="I289" s="9"/>
      <c r="J289" s="9"/>
      <c r="K289" s="9"/>
      <c r="L289" s="103"/>
      <c r="M289" s="108"/>
      <c r="N289" s="9"/>
    </row>
    <row r="290" spans="1:14" ht="13.95" customHeight="1">
      <c r="A290" s="1"/>
      <c r="B290" s="1"/>
      <c r="C290" s="33"/>
      <c r="D290" s="35"/>
      <c r="E290" s="3"/>
      <c r="F290" s="4"/>
      <c r="G290" s="5"/>
      <c r="I290" s="9"/>
      <c r="J290" s="9"/>
      <c r="K290" s="9"/>
      <c r="L290" s="103"/>
      <c r="M290" s="108"/>
      <c r="N290" s="9"/>
    </row>
    <row r="291" spans="1:14" ht="13.95" customHeight="1">
      <c r="A291" s="16"/>
      <c r="B291" s="76" t="s">
        <v>167</v>
      </c>
      <c r="C291" s="74" t="s">
        <v>168</v>
      </c>
      <c r="D291" s="93"/>
      <c r="E291" s="94"/>
      <c r="F291" s="14"/>
      <c r="G291" s="15"/>
      <c r="I291" s="9"/>
      <c r="J291" s="9"/>
      <c r="K291" s="9"/>
      <c r="L291" s="103"/>
      <c r="M291" s="108"/>
      <c r="N291" s="9"/>
    </row>
    <row r="292" spans="1:14" ht="13.95" customHeight="1">
      <c r="A292" s="16"/>
      <c r="B292" s="12"/>
      <c r="C292" s="75"/>
      <c r="D292" s="93"/>
      <c r="E292" s="94"/>
      <c r="F292" s="14"/>
      <c r="G292" s="15"/>
      <c r="I292" s="9"/>
      <c r="J292" s="9"/>
      <c r="K292" s="9"/>
      <c r="L292" s="103"/>
      <c r="M292" s="108"/>
      <c r="N292" s="9"/>
    </row>
    <row r="293" spans="1:14" ht="13.95" customHeight="1">
      <c r="A293" s="16"/>
      <c r="B293" s="12" t="s">
        <v>193</v>
      </c>
      <c r="C293" s="70" t="s">
        <v>164</v>
      </c>
      <c r="D293" s="12"/>
      <c r="E293" s="94"/>
      <c r="F293" s="14"/>
      <c r="G293" s="15"/>
      <c r="I293" s="9"/>
      <c r="J293" s="9"/>
      <c r="K293" s="9"/>
      <c r="L293" s="103"/>
      <c r="M293" s="108"/>
      <c r="N293" s="9"/>
    </row>
    <row r="294" spans="1:14" ht="13.95" customHeight="1">
      <c r="A294" s="16"/>
      <c r="B294" s="73"/>
      <c r="C294" s="62"/>
      <c r="D294" s="12"/>
      <c r="E294" s="94"/>
      <c r="F294" s="14"/>
      <c r="G294" s="15"/>
      <c r="I294" s="9"/>
      <c r="J294" s="9"/>
      <c r="K294" s="9"/>
      <c r="L294" s="103"/>
      <c r="M294" s="108"/>
      <c r="N294" s="9"/>
    </row>
    <row r="295" spans="1:14" ht="13.95" customHeight="1">
      <c r="A295" s="16">
        <v>50</v>
      </c>
      <c r="B295" s="73"/>
      <c r="C295" s="75" t="s">
        <v>112</v>
      </c>
      <c r="D295" s="12" t="s">
        <v>60</v>
      </c>
      <c r="E295" s="3">
        <f>SUM(I295:N295)</f>
        <v>0</v>
      </c>
      <c r="F295" s="13">
        <v>890</v>
      </c>
      <c r="G295" s="15">
        <f>+E295*F295</f>
        <v>0</v>
      </c>
      <c r="I295" s="9"/>
      <c r="J295" s="9"/>
      <c r="K295" s="9"/>
      <c r="L295" s="103"/>
      <c r="M295" s="108"/>
      <c r="N295" s="9"/>
    </row>
    <row r="296" spans="1:14" ht="13.95" customHeight="1">
      <c r="A296" s="16"/>
      <c r="B296" s="73"/>
      <c r="C296" s="62"/>
      <c r="D296" s="12"/>
      <c r="E296" s="94"/>
      <c r="F296" s="14"/>
      <c r="G296" s="15"/>
      <c r="I296" s="9"/>
      <c r="J296" s="9"/>
      <c r="K296" s="9"/>
      <c r="L296" s="103"/>
      <c r="M296" s="108"/>
      <c r="N296" s="9"/>
    </row>
    <row r="297" spans="1:14" ht="13.95" customHeight="1">
      <c r="A297" s="16"/>
      <c r="B297" s="12" t="s">
        <v>195</v>
      </c>
      <c r="C297" s="70" t="s">
        <v>194</v>
      </c>
      <c r="D297" s="12"/>
      <c r="E297" s="94"/>
      <c r="F297" s="14"/>
      <c r="G297" s="15"/>
      <c r="I297" s="9"/>
      <c r="J297" s="9"/>
      <c r="K297" s="9"/>
      <c r="L297" s="103"/>
      <c r="M297" s="108"/>
      <c r="N297" s="9"/>
    </row>
    <row r="298" spans="1:14" ht="13.95" customHeight="1">
      <c r="A298" s="16"/>
      <c r="B298" s="73"/>
      <c r="C298" s="62"/>
      <c r="D298" s="12"/>
      <c r="E298" s="94"/>
      <c r="F298" s="14"/>
      <c r="G298" s="15"/>
      <c r="I298" s="9"/>
      <c r="J298" s="9"/>
      <c r="K298" s="9"/>
      <c r="L298" s="103"/>
      <c r="M298" s="108"/>
      <c r="N298" s="9"/>
    </row>
    <row r="299" spans="1:14" ht="13.95" customHeight="1">
      <c r="A299" s="16">
        <v>51</v>
      </c>
      <c r="B299" s="73"/>
      <c r="C299" s="75" t="s">
        <v>165</v>
      </c>
      <c r="D299" s="12" t="s">
        <v>60</v>
      </c>
      <c r="E299" s="3">
        <f>SUM(I299:N299)</f>
        <v>0</v>
      </c>
      <c r="F299" s="14">
        <v>325</v>
      </c>
      <c r="G299" s="15">
        <f t="shared" ref="G299" si="60">+E299*F299</f>
        <v>0</v>
      </c>
      <c r="I299" s="9"/>
      <c r="J299" s="9"/>
      <c r="K299" s="9"/>
      <c r="L299" s="103"/>
      <c r="M299" s="108"/>
      <c r="N299" s="9"/>
    </row>
    <row r="300" spans="1:14" ht="13.95" customHeight="1">
      <c r="A300" s="16"/>
      <c r="B300" s="12"/>
      <c r="C300" s="75"/>
      <c r="D300" s="93"/>
      <c r="E300" s="94"/>
      <c r="F300" s="14"/>
      <c r="G300" s="15"/>
      <c r="I300" s="9"/>
      <c r="J300" s="9"/>
      <c r="K300" s="9"/>
      <c r="L300" s="103"/>
      <c r="M300" s="108"/>
      <c r="N300" s="9"/>
    </row>
    <row r="301" spans="1:14" ht="24">
      <c r="A301" s="16"/>
      <c r="B301" s="76" t="s">
        <v>169</v>
      </c>
      <c r="C301" s="46" t="s">
        <v>216</v>
      </c>
      <c r="D301" s="12"/>
      <c r="E301" s="12"/>
      <c r="F301" s="145"/>
      <c r="G301" s="15"/>
      <c r="I301" s="9"/>
      <c r="J301" s="9"/>
      <c r="K301" s="9"/>
      <c r="L301" s="103"/>
      <c r="M301" s="108"/>
      <c r="N301" s="9"/>
    </row>
    <row r="302" spans="1:14" ht="13.95" customHeight="1">
      <c r="A302" s="16"/>
      <c r="B302" s="76"/>
      <c r="C302" s="75"/>
      <c r="D302" s="12"/>
      <c r="E302" s="12"/>
      <c r="F302" s="145"/>
      <c r="G302" s="15"/>
      <c r="I302" s="9"/>
      <c r="J302" s="9"/>
      <c r="K302" s="9"/>
      <c r="L302" s="103"/>
      <c r="M302" s="108"/>
      <c r="N302" s="9"/>
    </row>
    <row r="303" spans="1:14" ht="13.95" customHeight="1">
      <c r="A303" s="16"/>
      <c r="B303" s="76" t="s">
        <v>169</v>
      </c>
      <c r="C303" s="75" t="s">
        <v>170</v>
      </c>
      <c r="D303" s="12"/>
      <c r="E303" s="12"/>
      <c r="F303" s="145"/>
      <c r="G303" s="15"/>
      <c r="I303" s="9"/>
      <c r="J303" s="9"/>
      <c r="K303" s="9"/>
      <c r="L303" s="103"/>
      <c r="M303" s="108"/>
      <c r="N303" s="9"/>
    </row>
    <row r="304" spans="1:14" ht="13.95" customHeight="1">
      <c r="A304" s="16"/>
      <c r="B304" s="76"/>
      <c r="C304" s="75"/>
      <c r="D304" s="12"/>
      <c r="E304" s="12"/>
      <c r="F304" s="145"/>
      <c r="G304" s="15"/>
      <c r="I304" s="9"/>
      <c r="J304" s="9"/>
      <c r="K304" s="9"/>
      <c r="L304" s="103"/>
      <c r="M304" s="108"/>
      <c r="N304" s="9"/>
    </row>
    <row r="305" spans="1:15" ht="13.95" customHeight="1">
      <c r="A305" s="16">
        <v>52</v>
      </c>
      <c r="B305" s="76" t="s">
        <v>171</v>
      </c>
      <c r="C305" s="75" t="s">
        <v>172</v>
      </c>
      <c r="D305" s="12" t="s">
        <v>60</v>
      </c>
      <c r="E305" s="3">
        <f>SUM(I305:N305)</f>
        <v>0</v>
      </c>
      <c r="F305" s="94">
        <v>275</v>
      </c>
      <c r="G305" s="15">
        <f t="shared" ref="G305:G313" si="61">+E305*F305</f>
        <v>0</v>
      </c>
      <c r="I305" s="9"/>
      <c r="J305" s="9"/>
      <c r="K305" s="9"/>
      <c r="L305" s="103"/>
      <c r="M305" s="108"/>
      <c r="N305" s="9"/>
    </row>
    <row r="306" spans="1:15" ht="13.95" customHeight="1">
      <c r="A306" s="16"/>
      <c r="B306" s="12"/>
      <c r="C306" s="75"/>
      <c r="D306" s="93"/>
      <c r="E306" s="94"/>
      <c r="F306" s="14"/>
      <c r="G306" s="15"/>
      <c r="I306" s="9"/>
      <c r="J306" s="9"/>
      <c r="K306" s="9"/>
      <c r="L306" s="103"/>
      <c r="M306" s="108"/>
      <c r="N306" s="9"/>
    </row>
    <row r="307" spans="1:15" ht="13.95" customHeight="1">
      <c r="A307" s="16"/>
      <c r="B307" s="12" t="s">
        <v>102</v>
      </c>
      <c r="C307" s="74" t="s">
        <v>166</v>
      </c>
      <c r="D307" s="12"/>
      <c r="E307" s="94"/>
      <c r="F307" s="14"/>
      <c r="G307" s="15"/>
      <c r="I307" s="9"/>
      <c r="J307" s="9"/>
      <c r="K307" s="9"/>
      <c r="L307" s="103"/>
      <c r="M307" s="108"/>
      <c r="N307" s="9"/>
    </row>
    <row r="308" spans="1:15" ht="13.95" customHeight="1">
      <c r="A308" s="16"/>
      <c r="B308" s="12"/>
      <c r="C308" s="95"/>
      <c r="D308" s="12"/>
      <c r="E308" s="94"/>
      <c r="F308" s="14"/>
      <c r="G308" s="15"/>
      <c r="I308" s="9"/>
      <c r="J308" s="9"/>
      <c r="K308" s="103"/>
      <c r="L308" s="103"/>
      <c r="M308" s="108"/>
      <c r="N308" s="9"/>
    </row>
    <row r="309" spans="1:15" ht="13.95" customHeight="1">
      <c r="A309" s="16"/>
      <c r="B309" s="12"/>
      <c r="C309" s="75" t="s">
        <v>78</v>
      </c>
      <c r="D309" s="12"/>
      <c r="E309" s="94"/>
      <c r="F309" s="14"/>
      <c r="G309" s="15"/>
      <c r="I309" s="103"/>
      <c r="J309" s="103"/>
      <c r="K309" s="103"/>
      <c r="L309" s="103"/>
      <c r="M309" s="134"/>
      <c r="N309" s="9"/>
    </row>
    <row r="310" spans="1:15" ht="13.95" customHeight="1">
      <c r="A310" s="16"/>
      <c r="B310" s="12"/>
      <c r="C310" s="75"/>
      <c r="D310" s="12"/>
      <c r="E310" s="94"/>
      <c r="F310" s="14"/>
      <c r="G310" s="15"/>
      <c r="I310" s="103"/>
      <c r="J310" s="103"/>
      <c r="K310" s="103"/>
      <c r="L310" s="103"/>
      <c r="M310" s="134"/>
      <c r="N310" s="9"/>
    </row>
    <row r="311" spans="1:15" ht="36">
      <c r="A311" s="16">
        <v>53</v>
      </c>
      <c r="B311" s="12"/>
      <c r="C311" s="47" t="s">
        <v>203</v>
      </c>
      <c r="D311" s="12" t="s">
        <v>6</v>
      </c>
      <c r="E311" s="3">
        <f>SUM(I311:N311)</f>
        <v>0</v>
      </c>
      <c r="F311" s="13">
        <v>16000</v>
      </c>
      <c r="G311" s="15">
        <f t="shared" si="61"/>
        <v>0</v>
      </c>
      <c r="I311" s="103"/>
      <c r="J311" s="103"/>
      <c r="K311" s="103"/>
      <c r="L311" s="103"/>
      <c r="M311" s="134"/>
      <c r="N311" s="103"/>
      <c r="O311" s="41"/>
    </row>
    <row r="312" spans="1:15" ht="13.95" customHeight="1">
      <c r="A312" s="16"/>
      <c r="B312" s="12"/>
      <c r="C312" s="75"/>
      <c r="D312" s="93"/>
      <c r="E312" s="94"/>
      <c r="F312" s="13"/>
      <c r="G312" s="15"/>
      <c r="I312" s="103"/>
      <c r="J312" s="103"/>
      <c r="K312" s="103"/>
      <c r="L312" s="103"/>
      <c r="M312" s="134"/>
      <c r="N312" s="103"/>
      <c r="O312" s="41"/>
    </row>
    <row r="313" spans="1:15" ht="36">
      <c r="A313" s="16">
        <v>54</v>
      </c>
      <c r="B313" s="12"/>
      <c r="C313" s="47" t="s">
        <v>286</v>
      </c>
      <c r="D313" s="12" t="s">
        <v>6</v>
      </c>
      <c r="E313" s="3">
        <f>SUM(I313:N313)</f>
        <v>0</v>
      </c>
      <c r="F313" s="13">
        <v>65000</v>
      </c>
      <c r="G313" s="15">
        <f t="shared" si="61"/>
        <v>0</v>
      </c>
      <c r="I313" s="103"/>
      <c r="J313" s="103"/>
      <c r="K313" s="103"/>
      <c r="L313" s="103"/>
      <c r="M313" s="134"/>
      <c r="N313" s="103"/>
      <c r="O313" s="41"/>
    </row>
    <row r="314" spans="1:15" ht="13.95" customHeight="1">
      <c r="A314" s="16"/>
      <c r="B314" s="12"/>
      <c r="C314" s="47"/>
      <c r="D314" s="93"/>
      <c r="E314" s="3"/>
      <c r="F314" s="13"/>
      <c r="G314" s="15"/>
      <c r="I314" s="103"/>
      <c r="J314" s="103"/>
      <c r="K314" s="103"/>
      <c r="L314" s="103"/>
      <c r="M314" s="134"/>
      <c r="N314" s="103"/>
      <c r="O314" s="41"/>
    </row>
    <row r="315" spans="1:15" ht="13.95" customHeight="1">
      <c r="A315" s="16"/>
      <c r="B315" s="12"/>
      <c r="C315" s="75"/>
      <c r="D315" s="93"/>
      <c r="E315" s="3"/>
      <c r="F315" s="13"/>
      <c r="G315" s="15"/>
      <c r="I315" s="103"/>
      <c r="J315" s="103"/>
      <c r="K315" s="103"/>
      <c r="L315" s="103"/>
      <c r="M315" s="134"/>
      <c r="N315" s="103"/>
      <c r="O315" s="41"/>
    </row>
    <row r="316" spans="1:15" ht="13.95" customHeight="1">
      <c r="A316" s="16"/>
      <c r="B316" s="12"/>
      <c r="C316" s="75"/>
      <c r="D316" s="93"/>
      <c r="E316" s="3"/>
      <c r="F316" s="13"/>
      <c r="G316" s="15"/>
      <c r="I316" s="103"/>
      <c r="J316" s="103"/>
      <c r="K316" s="103"/>
      <c r="L316" s="103"/>
      <c r="M316" s="134"/>
      <c r="N316" s="103"/>
      <c r="O316" s="41"/>
    </row>
    <row r="317" spans="1:15" ht="13.95" customHeight="1">
      <c r="A317" s="16"/>
      <c r="B317" s="12"/>
      <c r="C317" s="75"/>
      <c r="D317" s="93"/>
      <c r="E317" s="3"/>
      <c r="F317" s="13"/>
      <c r="G317" s="15"/>
      <c r="I317" s="103"/>
      <c r="J317" s="103"/>
      <c r="K317" s="103"/>
      <c r="L317" s="103"/>
      <c r="M317" s="134"/>
      <c r="N317" s="103"/>
      <c r="O317" s="41"/>
    </row>
    <row r="318" spans="1:15" ht="13.95" customHeight="1">
      <c r="A318" s="16"/>
      <c r="B318" s="12"/>
      <c r="C318" s="75"/>
      <c r="D318" s="93"/>
      <c r="E318" s="3"/>
      <c r="F318" s="13"/>
      <c r="G318" s="15"/>
      <c r="I318" s="103"/>
      <c r="J318" s="103"/>
      <c r="K318" s="103"/>
      <c r="L318" s="103"/>
      <c r="M318" s="134"/>
      <c r="N318" s="103"/>
      <c r="O318" s="41"/>
    </row>
    <row r="319" spans="1:15" ht="13.95" customHeight="1">
      <c r="A319" s="16"/>
      <c r="B319" s="12"/>
      <c r="C319" s="75"/>
      <c r="D319" s="93"/>
      <c r="E319" s="3"/>
      <c r="F319" s="13"/>
      <c r="G319" s="15"/>
      <c r="I319" s="103"/>
      <c r="J319" s="103"/>
      <c r="K319" s="103"/>
      <c r="L319" s="103"/>
      <c r="M319" s="134"/>
      <c r="N319" s="103"/>
      <c r="O319" s="41"/>
    </row>
    <row r="320" spans="1:15" ht="13.95" customHeight="1">
      <c r="A320" s="16"/>
      <c r="B320" s="12"/>
      <c r="C320" s="75"/>
      <c r="D320" s="93"/>
      <c r="E320" s="3"/>
      <c r="F320" s="13"/>
      <c r="G320" s="15"/>
      <c r="I320" s="103"/>
      <c r="J320" s="103"/>
      <c r="K320" s="103"/>
      <c r="L320" s="103"/>
      <c r="M320" s="134"/>
      <c r="N320" s="103"/>
      <c r="O320" s="41"/>
    </row>
    <row r="321" spans="1:15" ht="13.95" customHeight="1">
      <c r="A321" s="16"/>
      <c r="B321" s="12"/>
      <c r="C321" s="75"/>
      <c r="D321" s="93"/>
      <c r="E321" s="3"/>
      <c r="F321" s="13"/>
      <c r="G321" s="15"/>
      <c r="I321" s="103"/>
      <c r="J321" s="103"/>
      <c r="K321" s="103"/>
      <c r="L321" s="103"/>
      <c r="M321" s="134"/>
      <c r="N321" s="103"/>
      <c r="O321" s="41"/>
    </row>
    <row r="322" spans="1:15" ht="13.95" customHeight="1">
      <c r="A322" s="16"/>
      <c r="B322" s="12"/>
      <c r="C322" s="75"/>
      <c r="D322" s="93"/>
      <c r="E322" s="3"/>
      <c r="F322" s="13"/>
      <c r="G322" s="15"/>
      <c r="I322" s="103"/>
      <c r="J322" s="103"/>
      <c r="K322" s="103"/>
      <c r="L322" s="103"/>
      <c r="M322" s="134"/>
      <c r="N322" s="103"/>
      <c r="O322" s="41"/>
    </row>
    <row r="323" spans="1:15" ht="13.95" customHeight="1">
      <c r="A323" s="16"/>
      <c r="B323" s="12"/>
      <c r="C323" s="75"/>
      <c r="D323" s="93"/>
      <c r="E323" s="3"/>
      <c r="F323" s="13"/>
      <c r="G323" s="15"/>
      <c r="I323" s="103"/>
      <c r="J323" s="103"/>
      <c r="K323" s="103"/>
      <c r="L323" s="103"/>
      <c r="M323" s="134"/>
      <c r="N323" s="103"/>
      <c r="O323" s="41"/>
    </row>
    <row r="324" spans="1:15" ht="13.95" customHeight="1">
      <c r="A324" s="16"/>
      <c r="B324" s="12"/>
      <c r="C324" s="75"/>
      <c r="D324" s="93"/>
      <c r="E324" s="3"/>
      <c r="F324" s="13"/>
      <c r="G324" s="15"/>
      <c r="I324" s="103"/>
      <c r="J324" s="103"/>
      <c r="K324" s="103"/>
      <c r="L324" s="103"/>
      <c r="M324" s="134"/>
      <c r="N324" s="103"/>
      <c r="O324" s="41"/>
    </row>
    <row r="325" spans="1:15" ht="13.95" customHeight="1">
      <c r="A325" s="16"/>
      <c r="B325" s="12"/>
      <c r="C325" s="75"/>
      <c r="D325" s="93"/>
      <c r="E325" s="3"/>
      <c r="F325" s="13"/>
      <c r="G325" s="15"/>
      <c r="I325" s="103"/>
      <c r="J325" s="103"/>
      <c r="K325" s="103"/>
      <c r="L325" s="103"/>
      <c r="M325" s="134"/>
      <c r="N325" s="103"/>
      <c r="O325" s="41"/>
    </row>
    <row r="326" spans="1:15" ht="13.95" customHeight="1">
      <c r="A326" s="16"/>
      <c r="B326" s="12"/>
      <c r="C326" s="75"/>
      <c r="D326" s="93"/>
      <c r="E326" s="3"/>
      <c r="F326" s="13"/>
      <c r="G326" s="15"/>
      <c r="I326" s="103"/>
      <c r="J326" s="103"/>
      <c r="K326" s="103"/>
      <c r="L326" s="103"/>
      <c r="M326" s="134"/>
      <c r="N326" s="103"/>
      <c r="O326" s="41"/>
    </row>
    <row r="327" spans="1:15" ht="13.95" customHeight="1">
      <c r="A327" s="16"/>
      <c r="B327" s="12"/>
      <c r="C327" s="75"/>
      <c r="D327" s="93"/>
      <c r="E327" s="3"/>
      <c r="F327" s="13"/>
      <c r="G327" s="15"/>
      <c r="I327" s="103"/>
      <c r="J327" s="103"/>
      <c r="K327" s="103"/>
      <c r="L327" s="103"/>
      <c r="M327" s="134"/>
      <c r="N327" s="103"/>
      <c r="O327" s="41"/>
    </row>
    <row r="328" spans="1:15" ht="13.95" customHeight="1">
      <c r="A328" s="16"/>
      <c r="B328" s="12"/>
      <c r="C328" s="75"/>
      <c r="D328" s="93"/>
      <c r="E328" s="3"/>
      <c r="F328" s="13"/>
      <c r="G328" s="15"/>
      <c r="I328" s="103"/>
      <c r="J328" s="103"/>
      <c r="K328" s="103"/>
      <c r="L328" s="103"/>
      <c r="M328" s="134"/>
      <c r="N328" s="103"/>
      <c r="O328" s="41"/>
    </row>
    <row r="329" spans="1:15" ht="13.95" customHeight="1">
      <c r="A329" s="16"/>
      <c r="B329" s="12"/>
      <c r="C329" s="75"/>
      <c r="D329" s="93"/>
      <c r="E329" s="3"/>
      <c r="F329" s="13"/>
      <c r="G329" s="15"/>
      <c r="I329" s="103"/>
      <c r="J329" s="103"/>
      <c r="K329" s="103"/>
      <c r="L329" s="103"/>
      <c r="M329" s="134"/>
      <c r="N329" s="103"/>
      <c r="O329" s="41"/>
    </row>
    <row r="330" spans="1:15" ht="13.95" customHeight="1">
      <c r="A330" s="16"/>
      <c r="B330" s="12"/>
      <c r="C330" s="75"/>
      <c r="D330" s="93"/>
      <c r="E330" s="3"/>
      <c r="F330" s="13"/>
      <c r="G330" s="15"/>
      <c r="I330" s="103"/>
      <c r="J330" s="103"/>
      <c r="K330" s="103"/>
      <c r="L330" s="103"/>
      <c r="M330" s="134"/>
      <c r="N330" s="103"/>
      <c r="O330" s="41"/>
    </row>
    <row r="331" spans="1:15" ht="13.95" customHeight="1">
      <c r="A331" s="16"/>
      <c r="B331" s="16"/>
      <c r="C331" s="47"/>
      <c r="D331" s="58"/>
      <c r="E331" s="13"/>
      <c r="F331" s="14"/>
      <c r="G331" s="15"/>
      <c r="I331" s="105"/>
      <c r="J331" s="105"/>
      <c r="K331" s="105"/>
      <c r="L331" s="105"/>
      <c r="M331" s="135"/>
      <c r="N331" s="53"/>
      <c r="O331" s="41"/>
    </row>
    <row r="332" spans="1:15">
      <c r="A332" s="16"/>
      <c r="B332" s="16"/>
      <c r="C332" s="47"/>
      <c r="D332" s="58"/>
      <c r="E332" s="13"/>
      <c r="F332" s="14"/>
      <c r="G332" s="15"/>
    </row>
    <row r="333" spans="1:15">
      <c r="A333" s="16"/>
      <c r="B333" s="16"/>
      <c r="C333" s="47"/>
      <c r="D333" s="58"/>
      <c r="E333" s="13"/>
      <c r="F333" s="14"/>
      <c r="G333" s="15"/>
    </row>
    <row r="334" spans="1:15">
      <c r="A334" s="16"/>
      <c r="B334" s="16"/>
      <c r="C334" s="47"/>
      <c r="D334" s="58"/>
      <c r="E334" s="13"/>
      <c r="F334" s="14"/>
      <c r="G334" s="15"/>
    </row>
    <row r="335" spans="1:15" ht="20.399999999999999" customHeight="1">
      <c r="A335" s="156" t="s">
        <v>161</v>
      </c>
      <c r="B335" s="157"/>
      <c r="C335" s="157"/>
      <c r="D335" s="157"/>
      <c r="E335" s="157"/>
      <c r="F335" s="158"/>
      <c r="G335" s="78">
        <f>SUM(G289:G334)</f>
        <v>970131.84</v>
      </c>
    </row>
  </sheetData>
  <mergeCells count="13">
    <mergeCell ref="A152:F152"/>
    <mergeCell ref="A48:F48"/>
    <mergeCell ref="A52:F52"/>
    <mergeCell ref="A96:F96"/>
    <mergeCell ref="A100:F100"/>
    <mergeCell ref="A148:F148"/>
    <mergeCell ref="A335:F335"/>
    <mergeCell ref="A198:F198"/>
    <mergeCell ref="A202:F202"/>
    <mergeCell ref="A242:F242"/>
    <mergeCell ref="A246:F246"/>
    <mergeCell ref="A285:F285"/>
    <mergeCell ref="A289:F289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0D91C-C718-490E-B1A0-EA12A50F364E}">
  <dimension ref="A1:O335"/>
  <sheetViews>
    <sheetView showGridLines="0" view="pageBreakPreview" topLeftCell="A2" zoomScaleNormal="100" zoomScaleSheetLayoutView="100" workbookViewId="0">
      <selection activeCell="I2" sqref="I1:O1048576"/>
    </sheetView>
  </sheetViews>
  <sheetFormatPr defaultColWidth="13.109375" defaultRowHeight="12"/>
  <cols>
    <col min="1" max="1" width="4.88671875" style="22" customWidth="1"/>
    <col min="2" max="2" width="8.33203125" style="20" customWidth="1"/>
    <col min="3" max="3" width="40.6640625" style="21" customWidth="1"/>
    <col min="4" max="4" width="5.109375" style="22" customWidth="1"/>
    <col min="5" max="5" width="7.6640625" style="22" customWidth="1"/>
    <col min="6" max="6" width="8.6640625" style="23" customWidth="1"/>
    <col min="7" max="7" width="11.6640625" style="24" customWidth="1"/>
    <col min="8" max="8" width="4.33203125" style="6" customWidth="1"/>
    <col min="9" max="9" width="11.33203125" style="22" hidden="1" customWidth="1"/>
    <col min="10" max="10" width="11.109375" style="22" hidden="1" customWidth="1"/>
    <col min="11" max="11" width="10.88671875" style="22" hidden="1" customWidth="1"/>
    <col min="12" max="12" width="11.6640625" style="22" hidden="1" customWidth="1"/>
    <col min="13" max="13" width="13.109375" style="106" hidden="1" customWidth="1"/>
    <col min="14" max="14" width="0" style="22" hidden="1" customWidth="1"/>
    <col min="15" max="15" width="0" style="6" hidden="1" customWidth="1"/>
    <col min="16" max="16384" width="13.109375" style="6"/>
  </cols>
  <sheetData>
    <row r="1" spans="1:14" ht="20.399999999999999" hidden="1" customHeight="1">
      <c r="A1" s="19" t="s">
        <v>80</v>
      </c>
    </row>
    <row r="2" spans="1:14" ht="15" customHeight="1">
      <c r="A2" s="142" t="str">
        <f>Summary!A2</f>
        <v>NAFASI WATER - ARNOT WASTE TREATMENT PLANT</v>
      </c>
      <c r="G2" s="25" t="str">
        <f>Summary!C2</f>
        <v>Revision T1</v>
      </c>
    </row>
    <row r="3" spans="1:14" ht="15" customHeight="1">
      <c r="A3" s="19" t="str">
        <f>Summary!A3</f>
        <v>PILING AND CIVIL WORK</v>
      </c>
      <c r="G3" s="26"/>
    </row>
    <row r="4" spans="1:14" ht="15" customHeight="1">
      <c r="A4" s="19" t="s">
        <v>288</v>
      </c>
      <c r="G4" s="143">
        <f>Summary!C4</f>
        <v>45183</v>
      </c>
    </row>
    <row r="5" spans="1:14" ht="15" customHeight="1">
      <c r="A5" s="27"/>
      <c r="B5" s="28"/>
      <c r="C5" s="28"/>
      <c r="E5" s="29"/>
      <c r="G5" s="30"/>
    </row>
    <row r="6" spans="1:14" s="42" customFormat="1" ht="37.200000000000003" customHeight="1">
      <c r="A6" s="44" t="s">
        <v>8</v>
      </c>
      <c r="B6" s="48" t="s">
        <v>9</v>
      </c>
      <c r="C6" s="44" t="s">
        <v>10</v>
      </c>
      <c r="D6" s="48" t="s">
        <v>11</v>
      </c>
      <c r="E6" s="48" t="s">
        <v>59</v>
      </c>
      <c r="F6" s="49" t="s">
        <v>12</v>
      </c>
      <c r="G6" s="49" t="s">
        <v>13</v>
      </c>
      <c r="I6" s="100" t="s">
        <v>245</v>
      </c>
      <c r="J6" s="100" t="s">
        <v>275</v>
      </c>
      <c r="K6" s="100" t="s">
        <v>281</v>
      </c>
      <c r="L6" s="101" t="s">
        <v>272</v>
      </c>
      <c r="M6" s="100" t="s">
        <v>282</v>
      </c>
      <c r="N6" s="48"/>
    </row>
    <row r="7" spans="1:14" s="42" customFormat="1" ht="4.95" customHeight="1">
      <c r="A7" s="2"/>
      <c r="B7" s="40"/>
      <c r="C7" s="50"/>
      <c r="D7" s="40"/>
      <c r="E7" s="40"/>
      <c r="F7" s="54"/>
      <c r="G7" s="54"/>
      <c r="I7" s="40"/>
      <c r="J7" s="40"/>
      <c r="K7" s="40"/>
      <c r="L7" s="102"/>
      <c r="M7" s="107"/>
      <c r="N7" s="109"/>
    </row>
    <row r="8" spans="1:14" ht="19.2" customHeight="1">
      <c r="A8" s="1"/>
      <c r="B8" s="2"/>
      <c r="C8" s="11" t="s">
        <v>287</v>
      </c>
      <c r="D8" s="1"/>
      <c r="E8" s="1"/>
      <c r="F8" s="4"/>
      <c r="G8" s="5"/>
      <c r="I8" s="9"/>
      <c r="J8" s="9"/>
      <c r="K8" s="9"/>
      <c r="L8" s="103"/>
      <c r="M8" s="108"/>
      <c r="N8" s="9"/>
    </row>
    <row r="9" spans="1:14" ht="10.95" customHeight="1">
      <c r="A9" s="1"/>
      <c r="B9" s="2"/>
      <c r="C9" s="11"/>
      <c r="D9" s="1"/>
      <c r="E9" s="1"/>
      <c r="F9" s="4"/>
      <c r="G9" s="5"/>
      <c r="I9" s="9"/>
      <c r="J9" s="9"/>
      <c r="K9" s="9"/>
      <c r="L9" s="103"/>
      <c r="M9" s="108"/>
      <c r="N9" s="9"/>
    </row>
    <row r="10" spans="1:14" ht="22.2" customHeight="1">
      <c r="A10" s="1"/>
      <c r="B10" s="1" t="s">
        <v>22</v>
      </c>
      <c r="C10" s="34" t="s">
        <v>69</v>
      </c>
      <c r="D10" s="1"/>
      <c r="E10" s="3" t="str">
        <f>IF(SUM(H10:M10)&gt;0,SUM(H10:M10),"")</f>
        <v/>
      </c>
      <c r="F10" s="4"/>
      <c r="G10" s="5"/>
      <c r="I10" s="9"/>
      <c r="J10" s="9"/>
      <c r="K10" s="9"/>
      <c r="L10" s="103"/>
      <c r="M10" s="108"/>
      <c r="N10" s="9"/>
    </row>
    <row r="11" spans="1:14" ht="13.95" customHeight="1">
      <c r="A11" s="1"/>
      <c r="B11" s="1"/>
      <c r="C11" s="34"/>
      <c r="D11" s="1"/>
      <c r="E11" s="3" t="str">
        <f>IF(SUM(H11:M11)&gt;0,SUM(H11:M11),"")</f>
        <v/>
      </c>
      <c r="F11" s="4"/>
      <c r="G11" s="5"/>
      <c r="I11" s="9"/>
      <c r="J11" s="9"/>
      <c r="K11" s="9"/>
      <c r="L11" s="103"/>
      <c r="M11" s="108"/>
      <c r="N11" s="9"/>
    </row>
    <row r="12" spans="1:14" ht="13.95" customHeight="1">
      <c r="A12" s="1"/>
      <c r="B12" s="1"/>
      <c r="C12" s="32" t="s">
        <v>55</v>
      </c>
      <c r="D12" s="1"/>
      <c r="E12" s="3" t="str">
        <f>IF(SUM(H12:M12)&gt;0,SUM(H12:M12),"")</f>
        <v/>
      </c>
      <c r="F12" s="4"/>
      <c r="G12" s="5"/>
      <c r="I12" s="9"/>
      <c r="J12" s="9"/>
      <c r="K12" s="9"/>
      <c r="L12" s="103"/>
      <c r="M12" s="108"/>
      <c r="N12" s="9"/>
    </row>
    <row r="13" spans="1:14" ht="13.95" customHeight="1">
      <c r="A13" s="1"/>
      <c r="B13" s="1"/>
      <c r="C13" s="32"/>
      <c r="D13" s="1"/>
      <c r="E13" s="3" t="str">
        <f>IF(SUM(H13:M13)&gt;0,SUM(H13:M13),"")</f>
        <v/>
      </c>
      <c r="F13" s="4"/>
      <c r="G13" s="5"/>
      <c r="I13" s="9"/>
      <c r="J13" s="9"/>
      <c r="K13" s="9"/>
      <c r="L13" s="103"/>
      <c r="M13" s="108"/>
      <c r="N13" s="9"/>
    </row>
    <row r="14" spans="1:14" ht="22.2" customHeight="1">
      <c r="A14" s="1">
        <v>1</v>
      </c>
      <c r="B14" s="1"/>
      <c r="C14" s="33" t="s">
        <v>218</v>
      </c>
      <c r="D14" s="1" t="s">
        <v>6</v>
      </c>
      <c r="E14" s="3">
        <f>SUM(I14:N14)</f>
        <v>0</v>
      </c>
      <c r="F14" s="13">
        <v>1150</v>
      </c>
      <c r="G14" s="5">
        <f t="shared" ref="G14" si="0">+E14*F14</f>
        <v>0</v>
      </c>
      <c r="I14" s="137">
        <v>0</v>
      </c>
      <c r="J14" s="137">
        <v>0</v>
      </c>
      <c r="K14" s="137">
        <v>0</v>
      </c>
      <c r="L14" s="137">
        <v>0</v>
      </c>
      <c r="M14" s="137">
        <v>0</v>
      </c>
      <c r="N14" s="137">
        <v>0</v>
      </c>
    </row>
    <row r="15" spans="1:14" ht="13.95" customHeight="1">
      <c r="A15" s="1"/>
      <c r="B15" s="1"/>
      <c r="C15" s="32"/>
      <c r="D15" s="1"/>
      <c r="E15" s="3"/>
      <c r="F15" s="14"/>
      <c r="G15" s="5"/>
      <c r="I15" s="13"/>
      <c r="J15" s="13"/>
      <c r="K15" s="13"/>
      <c r="L15" s="13"/>
      <c r="M15" s="13"/>
      <c r="N15" s="13"/>
    </row>
    <row r="16" spans="1:14" ht="13.95" customHeight="1">
      <c r="A16" s="1"/>
      <c r="B16" s="1"/>
      <c r="C16" s="32" t="s">
        <v>221</v>
      </c>
      <c r="D16" s="1"/>
      <c r="E16" s="3"/>
      <c r="F16" s="14"/>
      <c r="G16" s="5"/>
      <c r="I16" s="13"/>
      <c r="J16" s="13"/>
      <c r="K16" s="13"/>
      <c r="L16" s="13"/>
      <c r="M16" s="13"/>
      <c r="N16" s="13"/>
    </row>
    <row r="17" spans="1:14" ht="34.950000000000003" customHeight="1">
      <c r="A17" s="1"/>
      <c r="B17" s="1"/>
      <c r="C17" s="33" t="s">
        <v>219</v>
      </c>
      <c r="D17" s="1"/>
      <c r="E17" s="3"/>
      <c r="F17" s="14"/>
      <c r="G17" s="5"/>
      <c r="I17" s="13"/>
      <c r="J17" s="13"/>
      <c r="K17" s="13"/>
      <c r="L17" s="13"/>
      <c r="M17" s="13"/>
      <c r="N17" s="13"/>
    </row>
    <row r="18" spans="1:14" ht="10.95" customHeight="1">
      <c r="A18" s="1"/>
      <c r="B18" s="1"/>
      <c r="C18" s="32"/>
      <c r="D18" s="1"/>
      <c r="E18" s="3"/>
      <c r="F18" s="13"/>
      <c r="G18" s="5"/>
      <c r="I18" s="13"/>
      <c r="J18" s="13"/>
      <c r="K18" s="13"/>
      <c r="L18" s="13"/>
      <c r="M18" s="13"/>
      <c r="N18" s="13"/>
    </row>
    <row r="19" spans="1:14" ht="13.2" customHeight="1">
      <c r="A19" s="1">
        <v>2</v>
      </c>
      <c r="B19" s="1"/>
      <c r="C19" s="33" t="s">
        <v>33</v>
      </c>
      <c r="D19" s="1" t="s">
        <v>1</v>
      </c>
      <c r="E19" s="3">
        <f>SUM(I19:N19)</f>
        <v>0</v>
      </c>
      <c r="F19" s="13">
        <v>1850</v>
      </c>
      <c r="G19" s="5">
        <f t="shared" ref="G19" si="1">+E19*F19</f>
        <v>0</v>
      </c>
      <c r="I19" s="138">
        <f t="shared" ref="I19:N19" si="2">I14*10</f>
        <v>0</v>
      </c>
      <c r="J19" s="138">
        <f t="shared" si="2"/>
        <v>0</v>
      </c>
      <c r="K19" s="138">
        <f t="shared" si="2"/>
        <v>0</v>
      </c>
      <c r="L19" s="138">
        <f t="shared" si="2"/>
        <v>0</v>
      </c>
      <c r="M19" s="138">
        <f t="shared" si="2"/>
        <v>0</v>
      </c>
      <c r="N19" s="138">
        <f t="shared" si="2"/>
        <v>0</v>
      </c>
    </row>
    <row r="20" spans="1:14" ht="13.2" customHeight="1">
      <c r="A20" s="1"/>
      <c r="B20" s="1"/>
      <c r="C20" s="32"/>
      <c r="D20" s="1"/>
      <c r="E20" s="3"/>
      <c r="F20" s="13"/>
      <c r="G20" s="5"/>
      <c r="I20" s="138"/>
      <c r="J20" s="138"/>
      <c r="K20" s="138"/>
      <c r="L20" s="138"/>
      <c r="M20" s="138"/>
      <c r="N20" s="138"/>
    </row>
    <row r="21" spans="1:14" ht="13.2" customHeight="1">
      <c r="A21" s="1">
        <v>3</v>
      </c>
      <c r="B21" s="1"/>
      <c r="C21" s="33" t="s">
        <v>34</v>
      </c>
      <c r="D21" s="1" t="s">
        <v>1</v>
      </c>
      <c r="E21" s="3">
        <f>SUM(I21:N21)</f>
        <v>0</v>
      </c>
      <c r="F21" s="13">
        <f>F19</f>
        <v>1850</v>
      </c>
      <c r="G21" s="5">
        <f t="shared" ref="G21" si="3">+E21*F21</f>
        <v>0</v>
      </c>
      <c r="I21" s="138">
        <f t="shared" ref="I21:N21" si="4">I14*5</f>
        <v>0</v>
      </c>
      <c r="J21" s="138">
        <f t="shared" si="4"/>
        <v>0</v>
      </c>
      <c r="K21" s="138">
        <f t="shared" si="4"/>
        <v>0</v>
      </c>
      <c r="L21" s="138">
        <f t="shared" si="4"/>
        <v>0</v>
      </c>
      <c r="M21" s="138">
        <f t="shared" si="4"/>
        <v>0</v>
      </c>
      <c r="N21" s="138">
        <f t="shared" si="4"/>
        <v>0</v>
      </c>
    </row>
    <row r="22" spans="1:14" ht="13.2" customHeight="1">
      <c r="A22" s="1"/>
      <c r="B22" s="1"/>
      <c r="C22" s="32"/>
      <c r="D22" s="1"/>
      <c r="E22" s="3"/>
      <c r="F22" s="13"/>
      <c r="G22" s="5"/>
      <c r="I22" s="138"/>
      <c r="J22" s="138"/>
      <c r="K22" s="138"/>
      <c r="L22" s="138"/>
      <c r="M22" s="138"/>
      <c r="N22" s="138"/>
    </row>
    <row r="23" spans="1:14" ht="13.2" customHeight="1">
      <c r="A23" s="1"/>
      <c r="B23" s="1"/>
      <c r="C23" s="32" t="s">
        <v>76</v>
      </c>
      <c r="D23" s="1"/>
      <c r="E23" s="3"/>
      <c r="F23" s="13"/>
      <c r="G23" s="5"/>
      <c r="I23" s="138"/>
      <c r="J23" s="138"/>
      <c r="K23" s="138"/>
      <c r="L23" s="138"/>
      <c r="M23" s="138"/>
      <c r="N23" s="138"/>
    </row>
    <row r="24" spans="1:14" ht="13.2" customHeight="1">
      <c r="A24" s="1"/>
      <c r="B24" s="1"/>
      <c r="C24" s="32"/>
      <c r="D24" s="1"/>
      <c r="E24" s="3"/>
      <c r="F24" s="13"/>
      <c r="G24" s="5"/>
      <c r="I24" s="138"/>
      <c r="J24" s="138"/>
      <c r="K24" s="138"/>
      <c r="L24" s="138"/>
      <c r="M24" s="138"/>
      <c r="N24" s="138"/>
    </row>
    <row r="25" spans="1:14" ht="13.2" customHeight="1">
      <c r="A25" s="1">
        <v>4</v>
      </c>
      <c r="B25" s="1"/>
      <c r="C25" s="47" t="s">
        <v>77</v>
      </c>
      <c r="D25" s="1" t="s">
        <v>6</v>
      </c>
      <c r="E25" s="3">
        <f>SUM(I25:N25)</f>
        <v>0</v>
      </c>
      <c r="F25" s="13">
        <v>1250</v>
      </c>
      <c r="G25" s="5">
        <f t="shared" ref="G25" si="5">+E25*F25</f>
        <v>0</v>
      </c>
      <c r="I25" s="138">
        <f t="shared" ref="I25:N25" si="6">I14</f>
        <v>0</v>
      </c>
      <c r="J25" s="138">
        <f t="shared" si="6"/>
        <v>0</v>
      </c>
      <c r="K25" s="138">
        <f t="shared" si="6"/>
        <v>0</v>
      </c>
      <c r="L25" s="138">
        <f t="shared" si="6"/>
        <v>0</v>
      </c>
      <c r="M25" s="138">
        <f t="shared" si="6"/>
        <v>0</v>
      </c>
      <c r="N25" s="138">
        <f t="shared" si="6"/>
        <v>0</v>
      </c>
    </row>
    <row r="26" spans="1:14" ht="13.2" customHeight="1">
      <c r="A26" s="1"/>
      <c r="B26" s="1"/>
      <c r="C26" s="32"/>
      <c r="D26" s="1"/>
      <c r="E26" s="3"/>
      <c r="F26" s="13"/>
      <c r="G26" s="5"/>
      <c r="I26" s="138"/>
      <c r="J26" s="138"/>
      <c r="K26" s="138"/>
      <c r="L26" s="138"/>
      <c r="M26" s="138"/>
      <c r="N26" s="138"/>
    </row>
    <row r="27" spans="1:14" ht="12.6" customHeight="1">
      <c r="A27" s="1"/>
      <c r="B27" s="1"/>
      <c r="C27" s="32" t="s">
        <v>71</v>
      </c>
      <c r="D27" s="1"/>
      <c r="E27" s="3"/>
      <c r="F27" s="13"/>
      <c r="G27" s="5"/>
      <c r="I27" s="138"/>
      <c r="J27" s="138"/>
      <c r="K27" s="138"/>
      <c r="L27" s="138"/>
      <c r="M27" s="138"/>
      <c r="N27" s="138"/>
    </row>
    <row r="28" spans="1:14" ht="12.6" customHeight="1">
      <c r="A28" s="1"/>
      <c r="B28" s="1"/>
      <c r="C28" s="33"/>
      <c r="D28" s="1"/>
      <c r="E28" s="3"/>
      <c r="F28" s="13"/>
      <c r="G28" s="5"/>
      <c r="I28" s="138"/>
      <c r="J28" s="138"/>
      <c r="K28" s="138"/>
      <c r="L28" s="138"/>
      <c r="M28" s="138"/>
      <c r="N28" s="138"/>
    </row>
    <row r="29" spans="1:14" ht="12.6" customHeight="1">
      <c r="A29" s="1">
        <v>5</v>
      </c>
      <c r="B29" s="1"/>
      <c r="C29" s="33" t="s">
        <v>223</v>
      </c>
      <c r="D29" s="1" t="s">
        <v>2</v>
      </c>
      <c r="E29" s="3">
        <f>SUM(I29:N29)</f>
        <v>0</v>
      </c>
      <c r="F29" s="13">
        <v>29500</v>
      </c>
      <c r="G29" s="5">
        <f t="shared" ref="G29" si="7">+E29*F29</f>
        <v>0</v>
      </c>
      <c r="I29" s="139">
        <f t="shared" ref="I29:N29" si="8">(I19+I21)*0.00325</f>
        <v>0</v>
      </c>
      <c r="J29" s="139">
        <f t="shared" si="8"/>
        <v>0</v>
      </c>
      <c r="K29" s="139">
        <f t="shared" si="8"/>
        <v>0</v>
      </c>
      <c r="L29" s="139">
        <f t="shared" si="8"/>
        <v>0</v>
      </c>
      <c r="M29" s="139">
        <f t="shared" si="8"/>
        <v>0</v>
      </c>
      <c r="N29" s="139">
        <f t="shared" si="8"/>
        <v>0</v>
      </c>
    </row>
    <row r="30" spans="1:14" ht="12.6" customHeight="1">
      <c r="A30" s="1"/>
      <c r="B30" s="1"/>
      <c r="C30" s="33"/>
      <c r="D30" s="1"/>
      <c r="E30" s="3"/>
      <c r="F30" s="13"/>
      <c r="G30" s="5"/>
      <c r="I30" s="138"/>
      <c r="J30" s="138"/>
      <c r="K30" s="138"/>
      <c r="L30" s="138"/>
      <c r="M30" s="138"/>
      <c r="N30" s="138"/>
    </row>
    <row r="31" spans="1:14" ht="12.6" customHeight="1">
      <c r="A31" s="1">
        <v>6</v>
      </c>
      <c r="B31" s="1"/>
      <c r="C31" s="33" t="s">
        <v>222</v>
      </c>
      <c r="D31" s="1" t="s">
        <v>2</v>
      </c>
      <c r="E31" s="3">
        <f>SUM(I31:AG31)</f>
        <v>0</v>
      </c>
      <c r="F31" s="13">
        <v>28000</v>
      </c>
      <c r="G31" s="5">
        <f t="shared" ref="G31" si="9">+E31*F31</f>
        <v>0</v>
      </c>
      <c r="I31" s="139">
        <f t="shared" ref="I31:N31" si="10">(I19+I21)*0.0215</f>
        <v>0</v>
      </c>
      <c r="J31" s="139">
        <f t="shared" si="10"/>
        <v>0</v>
      </c>
      <c r="K31" s="139">
        <f t="shared" si="10"/>
        <v>0</v>
      </c>
      <c r="L31" s="139">
        <f t="shared" si="10"/>
        <v>0</v>
      </c>
      <c r="M31" s="139">
        <f t="shared" si="10"/>
        <v>0</v>
      </c>
      <c r="N31" s="139">
        <f t="shared" si="10"/>
        <v>0</v>
      </c>
    </row>
    <row r="32" spans="1:14" ht="12.6" customHeight="1">
      <c r="A32" s="1"/>
      <c r="B32" s="1"/>
      <c r="C32" s="33"/>
      <c r="D32" s="1"/>
      <c r="E32" s="3"/>
      <c r="F32" s="13"/>
      <c r="G32" s="5"/>
      <c r="I32" s="138"/>
      <c r="J32" s="138"/>
      <c r="K32" s="138"/>
      <c r="L32" s="138"/>
      <c r="M32" s="138"/>
      <c r="N32" s="138"/>
    </row>
    <row r="33" spans="1:14" ht="12.6" customHeight="1">
      <c r="A33" s="1"/>
      <c r="B33" s="1"/>
      <c r="C33" s="32" t="s">
        <v>56</v>
      </c>
      <c r="D33" s="1"/>
      <c r="E33" s="3"/>
      <c r="F33" s="13"/>
      <c r="G33" s="5"/>
      <c r="I33" s="138"/>
      <c r="J33" s="138"/>
      <c r="K33" s="138"/>
      <c r="L33" s="138"/>
      <c r="M33" s="138"/>
      <c r="N33" s="138"/>
    </row>
    <row r="34" spans="1:14" ht="13.2" customHeight="1">
      <c r="A34" s="1"/>
      <c r="B34" s="1"/>
      <c r="C34" s="33"/>
      <c r="D34" s="1"/>
      <c r="E34" s="3"/>
      <c r="F34" s="13"/>
      <c r="G34" s="5"/>
      <c r="I34" s="138"/>
      <c r="J34" s="138"/>
      <c r="K34" s="138"/>
      <c r="L34" s="138"/>
      <c r="M34" s="138"/>
      <c r="N34" s="138"/>
    </row>
    <row r="35" spans="1:14" ht="13.2" customHeight="1">
      <c r="A35" s="1">
        <v>7</v>
      </c>
      <c r="B35" s="1"/>
      <c r="C35" s="33" t="s">
        <v>220</v>
      </c>
      <c r="D35" s="1"/>
      <c r="E35" s="3"/>
      <c r="F35" s="13"/>
      <c r="G35" s="5"/>
      <c r="I35" s="138"/>
      <c r="J35" s="138"/>
      <c r="K35" s="138"/>
      <c r="L35" s="138"/>
      <c r="M35" s="138"/>
      <c r="N35" s="138"/>
    </row>
    <row r="36" spans="1:14" ht="13.2" customHeight="1">
      <c r="A36" s="1"/>
      <c r="B36" s="1"/>
      <c r="C36" s="1"/>
      <c r="D36" s="1"/>
      <c r="E36" s="3"/>
      <c r="F36" s="13"/>
      <c r="G36" s="5"/>
      <c r="I36" s="138"/>
      <c r="J36" s="138"/>
      <c r="K36" s="138"/>
      <c r="L36" s="138"/>
      <c r="M36" s="138"/>
      <c r="N36" s="138"/>
    </row>
    <row r="37" spans="1:14" ht="13.2" customHeight="1">
      <c r="A37" s="1"/>
      <c r="B37" s="1"/>
      <c r="C37" s="33" t="s">
        <v>38</v>
      </c>
      <c r="D37" s="1" t="s">
        <v>51</v>
      </c>
      <c r="E37" s="3">
        <f>SUM(I37:N37)</f>
        <v>0</v>
      </c>
      <c r="F37" s="13">
        <v>3500</v>
      </c>
      <c r="G37" s="5">
        <f t="shared" ref="G37" si="11">+E37*F37</f>
        <v>0</v>
      </c>
      <c r="I37" s="139">
        <f t="shared" ref="I37:N37" si="12">((I19+I21)*0.292)+(I14*0.75)</f>
        <v>0</v>
      </c>
      <c r="J37" s="139">
        <f t="shared" si="12"/>
        <v>0</v>
      </c>
      <c r="K37" s="139">
        <f t="shared" si="12"/>
        <v>0</v>
      </c>
      <c r="L37" s="139">
        <f t="shared" si="12"/>
        <v>0</v>
      </c>
      <c r="M37" s="139">
        <f t="shared" si="12"/>
        <v>0</v>
      </c>
      <c r="N37" s="139">
        <f t="shared" si="12"/>
        <v>0</v>
      </c>
    </row>
    <row r="38" spans="1:14" ht="13.2" customHeight="1">
      <c r="A38" s="1"/>
      <c r="B38" s="1"/>
      <c r="C38" s="33"/>
      <c r="D38" s="1"/>
      <c r="E38" s="3"/>
      <c r="F38" s="13"/>
      <c r="G38" s="5"/>
      <c r="I38" s="138"/>
      <c r="J38" s="138"/>
      <c r="K38" s="138"/>
      <c r="L38" s="138"/>
      <c r="M38" s="138"/>
      <c r="N38" s="138"/>
    </row>
    <row r="39" spans="1:14" ht="13.2" customHeight="1">
      <c r="A39" s="1"/>
      <c r="B39" s="1" t="s">
        <v>23</v>
      </c>
      <c r="C39" s="32" t="s">
        <v>35</v>
      </c>
      <c r="D39" s="1"/>
      <c r="E39" s="3"/>
      <c r="F39" s="13"/>
      <c r="G39" s="5"/>
      <c r="I39" s="138"/>
      <c r="J39" s="138"/>
      <c r="K39" s="138"/>
      <c r="L39" s="138"/>
      <c r="M39" s="138"/>
      <c r="N39" s="138"/>
    </row>
    <row r="40" spans="1:14" ht="13.2" customHeight="1">
      <c r="A40" s="1"/>
      <c r="B40" s="1"/>
      <c r="C40" s="32"/>
      <c r="D40" s="1"/>
      <c r="E40" s="3"/>
      <c r="F40" s="13"/>
      <c r="G40" s="5"/>
      <c r="I40" s="138"/>
      <c r="J40" s="138"/>
      <c r="K40" s="138"/>
      <c r="L40" s="138"/>
      <c r="M40" s="138"/>
      <c r="N40" s="138"/>
    </row>
    <row r="41" spans="1:14" ht="13.2" customHeight="1">
      <c r="A41" s="1">
        <v>8</v>
      </c>
      <c r="B41" s="1"/>
      <c r="C41" s="33" t="s">
        <v>259</v>
      </c>
      <c r="D41" s="1" t="s">
        <v>6</v>
      </c>
      <c r="E41" s="3">
        <f>SUM(I41:N41)</f>
        <v>0</v>
      </c>
      <c r="F41" s="13">
        <v>875</v>
      </c>
      <c r="G41" s="5">
        <f t="shared" ref="G41" si="13">+E41*F41</f>
        <v>0</v>
      </c>
      <c r="I41" s="138">
        <f t="shared" ref="I41:N41" si="14">I14</f>
        <v>0</v>
      </c>
      <c r="J41" s="138">
        <f t="shared" si="14"/>
        <v>0</v>
      </c>
      <c r="K41" s="138">
        <f t="shared" si="14"/>
        <v>0</v>
      </c>
      <c r="L41" s="138">
        <f t="shared" si="14"/>
        <v>0</v>
      </c>
      <c r="M41" s="138">
        <f t="shared" si="14"/>
        <v>0</v>
      </c>
      <c r="N41" s="138">
        <f t="shared" si="14"/>
        <v>0</v>
      </c>
    </row>
    <row r="42" spans="1:14" ht="13.2" customHeight="1">
      <c r="A42" s="1"/>
      <c r="B42" s="2"/>
      <c r="C42" s="11"/>
      <c r="D42" s="1"/>
      <c r="E42" s="1"/>
      <c r="F42" s="13"/>
      <c r="G42" s="5"/>
      <c r="I42" s="1"/>
      <c r="J42" s="1"/>
      <c r="K42" s="1"/>
      <c r="L42" s="103"/>
      <c r="M42" s="108"/>
      <c r="N42" s="9"/>
    </row>
    <row r="43" spans="1:14" ht="24">
      <c r="A43" s="1"/>
      <c r="B43" s="2" t="s">
        <v>100</v>
      </c>
      <c r="C43" s="31" t="s">
        <v>79</v>
      </c>
      <c r="D43" s="1"/>
      <c r="E43" s="3"/>
      <c r="F43" s="14"/>
      <c r="G43" s="5"/>
      <c r="I43" s="3"/>
      <c r="J43" s="3"/>
      <c r="K43" s="3"/>
      <c r="L43" s="103"/>
      <c r="M43" s="108"/>
      <c r="N43" s="9"/>
    </row>
    <row r="44" spans="1:14" ht="13.95" customHeight="1">
      <c r="A44" s="1"/>
      <c r="B44" s="2"/>
      <c r="C44" s="8" t="s">
        <v>81</v>
      </c>
      <c r="D44" s="1"/>
      <c r="E44" s="3"/>
      <c r="F44" s="14"/>
      <c r="G44" s="5"/>
      <c r="I44" s="3"/>
      <c r="J44" s="3"/>
      <c r="K44" s="3"/>
      <c r="L44" s="103"/>
      <c r="M44" s="108"/>
      <c r="N44" s="9"/>
    </row>
    <row r="45" spans="1:14" ht="50.4" customHeight="1">
      <c r="A45" s="16">
        <v>9</v>
      </c>
      <c r="B45" s="33" t="s">
        <v>162</v>
      </c>
      <c r="C45" s="33" t="s">
        <v>163</v>
      </c>
      <c r="D45" s="9" t="s">
        <v>60</v>
      </c>
      <c r="E45" s="3">
        <f>SUM(I45:N45)</f>
        <v>653</v>
      </c>
      <c r="F45" s="13">
        <v>225</v>
      </c>
      <c r="G45" s="5">
        <f t="shared" ref="G45" si="15">+E45*F45</f>
        <v>146925</v>
      </c>
      <c r="I45" s="9">
        <v>653</v>
      </c>
      <c r="J45" s="9"/>
      <c r="K45" s="9"/>
      <c r="L45" s="103"/>
      <c r="M45" s="108"/>
      <c r="N45" s="9"/>
    </row>
    <row r="46" spans="1:14">
      <c r="A46" s="16"/>
      <c r="B46" s="33"/>
      <c r="D46" s="9"/>
      <c r="E46" s="3"/>
      <c r="F46" s="13"/>
      <c r="G46" s="5"/>
      <c r="I46" s="9"/>
      <c r="J46" s="9"/>
      <c r="K46" s="9"/>
      <c r="L46" s="103"/>
      <c r="M46" s="108"/>
      <c r="N46" s="9"/>
    </row>
    <row r="47" spans="1:14" ht="13.95" customHeight="1">
      <c r="A47" s="1"/>
      <c r="B47" s="2"/>
      <c r="C47" s="8"/>
      <c r="D47" s="9"/>
      <c r="E47" s="3"/>
      <c r="F47" s="4"/>
      <c r="G47" s="5"/>
      <c r="I47" s="9"/>
      <c r="J47" s="9"/>
      <c r="K47" s="9"/>
      <c r="L47" s="103"/>
      <c r="M47" s="108"/>
      <c r="N47" s="9"/>
    </row>
    <row r="48" spans="1:14" ht="20.100000000000001" customHeight="1">
      <c r="A48" s="149" t="s">
        <v>66</v>
      </c>
      <c r="B48" s="150"/>
      <c r="C48" s="150"/>
      <c r="D48" s="150"/>
      <c r="E48" s="150"/>
      <c r="F48" s="151"/>
      <c r="G48" s="116">
        <f>SUM(G8:G47)</f>
        <v>146925</v>
      </c>
      <c r="I48" s="9"/>
      <c r="J48" s="9"/>
      <c r="K48" s="9"/>
      <c r="L48" s="103"/>
      <c r="M48" s="108"/>
      <c r="N48" s="9"/>
    </row>
    <row r="49" spans="1:14">
      <c r="A49" s="39"/>
      <c r="B49" s="39"/>
      <c r="C49" s="39"/>
      <c r="D49" s="39"/>
      <c r="E49" s="39"/>
      <c r="F49" s="39"/>
      <c r="G49" s="113"/>
      <c r="I49" s="9"/>
      <c r="J49" s="9"/>
      <c r="K49" s="9"/>
      <c r="L49" s="103"/>
      <c r="M49" s="108"/>
      <c r="N49" s="9"/>
    </row>
    <row r="50" spans="1:14" ht="13.95" customHeight="1">
      <c r="A50" s="39"/>
      <c r="B50" s="39"/>
      <c r="C50" s="39"/>
      <c r="D50" s="39"/>
      <c r="E50" s="39"/>
      <c r="F50" s="39"/>
      <c r="G50" s="113"/>
      <c r="I50" s="9"/>
      <c r="J50" s="9"/>
      <c r="K50" s="9"/>
      <c r="L50" s="103"/>
      <c r="M50" s="108"/>
      <c r="N50" s="9"/>
    </row>
    <row r="51" spans="1:14" ht="24" customHeight="1">
      <c r="A51" s="44" t="s">
        <v>8</v>
      </c>
      <c r="B51" s="48" t="s">
        <v>9</v>
      </c>
      <c r="C51" s="44" t="s">
        <v>10</v>
      </c>
      <c r="D51" s="48" t="s">
        <v>11</v>
      </c>
      <c r="E51" s="48" t="s">
        <v>59</v>
      </c>
      <c r="F51" s="49" t="s">
        <v>12</v>
      </c>
      <c r="G51" s="111" t="s">
        <v>13</v>
      </c>
      <c r="I51" s="9"/>
      <c r="J51" s="9"/>
      <c r="K51" s="9"/>
      <c r="L51" s="103"/>
      <c r="M51" s="108"/>
      <c r="N51" s="9"/>
    </row>
    <row r="52" spans="1:14" ht="20.100000000000001" customHeight="1">
      <c r="A52" s="149" t="s">
        <v>67</v>
      </c>
      <c r="B52" s="150"/>
      <c r="C52" s="150"/>
      <c r="D52" s="150"/>
      <c r="E52" s="150"/>
      <c r="F52" s="151"/>
      <c r="G52" s="116">
        <f>+G48</f>
        <v>146925</v>
      </c>
      <c r="I52" s="9"/>
      <c r="J52" s="9"/>
      <c r="K52" s="9"/>
      <c r="L52" s="103"/>
      <c r="M52" s="108"/>
      <c r="N52" s="9"/>
    </row>
    <row r="53" spans="1:14" ht="9" customHeight="1">
      <c r="A53" s="1"/>
      <c r="B53" s="2"/>
      <c r="C53" s="8"/>
      <c r="D53" s="9"/>
      <c r="E53" s="3"/>
      <c r="F53" s="4"/>
      <c r="G53" s="5"/>
      <c r="I53" s="3"/>
      <c r="J53" s="3"/>
      <c r="K53" s="3"/>
      <c r="L53" s="103"/>
      <c r="M53" s="108"/>
      <c r="N53" s="9"/>
    </row>
    <row r="54" spans="1:14" ht="13.95" customHeight="1">
      <c r="A54" s="1"/>
      <c r="B54" s="2" t="s">
        <v>173</v>
      </c>
      <c r="C54" s="31" t="s">
        <v>79</v>
      </c>
      <c r="D54" s="1"/>
      <c r="E54" s="3"/>
      <c r="F54" s="4"/>
      <c r="G54" s="5"/>
      <c r="I54" s="3"/>
      <c r="J54" s="3"/>
      <c r="K54" s="3"/>
      <c r="L54" s="103"/>
      <c r="M54" s="108"/>
      <c r="N54" s="9"/>
    </row>
    <row r="55" spans="1:14" ht="13.95" customHeight="1">
      <c r="A55" s="1"/>
      <c r="B55" s="2"/>
      <c r="C55" s="8" t="s">
        <v>81</v>
      </c>
      <c r="D55" s="1"/>
      <c r="E55" s="3"/>
      <c r="F55" s="4"/>
      <c r="G55" s="5"/>
      <c r="I55" s="3"/>
      <c r="J55" s="3"/>
      <c r="K55" s="3"/>
      <c r="L55" s="103"/>
      <c r="M55" s="108"/>
      <c r="N55" s="9"/>
    </row>
    <row r="56" spans="1:14" ht="13.95" customHeight="1">
      <c r="A56" s="1"/>
      <c r="B56" s="1" t="s">
        <v>87</v>
      </c>
      <c r="C56" s="37" t="s">
        <v>0</v>
      </c>
      <c r="D56" s="1"/>
      <c r="E56" s="3"/>
      <c r="F56" s="4"/>
      <c r="G56" s="5"/>
      <c r="I56" s="3"/>
      <c r="J56" s="3"/>
      <c r="K56" s="3"/>
      <c r="L56" s="103"/>
      <c r="M56" s="108"/>
      <c r="N56" s="9"/>
    </row>
    <row r="57" spans="1:14" ht="13.95" customHeight="1">
      <c r="A57" s="1"/>
      <c r="B57" s="1"/>
      <c r="C57" s="33"/>
      <c r="D57" s="1"/>
      <c r="E57" s="3"/>
      <c r="F57" s="4"/>
      <c r="G57" s="5"/>
      <c r="I57" s="3"/>
      <c r="J57" s="3"/>
      <c r="K57" s="3"/>
      <c r="L57" s="103"/>
      <c r="M57" s="108"/>
      <c r="N57" s="9"/>
    </row>
    <row r="58" spans="1:14" ht="22.95" customHeight="1">
      <c r="A58" s="1"/>
      <c r="B58" s="1"/>
      <c r="C58" s="33" t="s">
        <v>61</v>
      </c>
      <c r="D58" s="1"/>
      <c r="E58" s="3"/>
      <c r="F58" s="4"/>
      <c r="G58" s="5"/>
      <c r="I58" s="3"/>
      <c r="J58" s="3"/>
      <c r="K58" s="3"/>
      <c r="L58" s="103"/>
      <c r="M58" s="108"/>
      <c r="N58" s="9"/>
    </row>
    <row r="59" spans="1:14" ht="13.95" customHeight="1">
      <c r="A59" s="1"/>
      <c r="B59" s="1"/>
      <c r="C59" s="6"/>
      <c r="D59" s="1"/>
      <c r="E59" s="3"/>
      <c r="F59" s="4"/>
      <c r="G59" s="5"/>
      <c r="I59" s="3"/>
      <c r="J59" s="3"/>
      <c r="K59" s="3"/>
      <c r="L59" s="103"/>
      <c r="M59" s="108"/>
      <c r="N59" s="9"/>
    </row>
    <row r="60" spans="1:14" ht="13.95" customHeight="1">
      <c r="A60" s="1">
        <v>10</v>
      </c>
      <c r="B60" s="1"/>
      <c r="C60" s="33" t="s">
        <v>14</v>
      </c>
      <c r="D60" s="1" t="s">
        <v>51</v>
      </c>
      <c r="E60" s="3">
        <f>SUM(I60:N60)</f>
        <v>150.4</v>
      </c>
      <c r="F60" s="13">
        <v>175</v>
      </c>
      <c r="G60" s="5">
        <f t="shared" ref="G60" si="16">+E60*F60</f>
        <v>26320</v>
      </c>
      <c r="I60" s="3"/>
      <c r="J60" s="3">
        <v>88</v>
      </c>
      <c r="K60" s="3"/>
      <c r="L60" s="103">
        <v>62.4</v>
      </c>
      <c r="M60" s="108"/>
      <c r="N60" s="9"/>
    </row>
    <row r="61" spans="1:14" ht="9.75" customHeight="1">
      <c r="A61" s="1"/>
      <c r="B61" s="1"/>
      <c r="C61" s="33"/>
      <c r="D61" s="1"/>
      <c r="E61" s="3"/>
      <c r="F61" s="13"/>
      <c r="G61" s="5"/>
      <c r="I61" s="3"/>
      <c r="J61" s="3"/>
      <c r="K61" s="3"/>
      <c r="L61" s="103"/>
      <c r="M61" s="108"/>
      <c r="N61" s="9"/>
    </row>
    <row r="62" spans="1:14" ht="13.95" customHeight="1">
      <c r="A62" s="1"/>
      <c r="B62" s="1"/>
      <c r="C62" s="37" t="s">
        <v>111</v>
      </c>
      <c r="D62" s="1"/>
      <c r="E62" s="3"/>
      <c r="F62" s="13"/>
      <c r="G62" s="5"/>
      <c r="I62" s="3"/>
      <c r="J62" s="3"/>
      <c r="K62" s="3"/>
      <c r="L62" s="103"/>
      <c r="M62" s="108"/>
      <c r="N62" s="9"/>
    </row>
    <row r="63" spans="1:14" ht="9" customHeight="1">
      <c r="A63" s="1"/>
      <c r="B63" s="1"/>
      <c r="C63" s="33"/>
      <c r="D63" s="1"/>
      <c r="E63" s="3"/>
      <c r="F63" s="13"/>
      <c r="G63" s="5"/>
      <c r="I63" s="3"/>
      <c r="J63" s="3"/>
      <c r="K63" s="3"/>
      <c r="L63" s="103"/>
      <c r="M63" s="108"/>
      <c r="N63" s="9"/>
    </row>
    <row r="64" spans="1:14" ht="28.95" customHeight="1">
      <c r="A64" s="1">
        <v>11</v>
      </c>
      <c r="B64" s="1"/>
      <c r="C64" s="33" t="s">
        <v>54</v>
      </c>
      <c r="D64" s="1" t="s">
        <v>51</v>
      </c>
      <c r="E64" s="3">
        <f>SUM(I64:N64)</f>
        <v>0</v>
      </c>
      <c r="F64" s="13">
        <v>950</v>
      </c>
      <c r="G64" s="5">
        <f t="shared" ref="G64" si="17">+E64*F64</f>
        <v>0</v>
      </c>
      <c r="I64" s="3"/>
      <c r="J64" s="3"/>
      <c r="K64" s="3"/>
      <c r="L64" s="103"/>
      <c r="M64" s="108"/>
      <c r="N64" s="9"/>
    </row>
    <row r="65" spans="1:14" ht="13.95" customHeight="1">
      <c r="A65" s="1"/>
      <c r="B65" s="1"/>
      <c r="C65" s="33"/>
      <c r="D65" s="1"/>
      <c r="E65" s="3"/>
      <c r="F65" s="13"/>
      <c r="G65" s="5"/>
      <c r="I65" s="3"/>
      <c r="J65" s="3"/>
      <c r="K65" s="3"/>
      <c r="L65" s="103"/>
      <c r="M65" s="108"/>
      <c r="N65" s="9"/>
    </row>
    <row r="66" spans="1:14" ht="22.2" customHeight="1">
      <c r="A66" s="1"/>
      <c r="B66" s="1"/>
      <c r="C66" s="33" t="s">
        <v>57</v>
      </c>
      <c r="D66" s="1"/>
      <c r="E66" s="3"/>
      <c r="F66" s="13"/>
      <c r="G66" s="5"/>
      <c r="I66" s="3"/>
      <c r="J66" s="3"/>
      <c r="K66" s="3"/>
      <c r="L66" s="103"/>
      <c r="M66" s="108"/>
      <c r="N66" s="9"/>
    </row>
    <row r="67" spans="1:14" ht="13.95" customHeight="1">
      <c r="A67" s="1"/>
      <c r="B67" s="2"/>
      <c r="C67" s="8"/>
      <c r="D67" s="9"/>
      <c r="E67" s="3"/>
      <c r="F67" s="13"/>
      <c r="G67" s="5"/>
      <c r="I67" s="3"/>
      <c r="J67" s="3"/>
      <c r="K67" s="3"/>
      <c r="L67" s="103"/>
      <c r="M67" s="108"/>
      <c r="N67" s="9"/>
    </row>
    <row r="68" spans="1:14" ht="13.95" customHeight="1">
      <c r="A68" s="1"/>
      <c r="B68" s="1" t="s">
        <v>83</v>
      </c>
      <c r="C68" s="10" t="s">
        <v>25</v>
      </c>
      <c r="D68" s="9"/>
      <c r="E68" s="3"/>
      <c r="F68" s="13"/>
      <c r="G68" s="5"/>
      <c r="I68" s="3"/>
      <c r="J68" s="3"/>
      <c r="K68" s="3"/>
      <c r="L68" s="103"/>
      <c r="M68" s="108"/>
      <c r="N68" s="9"/>
    </row>
    <row r="69" spans="1:14" ht="13.95" customHeight="1">
      <c r="A69" s="1"/>
      <c r="B69" s="2"/>
      <c r="C69" s="8"/>
      <c r="D69" s="9"/>
      <c r="E69" s="3"/>
      <c r="F69" s="13"/>
      <c r="G69" s="5"/>
      <c r="I69" s="3"/>
      <c r="J69" s="3"/>
      <c r="K69" s="3"/>
      <c r="L69" s="103"/>
      <c r="M69" s="108"/>
      <c r="N69" s="9"/>
    </row>
    <row r="70" spans="1:14" ht="23.4" customHeight="1">
      <c r="A70" s="1"/>
      <c r="B70" s="2"/>
      <c r="C70" s="8" t="s">
        <v>109</v>
      </c>
      <c r="D70" s="9"/>
      <c r="E70" s="3"/>
      <c r="F70" s="13"/>
      <c r="G70" s="5"/>
      <c r="I70" s="3"/>
      <c r="J70" s="3"/>
      <c r="K70" s="3"/>
      <c r="L70" s="103"/>
      <c r="M70" s="108"/>
      <c r="N70" s="9"/>
    </row>
    <row r="71" spans="1:14" ht="13.95" customHeight="1">
      <c r="A71" s="1"/>
      <c r="B71" s="2"/>
      <c r="C71" s="8"/>
      <c r="D71" s="9"/>
      <c r="E71" s="3"/>
      <c r="F71" s="13"/>
      <c r="G71" s="5"/>
      <c r="I71" s="3"/>
      <c r="J71" s="3"/>
      <c r="K71" s="3"/>
      <c r="L71" s="103"/>
      <c r="M71" s="108"/>
      <c r="N71" s="9"/>
    </row>
    <row r="72" spans="1:14" ht="33.6" customHeight="1">
      <c r="A72" s="1">
        <v>12</v>
      </c>
      <c r="B72" s="2"/>
      <c r="C72" s="8" t="s">
        <v>108</v>
      </c>
      <c r="D72" s="9" t="s">
        <v>51</v>
      </c>
      <c r="E72" s="3">
        <f>SUM(I72:N72)</f>
        <v>86.1</v>
      </c>
      <c r="F72" s="13">
        <v>725</v>
      </c>
      <c r="G72" s="5">
        <f t="shared" ref="G72" si="18">+E72*F72</f>
        <v>62422.499999999993</v>
      </c>
      <c r="I72" s="3"/>
      <c r="J72" s="3">
        <v>49</v>
      </c>
      <c r="K72" s="3"/>
      <c r="L72" s="103">
        <v>37.1</v>
      </c>
      <c r="M72" s="108"/>
      <c r="N72" s="9"/>
    </row>
    <row r="73" spans="1:14" ht="13.95" customHeight="1">
      <c r="A73" s="1"/>
      <c r="B73" s="2"/>
      <c r="C73" s="8"/>
      <c r="D73" s="9"/>
      <c r="E73" s="3"/>
      <c r="F73" s="13"/>
      <c r="G73" s="5"/>
      <c r="I73" s="3"/>
      <c r="J73" s="3"/>
      <c r="K73" s="3"/>
      <c r="L73" s="103"/>
      <c r="M73" s="108"/>
      <c r="N73" s="9"/>
    </row>
    <row r="74" spans="1:14" ht="21.6" customHeight="1">
      <c r="A74" s="1"/>
      <c r="B74" s="2" t="s">
        <v>101</v>
      </c>
      <c r="C74" s="34" t="s">
        <v>155</v>
      </c>
      <c r="D74" s="1"/>
      <c r="E74" s="3"/>
      <c r="F74" s="13"/>
      <c r="G74" s="5"/>
      <c r="I74" s="3"/>
      <c r="J74" s="3"/>
      <c r="K74" s="3"/>
      <c r="L74" s="103"/>
      <c r="M74" s="108"/>
      <c r="N74" s="9"/>
    </row>
    <row r="75" spans="1:14" ht="13.95" customHeight="1">
      <c r="A75" s="1"/>
      <c r="B75" s="1"/>
      <c r="C75" s="33"/>
      <c r="D75" s="1"/>
      <c r="E75" s="3"/>
      <c r="F75" s="13"/>
      <c r="G75" s="5"/>
      <c r="I75" s="3"/>
      <c r="J75" s="3"/>
      <c r="K75" s="3"/>
      <c r="L75" s="103"/>
      <c r="M75" s="108"/>
      <c r="N75" s="9"/>
    </row>
    <row r="76" spans="1:14" ht="13.95" customHeight="1">
      <c r="A76" s="1"/>
      <c r="B76" s="1" t="s">
        <v>88</v>
      </c>
      <c r="C76" s="32" t="s">
        <v>15</v>
      </c>
      <c r="D76" s="1"/>
      <c r="E76" s="3"/>
      <c r="F76" s="13"/>
      <c r="G76" s="5"/>
      <c r="I76" s="3"/>
      <c r="J76" s="3"/>
      <c r="K76" s="3"/>
      <c r="L76" s="103"/>
      <c r="M76" s="108"/>
      <c r="N76" s="9"/>
    </row>
    <row r="77" spans="1:14" ht="13.95" customHeight="1">
      <c r="A77" s="1"/>
      <c r="B77" s="1"/>
      <c r="C77" s="33"/>
      <c r="D77" s="1"/>
      <c r="E77" s="3"/>
      <c r="F77" s="13"/>
      <c r="G77" s="5"/>
      <c r="I77" s="3"/>
      <c r="J77" s="3"/>
      <c r="K77" s="3"/>
      <c r="L77" s="103"/>
      <c r="M77" s="108"/>
      <c r="N77" s="9"/>
    </row>
    <row r="78" spans="1:14" ht="13.95" customHeight="1">
      <c r="A78" s="1"/>
      <c r="B78" s="1" t="s">
        <v>82</v>
      </c>
      <c r="C78" s="34" t="s">
        <v>16</v>
      </c>
      <c r="D78" s="1"/>
      <c r="E78" s="3"/>
      <c r="F78" s="13"/>
      <c r="G78" s="5"/>
      <c r="I78" s="3"/>
      <c r="J78" s="3"/>
      <c r="K78" s="3"/>
      <c r="L78" s="103"/>
      <c r="M78" s="108"/>
      <c r="N78" s="9"/>
    </row>
    <row r="79" spans="1:14" ht="13.95" customHeight="1">
      <c r="A79" s="1"/>
      <c r="B79" s="1"/>
      <c r="C79" s="33"/>
      <c r="D79" s="1"/>
      <c r="E79" s="3"/>
      <c r="F79" s="13"/>
      <c r="G79" s="5"/>
      <c r="I79" s="3"/>
      <c r="J79" s="3"/>
      <c r="K79" s="3"/>
      <c r="L79" s="103"/>
      <c r="M79" s="108"/>
      <c r="N79" s="9"/>
    </row>
    <row r="80" spans="1:14" ht="13.95" customHeight="1">
      <c r="A80" s="1"/>
      <c r="B80" s="1"/>
      <c r="C80" s="37" t="s">
        <v>17</v>
      </c>
      <c r="D80" s="1"/>
      <c r="E80" s="3"/>
      <c r="F80" s="13"/>
      <c r="G80" s="5"/>
      <c r="I80" s="3"/>
      <c r="J80" s="3"/>
      <c r="K80" s="3"/>
      <c r="L80" s="103"/>
      <c r="M80" s="108"/>
      <c r="N80" s="9"/>
    </row>
    <row r="81" spans="1:14" ht="13.95" customHeight="1">
      <c r="A81" s="1"/>
      <c r="B81" s="1"/>
      <c r="C81" s="37"/>
      <c r="D81" s="1"/>
      <c r="E81" s="3"/>
      <c r="F81" s="13"/>
      <c r="G81" s="5"/>
      <c r="I81" s="3"/>
      <c r="J81" s="3"/>
      <c r="K81" s="3"/>
      <c r="L81" s="103"/>
      <c r="M81" s="108"/>
      <c r="N81" s="9"/>
    </row>
    <row r="82" spans="1:14" ht="13.95" customHeight="1">
      <c r="A82" s="1">
        <v>13</v>
      </c>
      <c r="B82" s="1"/>
      <c r="C82" s="33" t="s">
        <v>28</v>
      </c>
      <c r="D82" s="1" t="s">
        <v>60</v>
      </c>
      <c r="E82" s="3">
        <f>SUM(I82:N82)</f>
        <v>84.24</v>
      </c>
      <c r="F82" s="13">
        <v>475</v>
      </c>
      <c r="G82" s="5">
        <f t="shared" ref="G82" si="19">+E82*F82</f>
        <v>40014</v>
      </c>
      <c r="I82" s="3"/>
      <c r="J82" s="3">
        <v>78</v>
      </c>
      <c r="K82" s="3"/>
      <c r="L82" s="103">
        <v>6.24</v>
      </c>
      <c r="M82" s="108"/>
      <c r="N82" s="9"/>
    </row>
    <row r="83" spans="1:14" ht="13.95" customHeight="1">
      <c r="A83" s="1"/>
      <c r="B83" s="1"/>
      <c r="C83" s="33"/>
      <c r="D83" s="1"/>
      <c r="E83" s="3"/>
      <c r="F83" s="13"/>
      <c r="G83" s="5"/>
      <c r="I83" s="3"/>
      <c r="J83" s="3"/>
      <c r="K83" s="3"/>
      <c r="L83" s="103"/>
      <c r="M83" s="108"/>
      <c r="N83" s="9"/>
    </row>
    <row r="84" spans="1:14" ht="19.95" customHeight="1">
      <c r="A84" s="1"/>
      <c r="B84" s="1" t="s">
        <v>86</v>
      </c>
      <c r="C84" s="34" t="s">
        <v>26</v>
      </c>
      <c r="D84" s="1"/>
      <c r="E84" s="3"/>
      <c r="F84" s="13"/>
      <c r="G84" s="5"/>
      <c r="I84" s="3"/>
      <c r="J84" s="3"/>
      <c r="K84" s="3"/>
      <c r="L84" s="103"/>
      <c r="M84" s="108"/>
      <c r="N84" s="9"/>
    </row>
    <row r="85" spans="1:14" ht="13.95" customHeight="1">
      <c r="A85" s="1"/>
      <c r="B85" s="1"/>
      <c r="C85" s="33"/>
      <c r="D85" s="1"/>
      <c r="E85" s="3"/>
      <c r="F85" s="13"/>
      <c r="G85" s="5"/>
      <c r="I85" s="3"/>
      <c r="J85" s="3"/>
      <c r="K85" s="3"/>
      <c r="L85" s="103"/>
      <c r="M85" s="108"/>
      <c r="N85" s="9"/>
    </row>
    <row r="86" spans="1:14" ht="13.95" customHeight="1">
      <c r="A86" s="1"/>
      <c r="B86" s="1"/>
      <c r="C86" s="37" t="s">
        <v>17</v>
      </c>
      <c r="D86" s="1"/>
      <c r="E86" s="3"/>
      <c r="F86" s="13"/>
      <c r="G86" s="5"/>
      <c r="I86" s="3"/>
      <c r="J86" s="3"/>
      <c r="K86" s="3"/>
      <c r="L86" s="103"/>
      <c r="M86" s="108"/>
      <c r="N86" s="9"/>
    </row>
    <row r="87" spans="1:14" ht="13.95" customHeight="1">
      <c r="A87" s="1"/>
      <c r="B87" s="1"/>
      <c r="C87" s="33"/>
      <c r="D87" s="1"/>
      <c r="E87" s="3"/>
      <c r="F87" s="13"/>
      <c r="G87" s="5"/>
      <c r="I87" s="3"/>
      <c r="J87" s="3"/>
      <c r="K87" s="3"/>
      <c r="L87" s="103"/>
      <c r="M87" s="108"/>
      <c r="N87" s="9"/>
    </row>
    <row r="88" spans="1:14" ht="13.95" customHeight="1">
      <c r="A88" s="1">
        <v>14</v>
      </c>
      <c r="B88" s="1"/>
      <c r="C88" s="33" t="s">
        <v>201</v>
      </c>
      <c r="D88" s="1" t="s">
        <v>60</v>
      </c>
      <c r="E88" s="3">
        <f>SUM(I88:N88)</f>
        <v>55</v>
      </c>
      <c r="F88" s="13">
        <v>750</v>
      </c>
      <c r="G88" s="5">
        <f t="shared" ref="G88" si="20">+E88*F88</f>
        <v>41250</v>
      </c>
      <c r="I88" s="3"/>
      <c r="J88" s="3"/>
      <c r="K88" s="3">
        <v>37</v>
      </c>
      <c r="L88" s="103"/>
      <c r="M88" s="108">
        <v>18</v>
      </c>
      <c r="N88" s="9"/>
    </row>
    <row r="89" spans="1:14" ht="13.95" customHeight="1">
      <c r="A89" s="1"/>
      <c r="B89" s="1"/>
      <c r="C89" s="33"/>
      <c r="D89" s="1"/>
      <c r="E89" s="3"/>
      <c r="F89" s="13"/>
      <c r="G89" s="5"/>
      <c r="I89" s="3"/>
      <c r="J89" s="3"/>
      <c r="K89" s="3"/>
      <c r="L89" s="103"/>
      <c r="M89" s="108"/>
      <c r="N89" s="9"/>
    </row>
    <row r="90" spans="1:14" ht="13.95" customHeight="1">
      <c r="A90" s="1">
        <v>15</v>
      </c>
      <c r="B90" s="1"/>
      <c r="C90" s="33" t="s">
        <v>224</v>
      </c>
      <c r="D90" s="1" t="s">
        <v>60</v>
      </c>
      <c r="E90" s="3">
        <f>SUM(I90:N90)</f>
        <v>0</v>
      </c>
      <c r="F90" s="13">
        <v>635</v>
      </c>
      <c r="G90" s="5">
        <f t="shared" ref="G90" si="21">+E90*F90</f>
        <v>0</v>
      </c>
      <c r="I90" s="3"/>
      <c r="J90" s="3"/>
      <c r="K90" s="3"/>
      <c r="L90" s="103"/>
      <c r="M90" s="108"/>
      <c r="N90" s="9"/>
    </row>
    <row r="91" spans="1:14" ht="13.95" customHeight="1">
      <c r="A91" s="1"/>
      <c r="B91" s="1"/>
      <c r="C91" s="33"/>
      <c r="D91" s="1"/>
      <c r="E91" s="3"/>
      <c r="F91" s="13"/>
      <c r="G91" s="5"/>
      <c r="I91" s="3"/>
      <c r="J91" s="3"/>
      <c r="K91" s="3"/>
      <c r="L91" s="103"/>
      <c r="M91" s="108"/>
      <c r="N91" s="9"/>
    </row>
    <row r="92" spans="1:14" ht="13.95" customHeight="1">
      <c r="A92" s="1">
        <v>16</v>
      </c>
      <c r="B92" s="1"/>
      <c r="C92" s="33" t="s">
        <v>39</v>
      </c>
      <c r="D92" s="1" t="s">
        <v>60</v>
      </c>
      <c r="E92" s="3">
        <f>SUM(I92:N92)</f>
        <v>218.8</v>
      </c>
      <c r="F92" s="13">
        <v>850</v>
      </c>
      <c r="G92" s="5">
        <f t="shared" ref="G92" si="22">+E92*F92</f>
        <v>185980</v>
      </c>
      <c r="I92" s="3"/>
      <c r="J92" s="3">
        <v>196</v>
      </c>
      <c r="K92" s="3"/>
      <c r="L92" s="103">
        <v>22.8</v>
      </c>
      <c r="M92" s="108"/>
      <c r="N92" s="9"/>
    </row>
    <row r="93" spans="1:14" ht="13.95" customHeight="1">
      <c r="A93" s="1"/>
      <c r="B93" s="1"/>
      <c r="C93" s="33"/>
      <c r="D93" s="1"/>
      <c r="E93" s="3"/>
      <c r="F93" s="13"/>
      <c r="G93" s="5"/>
      <c r="I93" s="3"/>
      <c r="J93" s="3"/>
      <c r="K93" s="3"/>
      <c r="L93" s="103"/>
      <c r="M93" s="108"/>
      <c r="N93" s="9"/>
    </row>
    <row r="94" spans="1:14" ht="13.95" customHeight="1">
      <c r="A94" s="1">
        <v>17</v>
      </c>
      <c r="B94" s="1"/>
      <c r="C94" s="33" t="s">
        <v>247</v>
      </c>
      <c r="D94" s="1" t="s">
        <v>60</v>
      </c>
      <c r="E94" s="3">
        <f>SUM(I94:N94)</f>
        <v>0</v>
      </c>
      <c r="F94" s="13">
        <v>775</v>
      </c>
      <c r="G94" s="5">
        <f t="shared" ref="G94" si="23">+E94*F94</f>
        <v>0</v>
      </c>
      <c r="I94" s="3"/>
      <c r="J94" s="3"/>
      <c r="K94" s="3"/>
      <c r="L94" s="103"/>
      <c r="M94" s="108"/>
      <c r="N94" s="9"/>
    </row>
    <row r="95" spans="1:14" ht="13.95" customHeight="1">
      <c r="A95" s="1"/>
      <c r="B95" s="1"/>
      <c r="C95" s="33"/>
      <c r="D95" s="1"/>
      <c r="E95" s="3"/>
      <c r="F95" s="4"/>
      <c r="G95" s="5"/>
      <c r="I95" s="3"/>
      <c r="J95" s="3"/>
      <c r="K95" s="3"/>
      <c r="L95" s="103"/>
      <c r="M95" s="108"/>
      <c r="N95" s="9"/>
    </row>
    <row r="96" spans="1:14" ht="20.100000000000001" customHeight="1">
      <c r="A96" s="149" t="s">
        <v>66</v>
      </c>
      <c r="B96" s="150"/>
      <c r="C96" s="150"/>
      <c r="D96" s="150"/>
      <c r="E96" s="150"/>
      <c r="F96" s="151"/>
      <c r="G96" s="116">
        <f>SUM(G52:G95)</f>
        <v>502911.5</v>
      </c>
      <c r="I96" s="9"/>
      <c r="J96" s="9"/>
      <c r="K96" s="9"/>
      <c r="L96" s="103"/>
      <c r="M96" s="108"/>
      <c r="N96" s="9"/>
    </row>
    <row r="97" spans="1:14" ht="13.95" customHeight="1">
      <c r="A97" s="39"/>
      <c r="B97" s="39"/>
      <c r="C97" s="39"/>
      <c r="D97" s="39"/>
      <c r="E97" s="39"/>
      <c r="F97" s="39"/>
      <c r="G97" s="113"/>
      <c r="I97" s="9"/>
      <c r="J97" s="9"/>
      <c r="K97" s="9"/>
      <c r="L97" s="103"/>
      <c r="M97" s="108"/>
      <c r="N97" s="9"/>
    </row>
    <row r="98" spans="1:14" ht="13.95" customHeight="1">
      <c r="A98" s="39"/>
      <c r="B98" s="39"/>
      <c r="C98" s="39"/>
      <c r="D98" s="39"/>
      <c r="E98" s="39"/>
      <c r="F98" s="39"/>
      <c r="G98" s="113"/>
      <c r="I98" s="9"/>
      <c r="J98" s="9"/>
      <c r="K98" s="9"/>
      <c r="L98" s="103"/>
      <c r="M98" s="108"/>
      <c r="N98" s="9"/>
    </row>
    <row r="99" spans="1:14" ht="22.2" customHeight="1">
      <c r="A99" s="44" t="s">
        <v>8</v>
      </c>
      <c r="B99" s="48" t="s">
        <v>9</v>
      </c>
      <c r="C99" s="44" t="s">
        <v>10</v>
      </c>
      <c r="D99" s="48" t="s">
        <v>11</v>
      </c>
      <c r="E99" s="48" t="s">
        <v>59</v>
      </c>
      <c r="F99" s="49" t="s">
        <v>12</v>
      </c>
      <c r="G99" s="111" t="s">
        <v>13</v>
      </c>
      <c r="I99" s="9"/>
      <c r="J99" s="9"/>
      <c r="K99" s="9"/>
      <c r="L99" s="103"/>
      <c r="M99" s="108"/>
      <c r="N99" s="9"/>
    </row>
    <row r="100" spans="1:14" ht="20.100000000000001" customHeight="1">
      <c r="A100" s="149" t="s">
        <v>67</v>
      </c>
      <c r="B100" s="150"/>
      <c r="C100" s="150"/>
      <c r="D100" s="150"/>
      <c r="E100" s="150"/>
      <c r="F100" s="151"/>
      <c r="G100" s="116">
        <f>+G96</f>
        <v>502911.5</v>
      </c>
      <c r="I100" s="9"/>
      <c r="J100" s="9"/>
      <c r="K100" s="9"/>
      <c r="L100" s="103"/>
      <c r="M100" s="108"/>
      <c r="N100" s="9"/>
    </row>
    <row r="101" spans="1:14" ht="13.95" customHeight="1">
      <c r="A101" s="1"/>
      <c r="B101" s="1"/>
      <c r="C101" s="33"/>
      <c r="D101" s="1"/>
      <c r="E101" s="3"/>
      <c r="F101" s="13"/>
      <c r="G101" s="5"/>
      <c r="I101" s="9"/>
      <c r="J101" s="9"/>
      <c r="K101" s="9"/>
      <c r="L101" s="103"/>
      <c r="M101" s="108"/>
      <c r="N101" s="9"/>
    </row>
    <row r="102" spans="1:14" ht="13.95" customHeight="1">
      <c r="A102" s="1"/>
      <c r="B102" s="1"/>
      <c r="C102" s="37" t="s">
        <v>248</v>
      </c>
      <c r="D102" s="1"/>
      <c r="E102" s="3"/>
      <c r="F102" s="13"/>
      <c r="G102" s="5"/>
      <c r="I102" s="3"/>
      <c r="J102" s="3"/>
      <c r="K102" s="3"/>
      <c r="L102" s="103"/>
      <c r="M102" s="108"/>
      <c r="N102" s="9"/>
    </row>
    <row r="103" spans="1:14" ht="13.95" customHeight="1">
      <c r="A103" s="1"/>
      <c r="B103" s="1"/>
      <c r="C103" s="33"/>
      <c r="D103" s="1"/>
      <c r="E103" s="3"/>
      <c r="F103" s="13"/>
      <c r="G103" s="5"/>
      <c r="I103" s="3"/>
      <c r="J103" s="3"/>
      <c r="K103" s="3"/>
      <c r="L103" s="103"/>
      <c r="M103" s="108"/>
      <c r="N103" s="9"/>
    </row>
    <row r="104" spans="1:14" ht="13.95" customHeight="1">
      <c r="A104" s="1">
        <v>18</v>
      </c>
      <c r="B104" s="1"/>
      <c r="C104" s="33" t="s">
        <v>249</v>
      </c>
      <c r="D104" s="1" t="s">
        <v>60</v>
      </c>
      <c r="E104" s="3">
        <f>SUM(I104:N104)</f>
        <v>0</v>
      </c>
      <c r="F104" s="13">
        <v>1150</v>
      </c>
      <c r="G104" s="5">
        <f t="shared" ref="G104" si="24">+E104*F104</f>
        <v>0</v>
      </c>
      <c r="I104" s="3"/>
      <c r="J104" s="3"/>
      <c r="K104" s="3"/>
      <c r="L104" s="103"/>
      <c r="M104" s="108"/>
      <c r="N104" s="9"/>
    </row>
    <row r="105" spans="1:14" ht="13.95" customHeight="1">
      <c r="A105" s="1"/>
      <c r="B105" s="1"/>
      <c r="C105" s="33"/>
      <c r="D105" s="1"/>
      <c r="E105" s="3"/>
      <c r="F105" s="13"/>
      <c r="G105" s="5"/>
      <c r="I105" s="9"/>
      <c r="J105" s="9"/>
      <c r="K105" s="9"/>
      <c r="L105" s="103"/>
      <c r="M105" s="108"/>
      <c r="N105" s="9"/>
    </row>
    <row r="106" spans="1:14" ht="13.95" customHeight="1">
      <c r="A106" s="1"/>
      <c r="B106" s="1" t="s">
        <v>89</v>
      </c>
      <c r="C106" s="32" t="s">
        <v>156</v>
      </c>
      <c r="D106" s="1"/>
      <c r="E106" s="3"/>
      <c r="F106" s="4"/>
      <c r="G106" s="5"/>
      <c r="I106" s="9"/>
      <c r="J106" s="9"/>
      <c r="K106" s="9"/>
      <c r="L106" s="103"/>
      <c r="M106" s="108"/>
      <c r="N106" s="9"/>
    </row>
    <row r="107" spans="1:14" ht="13.95" customHeight="1">
      <c r="A107" s="1"/>
      <c r="B107" s="1"/>
      <c r="C107" s="33"/>
      <c r="D107" s="1"/>
      <c r="E107" s="3"/>
      <c r="F107" s="4"/>
      <c r="G107" s="5"/>
      <c r="I107" s="9"/>
      <c r="J107" s="9"/>
      <c r="K107" s="9"/>
      <c r="L107" s="103"/>
      <c r="M107" s="108"/>
      <c r="N107" s="9"/>
    </row>
    <row r="108" spans="1:14" ht="13.95" customHeight="1">
      <c r="A108" s="1">
        <v>19</v>
      </c>
      <c r="B108" s="1"/>
      <c r="C108" s="47" t="s">
        <v>244</v>
      </c>
      <c r="D108" s="1" t="s">
        <v>1</v>
      </c>
      <c r="E108" s="3">
        <f>SUM(I108:N108)</f>
        <v>98</v>
      </c>
      <c r="F108" s="3">
        <v>135</v>
      </c>
      <c r="G108" s="5">
        <f t="shared" ref="G108" si="25">+E108*F108</f>
        <v>13230</v>
      </c>
      <c r="I108" s="3">
        <v>98</v>
      </c>
      <c r="J108" s="3"/>
      <c r="K108" s="3"/>
      <c r="L108" s="103"/>
      <c r="M108" s="108"/>
      <c r="N108" s="9"/>
    </row>
    <row r="109" spans="1:14" ht="13.95" customHeight="1">
      <c r="A109" s="1"/>
      <c r="B109" s="1"/>
      <c r="C109" s="33"/>
      <c r="D109" s="1"/>
      <c r="E109" s="3"/>
      <c r="F109" s="4"/>
      <c r="G109" s="5"/>
      <c r="I109" s="3"/>
      <c r="J109" s="3"/>
      <c r="K109" s="3"/>
      <c r="L109" s="103"/>
      <c r="M109" s="108"/>
      <c r="N109" s="9"/>
    </row>
    <row r="110" spans="1:14" ht="13.95" customHeight="1">
      <c r="A110" s="1"/>
      <c r="B110" s="1" t="s">
        <v>90</v>
      </c>
      <c r="C110" s="32" t="s">
        <v>36</v>
      </c>
      <c r="D110" s="1"/>
      <c r="E110" s="3"/>
      <c r="F110" s="4"/>
      <c r="G110" s="5"/>
      <c r="I110" s="3"/>
      <c r="J110" s="3"/>
      <c r="K110" s="3"/>
      <c r="L110" s="103"/>
      <c r="M110" s="108"/>
      <c r="N110" s="9"/>
    </row>
    <row r="111" spans="1:14" ht="13.95" customHeight="1">
      <c r="A111" s="1"/>
      <c r="B111" s="1"/>
      <c r="C111" s="33"/>
      <c r="D111" s="1"/>
      <c r="E111" s="3"/>
      <c r="F111" s="4"/>
      <c r="G111" s="5"/>
      <c r="I111" s="3"/>
      <c r="J111" s="3"/>
      <c r="K111" s="3"/>
      <c r="L111" s="103"/>
      <c r="M111" s="108"/>
      <c r="N111" s="9"/>
    </row>
    <row r="112" spans="1:14" ht="24" customHeight="1">
      <c r="A112" s="1"/>
      <c r="B112" s="1"/>
      <c r="C112" s="33" t="s">
        <v>225</v>
      </c>
      <c r="D112" s="1"/>
      <c r="E112" s="3"/>
      <c r="F112" s="4"/>
      <c r="G112" s="5"/>
      <c r="I112" s="3"/>
      <c r="J112" s="3"/>
      <c r="K112" s="3"/>
      <c r="L112" s="103"/>
      <c r="M112" s="108"/>
      <c r="N112" s="9"/>
    </row>
    <row r="113" spans="1:14" ht="13.95" customHeight="1">
      <c r="A113" s="1"/>
      <c r="B113" s="1"/>
      <c r="C113" s="33"/>
      <c r="D113" s="1"/>
      <c r="E113" s="3"/>
      <c r="F113" s="4"/>
      <c r="G113" s="5"/>
      <c r="I113" s="3"/>
      <c r="J113" s="3"/>
      <c r="K113" s="3"/>
      <c r="L113" s="103"/>
      <c r="M113" s="108"/>
      <c r="N113" s="9"/>
    </row>
    <row r="114" spans="1:14" ht="13.95" customHeight="1">
      <c r="A114" s="1">
        <v>20</v>
      </c>
      <c r="B114" s="1"/>
      <c r="C114" s="33" t="s">
        <v>37</v>
      </c>
      <c r="D114" s="1" t="s">
        <v>6</v>
      </c>
      <c r="E114" s="3">
        <f>SUM(I114:N114)</f>
        <v>32</v>
      </c>
      <c r="F114" s="3">
        <v>75</v>
      </c>
      <c r="G114" s="5">
        <f t="shared" ref="G114" si="26">+E114*F114</f>
        <v>2400</v>
      </c>
      <c r="I114" s="3"/>
      <c r="J114" s="3"/>
      <c r="K114" s="3">
        <v>0</v>
      </c>
      <c r="L114" s="103"/>
      <c r="M114" s="108">
        <v>32</v>
      </c>
      <c r="N114" s="9"/>
    </row>
    <row r="115" spans="1:14" ht="13.95" customHeight="1">
      <c r="A115" s="1"/>
      <c r="B115" s="1"/>
      <c r="C115" s="33"/>
      <c r="D115" s="1"/>
      <c r="E115" s="3"/>
      <c r="F115" s="3"/>
      <c r="G115" s="5"/>
      <c r="I115" s="3"/>
      <c r="J115" s="3"/>
      <c r="K115" s="3"/>
      <c r="L115" s="103"/>
      <c r="M115" s="108"/>
      <c r="N115" s="9"/>
    </row>
    <row r="116" spans="1:14" ht="13.95" customHeight="1">
      <c r="A116" s="1"/>
      <c r="B116" s="1"/>
      <c r="C116" s="33" t="s">
        <v>226</v>
      </c>
      <c r="D116" s="1" t="s">
        <v>6</v>
      </c>
      <c r="E116" s="3">
        <f>SUM(I116:N116)</f>
        <v>0</v>
      </c>
      <c r="F116" s="3">
        <v>275</v>
      </c>
      <c r="G116" s="5">
        <f t="shared" ref="G116" si="27">+E116*F116</f>
        <v>0</v>
      </c>
      <c r="I116" s="3"/>
      <c r="J116" s="3"/>
      <c r="K116" s="3"/>
      <c r="L116" s="103"/>
      <c r="M116" s="108"/>
      <c r="N116" s="9"/>
    </row>
    <row r="117" spans="1:14" ht="13.95" customHeight="1">
      <c r="A117" s="1"/>
      <c r="B117" s="1"/>
      <c r="D117" s="1"/>
      <c r="E117" s="3"/>
      <c r="F117" s="4"/>
      <c r="G117" s="5"/>
      <c r="I117" s="3"/>
      <c r="J117" s="3"/>
      <c r="K117" s="3"/>
      <c r="L117" s="103"/>
      <c r="M117" s="108"/>
      <c r="N117" s="9"/>
    </row>
    <row r="118" spans="1:14" ht="13.95" customHeight="1">
      <c r="A118" s="1"/>
      <c r="B118" s="1"/>
      <c r="C118" s="42" t="s">
        <v>104</v>
      </c>
      <c r="D118" s="1"/>
      <c r="E118" s="3"/>
      <c r="F118" s="4"/>
      <c r="G118" s="5"/>
      <c r="I118" s="3"/>
      <c r="J118" s="3"/>
      <c r="K118" s="3"/>
      <c r="L118" s="103"/>
      <c r="M118" s="108"/>
      <c r="N118" s="9"/>
    </row>
    <row r="119" spans="1:14" ht="13.95" customHeight="1">
      <c r="A119" s="1"/>
      <c r="B119" s="1"/>
      <c r="C119" s="6"/>
      <c r="D119" s="1"/>
      <c r="E119" s="3"/>
      <c r="F119" s="4"/>
      <c r="G119" s="5"/>
      <c r="I119" s="3"/>
      <c r="J119" s="3"/>
      <c r="K119" s="3"/>
      <c r="L119" s="103"/>
      <c r="M119" s="108"/>
      <c r="N119" s="9"/>
    </row>
    <row r="120" spans="1:14" ht="13.95" customHeight="1">
      <c r="A120" s="1">
        <f>A114+1</f>
        <v>21</v>
      </c>
      <c r="B120" s="1"/>
      <c r="C120" s="6" t="s">
        <v>106</v>
      </c>
      <c r="D120" s="1" t="s">
        <v>1</v>
      </c>
      <c r="E120" s="3">
        <f>SUM(I120:AG120)</f>
        <v>380</v>
      </c>
      <c r="F120" s="3">
        <v>36</v>
      </c>
      <c r="G120" s="5">
        <f t="shared" ref="G120" si="28">+E120*F120</f>
        <v>13680</v>
      </c>
      <c r="I120" s="3"/>
      <c r="J120" s="3">
        <v>196</v>
      </c>
      <c r="K120" s="3">
        <v>124</v>
      </c>
      <c r="L120" s="103"/>
      <c r="M120" s="108">
        <v>60</v>
      </c>
      <c r="N120" s="9"/>
    </row>
    <row r="121" spans="1:14" ht="13.95" customHeight="1">
      <c r="A121" s="1"/>
      <c r="B121" s="1"/>
      <c r="C121" s="6"/>
      <c r="D121" s="1"/>
      <c r="E121" s="3"/>
      <c r="F121" s="4"/>
      <c r="G121" s="5"/>
      <c r="I121" s="3"/>
      <c r="J121" s="3"/>
      <c r="K121" s="3"/>
      <c r="L121" s="103"/>
      <c r="M121" s="108"/>
      <c r="N121" s="9"/>
    </row>
    <row r="122" spans="1:14" ht="13.95" customHeight="1">
      <c r="A122" s="1"/>
      <c r="B122" s="2" t="s">
        <v>91</v>
      </c>
      <c r="C122" s="34" t="s">
        <v>18</v>
      </c>
      <c r="D122" s="1"/>
      <c r="E122" s="3"/>
      <c r="F122" s="4"/>
      <c r="G122" s="5"/>
      <c r="I122" s="3"/>
      <c r="J122" s="3"/>
      <c r="K122" s="3"/>
      <c r="L122" s="103"/>
      <c r="M122" s="108"/>
      <c r="N122" s="9"/>
    </row>
    <row r="123" spans="1:14" ht="13.95" customHeight="1">
      <c r="A123" s="1"/>
      <c r="B123" s="1"/>
      <c r="C123" s="33"/>
      <c r="D123" s="1"/>
      <c r="E123" s="3"/>
      <c r="F123" s="4"/>
      <c r="G123" s="5"/>
      <c r="I123" s="3"/>
      <c r="J123" s="3"/>
      <c r="K123" s="3"/>
      <c r="L123" s="103"/>
      <c r="M123" s="108"/>
      <c r="N123" s="9"/>
    </row>
    <row r="124" spans="1:14" ht="13.95" customHeight="1">
      <c r="A124" s="1"/>
      <c r="B124" s="1" t="s">
        <v>84</v>
      </c>
      <c r="C124" s="32" t="s">
        <v>19</v>
      </c>
      <c r="D124" s="1"/>
      <c r="E124" s="3"/>
      <c r="F124" s="4"/>
      <c r="G124" s="5"/>
      <c r="I124" s="3"/>
      <c r="J124" s="3"/>
      <c r="K124" s="3"/>
      <c r="L124" s="103"/>
      <c r="M124" s="108"/>
      <c r="N124" s="9"/>
    </row>
    <row r="125" spans="1:14" ht="13.95" customHeight="1">
      <c r="A125" s="1"/>
      <c r="B125" s="1"/>
      <c r="C125" s="33"/>
      <c r="D125" s="1"/>
      <c r="E125" s="3"/>
      <c r="F125" s="4"/>
      <c r="G125" s="5"/>
      <c r="I125" s="3"/>
      <c r="J125" s="3"/>
      <c r="K125" s="3"/>
      <c r="L125" s="103"/>
      <c r="M125" s="108"/>
      <c r="N125" s="9"/>
    </row>
    <row r="126" spans="1:14" ht="13.95" customHeight="1">
      <c r="A126" s="1">
        <f>A120+1</f>
        <v>22</v>
      </c>
      <c r="B126" s="1"/>
      <c r="C126" s="33" t="s">
        <v>72</v>
      </c>
      <c r="D126" s="1" t="s">
        <v>2</v>
      </c>
      <c r="E126" s="3">
        <f>SUM(I126:N126)</f>
        <v>17.099999999999998</v>
      </c>
      <c r="F126" s="3">
        <v>25750</v>
      </c>
      <c r="G126" s="5">
        <f t="shared" ref="G126" si="29">+E126*F126</f>
        <v>440324.99999999994</v>
      </c>
      <c r="I126" s="4"/>
      <c r="J126" s="4">
        <v>8</v>
      </c>
      <c r="K126" s="4">
        <v>6.7</v>
      </c>
      <c r="L126" s="103">
        <v>1.5</v>
      </c>
      <c r="M126" s="108">
        <v>0.9</v>
      </c>
      <c r="N126" s="9"/>
    </row>
    <row r="127" spans="1:14" ht="13.95" customHeight="1">
      <c r="A127" s="1"/>
      <c r="B127" s="1"/>
      <c r="C127" s="33"/>
      <c r="D127" s="1"/>
      <c r="E127" s="3"/>
      <c r="F127" s="4"/>
      <c r="G127" s="5"/>
      <c r="I127" s="3"/>
      <c r="J127" s="3"/>
      <c r="K127" s="3"/>
      <c r="L127" s="103"/>
      <c r="M127" s="108"/>
      <c r="N127" s="9"/>
    </row>
    <row r="128" spans="1:14" ht="13.95" customHeight="1">
      <c r="A128" s="1"/>
      <c r="B128" s="1" t="s">
        <v>92</v>
      </c>
      <c r="C128" s="32" t="s">
        <v>3</v>
      </c>
      <c r="D128" s="1"/>
      <c r="E128" s="3"/>
      <c r="F128" s="4"/>
      <c r="G128" s="5"/>
      <c r="I128" s="3"/>
      <c r="J128" s="3"/>
      <c r="K128" s="3"/>
      <c r="L128" s="103"/>
      <c r="M128" s="108"/>
      <c r="N128" s="9"/>
    </row>
    <row r="129" spans="1:14" ht="13.95" customHeight="1">
      <c r="A129" s="1"/>
      <c r="B129" s="1"/>
      <c r="C129" s="33"/>
      <c r="D129" s="1"/>
      <c r="E129" s="3"/>
      <c r="F129" s="4"/>
      <c r="G129" s="5"/>
      <c r="I129" s="3"/>
      <c r="J129" s="3"/>
      <c r="K129" s="3"/>
      <c r="L129" s="103"/>
      <c r="M129" s="108"/>
      <c r="N129" s="9"/>
    </row>
    <row r="130" spans="1:14" ht="13.95" customHeight="1">
      <c r="A130" s="1">
        <f>A126+1</f>
        <v>23</v>
      </c>
      <c r="B130" s="1"/>
      <c r="C130" s="33" t="s">
        <v>73</v>
      </c>
      <c r="D130" s="1" t="s">
        <v>60</v>
      </c>
      <c r="E130" s="3">
        <f>SUM(I130:N130)</f>
        <v>594</v>
      </c>
      <c r="F130" s="13">
        <v>345</v>
      </c>
      <c r="G130" s="5">
        <f t="shared" ref="G130" si="30">+E130*F130</f>
        <v>204930</v>
      </c>
      <c r="I130" s="3">
        <v>594</v>
      </c>
      <c r="J130" s="3"/>
      <c r="K130" s="3"/>
      <c r="L130" s="103"/>
      <c r="M130" s="108"/>
      <c r="N130" s="9"/>
    </row>
    <row r="131" spans="1:14" ht="13.95" customHeight="1">
      <c r="A131" s="1"/>
      <c r="B131" s="1"/>
      <c r="C131" s="33"/>
      <c r="D131" s="1"/>
      <c r="E131" s="3"/>
      <c r="F131" s="4"/>
      <c r="G131" s="5"/>
      <c r="I131" s="3"/>
      <c r="J131" s="3"/>
      <c r="K131" s="3"/>
      <c r="L131" s="103"/>
      <c r="M131" s="108"/>
      <c r="N131" s="9"/>
    </row>
    <row r="132" spans="1:14" ht="13.95" customHeight="1">
      <c r="A132" s="1"/>
      <c r="B132" s="36" t="s">
        <v>93</v>
      </c>
      <c r="C132" s="34" t="s">
        <v>4</v>
      </c>
      <c r="D132" s="1"/>
      <c r="E132" s="3"/>
      <c r="F132" s="4"/>
      <c r="G132" s="5"/>
      <c r="I132" s="3"/>
      <c r="J132" s="3"/>
      <c r="K132" s="3"/>
      <c r="L132" s="103"/>
      <c r="M132" s="108"/>
      <c r="N132" s="9"/>
    </row>
    <row r="133" spans="1:14" ht="13.95" customHeight="1">
      <c r="A133" s="1"/>
      <c r="C133" s="33"/>
      <c r="D133" s="1"/>
      <c r="E133" s="3"/>
      <c r="F133" s="4"/>
      <c r="G133" s="5"/>
      <c r="I133" s="3"/>
      <c r="J133" s="3"/>
      <c r="K133" s="3"/>
      <c r="L133" s="103"/>
      <c r="M133" s="108"/>
      <c r="N133" s="9"/>
    </row>
    <row r="134" spans="1:14" ht="13.95" customHeight="1">
      <c r="A134" s="1"/>
      <c r="B134" s="20" t="s">
        <v>94</v>
      </c>
      <c r="C134" s="32" t="s">
        <v>5</v>
      </c>
      <c r="D134" s="1"/>
      <c r="E134" s="3"/>
      <c r="F134" s="4"/>
      <c r="G134" s="5"/>
      <c r="I134" s="3"/>
      <c r="J134" s="3"/>
      <c r="K134" s="3"/>
      <c r="L134" s="103"/>
      <c r="M134" s="108"/>
      <c r="N134" s="9"/>
    </row>
    <row r="135" spans="1:14" ht="13.95" customHeight="1">
      <c r="A135" s="1"/>
      <c r="C135" s="33"/>
      <c r="D135" s="1"/>
      <c r="E135" s="3"/>
      <c r="F135" s="4"/>
      <c r="G135" s="5"/>
      <c r="I135" s="3"/>
      <c r="J135" s="3"/>
      <c r="K135" s="3"/>
      <c r="L135" s="103"/>
      <c r="M135" s="108"/>
      <c r="N135" s="9"/>
    </row>
    <row r="136" spans="1:14" ht="13.95" customHeight="1">
      <c r="A136" s="1"/>
      <c r="C136" s="33" t="s">
        <v>74</v>
      </c>
      <c r="D136" s="1"/>
      <c r="E136" s="3"/>
      <c r="F136" s="4"/>
      <c r="G136" s="5"/>
      <c r="I136" s="3"/>
      <c r="J136" s="3"/>
      <c r="K136" s="3"/>
      <c r="L136" s="103"/>
      <c r="M136" s="108"/>
      <c r="N136" s="9"/>
    </row>
    <row r="137" spans="1:14" ht="13.95" customHeight="1">
      <c r="A137" s="1"/>
      <c r="C137" s="33"/>
      <c r="D137" s="1"/>
      <c r="E137" s="3"/>
      <c r="F137" s="4"/>
      <c r="G137" s="5"/>
      <c r="I137" s="3"/>
      <c r="J137" s="3"/>
      <c r="K137" s="3"/>
      <c r="L137" s="103"/>
      <c r="M137" s="108"/>
      <c r="N137" s="9"/>
    </row>
    <row r="138" spans="1:14" ht="13.95" customHeight="1">
      <c r="A138" s="1">
        <f>A130+1</f>
        <v>24</v>
      </c>
      <c r="C138" s="33" t="s">
        <v>24</v>
      </c>
      <c r="D138" s="1" t="s">
        <v>60</v>
      </c>
      <c r="E138" s="3">
        <f>SUM(I138:N138)</f>
        <v>113.2</v>
      </c>
      <c r="F138" s="3">
        <v>175</v>
      </c>
      <c r="G138" s="5">
        <f t="shared" ref="G138" si="31">+E138*F138</f>
        <v>19810</v>
      </c>
      <c r="I138" s="3"/>
      <c r="J138" s="3">
        <v>98</v>
      </c>
      <c r="K138" s="3"/>
      <c r="L138" s="103">
        <v>15.2</v>
      </c>
      <c r="M138" s="108"/>
      <c r="N138" s="9"/>
    </row>
    <row r="139" spans="1:14" ht="13.95" customHeight="1">
      <c r="A139" s="1"/>
      <c r="C139" s="33"/>
      <c r="D139" s="1"/>
      <c r="E139" s="3"/>
      <c r="F139" s="3"/>
      <c r="G139" s="5"/>
      <c r="I139" s="3"/>
      <c r="J139" s="3"/>
      <c r="K139" s="3"/>
      <c r="L139" s="103"/>
      <c r="M139" s="108"/>
      <c r="N139" s="9"/>
    </row>
    <row r="140" spans="1:14" ht="13.95" customHeight="1">
      <c r="A140" s="1"/>
      <c r="C140" s="33"/>
      <c r="D140" s="1"/>
      <c r="E140" s="3"/>
      <c r="F140" s="3"/>
      <c r="G140" s="5"/>
      <c r="I140" s="3"/>
      <c r="J140" s="3"/>
      <c r="K140" s="3"/>
      <c r="L140" s="103"/>
      <c r="M140" s="108"/>
      <c r="N140" s="9"/>
    </row>
    <row r="141" spans="1:14" ht="13.95" customHeight="1">
      <c r="A141" s="1"/>
      <c r="C141" s="33"/>
      <c r="D141" s="1"/>
      <c r="E141" s="3"/>
      <c r="F141" s="3"/>
      <c r="G141" s="5"/>
      <c r="I141" s="3"/>
      <c r="J141" s="3"/>
      <c r="K141" s="3"/>
      <c r="L141" s="103"/>
      <c r="M141" s="108"/>
      <c r="N141" s="9"/>
    </row>
    <row r="142" spans="1:14" ht="13.95" customHeight="1">
      <c r="A142" s="1"/>
      <c r="C142" s="33"/>
      <c r="D142" s="1"/>
      <c r="E142" s="3"/>
      <c r="F142" s="3"/>
      <c r="G142" s="5"/>
      <c r="I142" s="3"/>
      <c r="J142" s="3"/>
      <c r="K142" s="3"/>
      <c r="L142" s="103"/>
      <c r="M142" s="108"/>
      <c r="N142" s="9"/>
    </row>
    <row r="143" spans="1:14" ht="13.95" customHeight="1">
      <c r="A143" s="1"/>
      <c r="C143" s="33"/>
      <c r="D143" s="1"/>
      <c r="E143" s="3"/>
      <c r="F143" s="3"/>
      <c r="G143" s="5"/>
      <c r="I143" s="3"/>
      <c r="J143" s="3"/>
      <c r="K143" s="3"/>
      <c r="L143" s="103"/>
      <c r="M143" s="108"/>
      <c r="N143" s="9"/>
    </row>
    <row r="144" spans="1:14" ht="13.95" customHeight="1">
      <c r="A144" s="1"/>
      <c r="C144" s="33"/>
      <c r="D144" s="1"/>
      <c r="E144" s="3"/>
      <c r="F144" s="3"/>
      <c r="G144" s="5"/>
      <c r="I144" s="3"/>
      <c r="J144" s="3"/>
      <c r="K144" s="3"/>
      <c r="L144" s="103"/>
      <c r="M144" s="108"/>
      <c r="N144" s="9"/>
    </row>
    <row r="145" spans="1:14" ht="13.95" customHeight="1">
      <c r="A145" s="1"/>
      <c r="B145" s="1"/>
      <c r="C145" s="33"/>
      <c r="D145" s="1"/>
      <c r="E145" s="3"/>
      <c r="F145" s="4"/>
      <c r="G145" s="5"/>
      <c r="I145" s="3"/>
      <c r="J145" s="3"/>
      <c r="K145" s="3"/>
      <c r="L145" s="103"/>
      <c r="M145" s="108"/>
      <c r="N145" s="9"/>
    </row>
    <row r="146" spans="1:14" ht="13.95" customHeight="1">
      <c r="A146" s="1"/>
      <c r="B146" s="1"/>
      <c r="C146" s="33"/>
      <c r="D146" s="1"/>
      <c r="E146" s="3"/>
      <c r="F146" s="4"/>
      <c r="G146" s="5"/>
      <c r="I146" s="3"/>
      <c r="J146" s="3"/>
      <c r="K146" s="3"/>
      <c r="L146" s="103"/>
      <c r="M146" s="108"/>
      <c r="N146" s="9"/>
    </row>
    <row r="147" spans="1:14" ht="13.95" customHeight="1">
      <c r="A147" s="1"/>
      <c r="B147" s="1"/>
      <c r="C147" s="33"/>
      <c r="D147" s="1"/>
      <c r="E147" s="3"/>
      <c r="F147" s="4"/>
      <c r="G147" s="5"/>
      <c r="I147" s="3"/>
      <c r="J147" s="3"/>
      <c r="K147" s="3"/>
      <c r="L147" s="103"/>
      <c r="M147" s="108"/>
      <c r="N147" s="9"/>
    </row>
    <row r="148" spans="1:14" ht="20.100000000000001" customHeight="1">
      <c r="A148" s="149" t="s">
        <v>66</v>
      </c>
      <c r="B148" s="150"/>
      <c r="C148" s="150"/>
      <c r="D148" s="150"/>
      <c r="E148" s="150"/>
      <c r="F148" s="151"/>
      <c r="G148" s="116">
        <f>SUM(G100:G147)</f>
        <v>1197286.5</v>
      </c>
      <c r="I148" s="9"/>
      <c r="J148" s="9"/>
      <c r="K148" s="9"/>
      <c r="L148" s="103"/>
      <c r="M148" s="108"/>
      <c r="N148" s="9"/>
    </row>
    <row r="149" spans="1:14" ht="13.95" customHeight="1">
      <c r="A149" s="39"/>
      <c r="B149" s="39"/>
      <c r="C149" s="39"/>
      <c r="D149" s="39"/>
      <c r="E149" s="39"/>
      <c r="F149" s="39"/>
      <c r="G149" s="113"/>
      <c r="I149" s="9"/>
      <c r="J149" s="9"/>
      <c r="K149" s="9"/>
      <c r="L149" s="103"/>
      <c r="M149" s="108"/>
      <c r="N149" s="9"/>
    </row>
    <row r="150" spans="1:14" ht="13.95" customHeight="1">
      <c r="A150" s="39"/>
      <c r="B150" s="39"/>
      <c r="C150" s="39"/>
      <c r="D150" s="39"/>
      <c r="E150" s="39"/>
      <c r="F150" s="39"/>
      <c r="G150" s="113"/>
      <c r="I150" s="9"/>
      <c r="J150" s="9"/>
      <c r="K150" s="9"/>
      <c r="L150" s="103"/>
      <c r="M150" s="108"/>
      <c r="N150" s="9"/>
    </row>
    <row r="151" spans="1:14" ht="22.2" customHeight="1">
      <c r="A151" s="44" t="s">
        <v>8</v>
      </c>
      <c r="B151" s="48" t="s">
        <v>9</v>
      </c>
      <c r="C151" s="44" t="s">
        <v>10</v>
      </c>
      <c r="D151" s="48" t="s">
        <v>11</v>
      </c>
      <c r="E151" s="48" t="s">
        <v>59</v>
      </c>
      <c r="F151" s="49" t="s">
        <v>12</v>
      </c>
      <c r="G151" s="111" t="s">
        <v>13</v>
      </c>
      <c r="I151" s="9"/>
      <c r="J151" s="9"/>
      <c r="K151" s="9"/>
      <c r="L151" s="103"/>
      <c r="M151" s="108"/>
      <c r="N151" s="9"/>
    </row>
    <row r="152" spans="1:14" ht="20.100000000000001" customHeight="1">
      <c r="A152" s="149" t="s">
        <v>67</v>
      </c>
      <c r="B152" s="150"/>
      <c r="C152" s="150"/>
      <c r="D152" s="150"/>
      <c r="E152" s="150"/>
      <c r="F152" s="151"/>
      <c r="G152" s="116">
        <f>+G148</f>
        <v>1197286.5</v>
      </c>
      <c r="I152" s="9"/>
      <c r="J152" s="9"/>
      <c r="K152" s="9"/>
      <c r="L152" s="103"/>
      <c r="M152" s="108"/>
      <c r="N152" s="9"/>
    </row>
    <row r="153" spans="1:14" ht="13.95" customHeight="1">
      <c r="A153" s="1"/>
      <c r="B153" s="1"/>
      <c r="C153" s="33"/>
      <c r="D153" s="1"/>
      <c r="E153" s="3"/>
      <c r="F153" s="4"/>
      <c r="G153" s="5"/>
      <c r="I153" s="3"/>
      <c r="J153" s="3"/>
      <c r="K153" s="3"/>
      <c r="L153" s="103"/>
      <c r="M153" s="108"/>
      <c r="N153" s="9"/>
    </row>
    <row r="154" spans="1:14" ht="13.95" customHeight="1">
      <c r="A154" s="1"/>
      <c r="B154" s="1"/>
      <c r="C154" s="32" t="s">
        <v>158</v>
      </c>
      <c r="D154" s="1"/>
      <c r="E154" s="3"/>
      <c r="F154" s="4"/>
      <c r="G154" s="5"/>
      <c r="I154" s="3"/>
      <c r="J154" s="3"/>
      <c r="K154" s="3"/>
      <c r="L154" s="103"/>
      <c r="M154" s="108"/>
      <c r="N154" s="9"/>
    </row>
    <row r="155" spans="1:14" ht="13.95" customHeight="1">
      <c r="A155" s="1"/>
      <c r="B155" s="1"/>
      <c r="C155" s="33"/>
      <c r="D155" s="1"/>
      <c r="E155" s="3"/>
      <c r="F155" s="4"/>
      <c r="G155" s="5"/>
      <c r="I155" s="3"/>
      <c r="J155" s="3"/>
      <c r="K155" s="3"/>
      <c r="L155" s="103"/>
      <c r="M155" s="108"/>
      <c r="N155" s="9"/>
    </row>
    <row r="156" spans="1:14" ht="13.95" customHeight="1">
      <c r="A156" s="1">
        <f>A138+1</f>
        <v>25</v>
      </c>
      <c r="B156" s="1"/>
      <c r="C156" s="33" t="s">
        <v>202</v>
      </c>
      <c r="D156" s="1" t="s">
        <v>51</v>
      </c>
      <c r="E156" s="3">
        <f>SUM(I156:N156)</f>
        <v>65.7</v>
      </c>
      <c r="F156" s="3">
        <v>3550</v>
      </c>
      <c r="G156" s="5">
        <f t="shared" ref="G156" si="32">+E156*F156</f>
        <v>233235</v>
      </c>
      <c r="I156" s="3"/>
      <c r="J156" s="3"/>
      <c r="K156" s="3">
        <v>57.7</v>
      </c>
      <c r="L156" s="103"/>
      <c r="M156" s="108">
        <v>8</v>
      </c>
      <c r="N156" s="9"/>
    </row>
    <row r="157" spans="1:14" ht="13.95" customHeight="1">
      <c r="A157" s="1"/>
      <c r="B157" s="1"/>
      <c r="C157" s="33"/>
      <c r="D157" s="1"/>
      <c r="E157" s="3"/>
      <c r="F157" s="3"/>
      <c r="G157" s="5"/>
      <c r="I157" s="3"/>
      <c r="J157" s="3"/>
      <c r="K157" s="3"/>
      <c r="L157" s="103"/>
      <c r="M157" s="108"/>
      <c r="N157" s="9"/>
    </row>
    <row r="158" spans="1:14" ht="13.95" customHeight="1">
      <c r="A158" s="1">
        <f>A156+1</f>
        <v>26</v>
      </c>
      <c r="B158" s="1"/>
      <c r="C158" s="33" t="s">
        <v>28</v>
      </c>
      <c r="D158" s="1" t="s">
        <v>51</v>
      </c>
      <c r="E158" s="3">
        <f>SUM(I158:N158)</f>
        <v>45.1</v>
      </c>
      <c r="F158" s="3">
        <v>3200</v>
      </c>
      <c r="G158" s="5">
        <f t="shared" ref="G158" si="33">+E158*F158</f>
        <v>144320</v>
      </c>
      <c r="I158" s="3"/>
      <c r="J158" s="3">
        <v>39</v>
      </c>
      <c r="K158" s="3"/>
      <c r="L158" s="103">
        <v>6.1</v>
      </c>
      <c r="M158" s="108"/>
      <c r="N158" s="9"/>
    </row>
    <row r="159" spans="1:14" ht="13.95" customHeight="1">
      <c r="A159" s="1"/>
      <c r="B159" s="1"/>
      <c r="C159" s="33"/>
      <c r="D159" s="1"/>
      <c r="E159" s="3"/>
      <c r="F159" s="3"/>
      <c r="G159" s="5"/>
      <c r="I159" s="3"/>
      <c r="J159" s="3"/>
      <c r="K159" s="3"/>
      <c r="L159" s="103"/>
      <c r="M159" s="108"/>
      <c r="N159" s="9"/>
    </row>
    <row r="160" spans="1:14" ht="13.95" customHeight="1">
      <c r="A160" s="1">
        <v>25</v>
      </c>
      <c r="B160" s="1"/>
      <c r="C160" s="33" t="s">
        <v>62</v>
      </c>
      <c r="D160" s="1" t="s">
        <v>51</v>
      </c>
      <c r="E160" s="3">
        <f>SUM(I160:N160)</f>
        <v>30.7</v>
      </c>
      <c r="F160" s="3">
        <v>3350</v>
      </c>
      <c r="G160" s="5">
        <f t="shared" ref="G160" si="34">+E160*F160</f>
        <v>102845</v>
      </c>
      <c r="I160" s="3"/>
      <c r="J160" s="3">
        <v>25</v>
      </c>
      <c r="K160" s="3"/>
      <c r="L160" s="103">
        <v>5.7</v>
      </c>
      <c r="M160" s="108"/>
      <c r="N160" s="9"/>
    </row>
    <row r="161" spans="1:14" ht="13.95" customHeight="1">
      <c r="A161" s="1"/>
      <c r="B161" s="1"/>
      <c r="C161" s="33"/>
      <c r="D161" s="1"/>
      <c r="E161" s="3"/>
      <c r="F161" s="3"/>
      <c r="G161" s="5"/>
      <c r="I161" s="3"/>
      <c r="J161" s="3"/>
      <c r="K161" s="3"/>
      <c r="L161" s="103"/>
      <c r="M161" s="108"/>
      <c r="N161" s="9"/>
    </row>
    <row r="162" spans="1:14" ht="13.95" customHeight="1">
      <c r="A162" s="1">
        <v>26</v>
      </c>
      <c r="B162" s="1"/>
      <c r="C162" s="33" t="s">
        <v>27</v>
      </c>
      <c r="D162" s="1" t="s">
        <v>51</v>
      </c>
      <c r="E162" s="3">
        <f>SUM(I162:N162)</f>
        <v>119</v>
      </c>
      <c r="F162" s="3">
        <v>3200</v>
      </c>
      <c r="G162" s="5">
        <f t="shared" ref="G162" si="35">+E162*F162</f>
        <v>380800</v>
      </c>
      <c r="I162" s="3">
        <v>119</v>
      </c>
      <c r="J162" s="3"/>
      <c r="K162" s="3"/>
      <c r="L162" s="103"/>
      <c r="M162" s="108"/>
      <c r="N162" s="9"/>
    </row>
    <row r="163" spans="1:14" ht="13.95" customHeight="1">
      <c r="A163" s="1"/>
      <c r="B163" s="1"/>
      <c r="C163" s="33"/>
      <c r="D163" s="1"/>
      <c r="E163" s="3"/>
      <c r="F163" s="3"/>
      <c r="G163" s="5"/>
      <c r="I163" s="3"/>
      <c r="J163" s="3"/>
      <c r="K163" s="3"/>
      <c r="L163" s="103"/>
      <c r="M163" s="108"/>
      <c r="N163" s="9"/>
    </row>
    <row r="164" spans="1:14" ht="13.95" customHeight="1">
      <c r="A164" s="1">
        <f>A162+1</f>
        <v>27</v>
      </c>
      <c r="B164" s="1"/>
      <c r="C164" s="33" t="s">
        <v>250</v>
      </c>
      <c r="D164" s="1" t="s">
        <v>51</v>
      </c>
      <c r="E164" s="3">
        <f>SUM(I164:N164)</f>
        <v>0</v>
      </c>
      <c r="F164" s="3">
        <v>3650</v>
      </c>
      <c r="G164" s="5">
        <f t="shared" ref="G164" si="36">+E164*F164</f>
        <v>0</v>
      </c>
      <c r="I164" s="3"/>
      <c r="J164" s="3"/>
      <c r="K164" s="3"/>
      <c r="L164" s="103"/>
      <c r="M164" s="108"/>
      <c r="N164" s="9"/>
    </row>
    <row r="165" spans="1:14" ht="13.95" customHeight="1">
      <c r="A165" s="1"/>
      <c r="B165" s="1"/>
      <c r="C165" s="33"/>
      <c r="D165" s="1"/>
      <c r="E165" s="3"/>
      <c r="F165" s="4"/>
      <c r="G165" s="5"/>
      <c r="I165" s="3"/>
      <c r="J165" s="3"/>
      <c r="K165" s="3"/>
      <c r="L165" s="103"/>
      <c r="M165" s="108"/>
      <c r="N165" s="9"/>
    </row>
    <row r="166" spans="1:14" ht="13.95" customHeight="1">
      <c r="A166" s="1"/>
      <c r="B166" s="1" t="s">
        <v>96</v>
      </c>
      <c r="C166" s="32" t="s">
        <v>159</v>
      </c>
      <c r="D166" s="1"/>
      <c r="E166" s="3"/>
      <c r="F166" s="4"/>
      <c r="G166" s="5"/>
      <c r="I166" s="9"/>
      <c r="J166" s="9"/>
      <c r="K166" s="9"/>
      <c r="L166" s="103"/>
      <c r="M166" s="108"/>
      <c r="N166" s="9"/>
    </row>
    <row r="167" spans="1:14" ht="13.95" customHeight="1">
      <c r="A167" s="1"/>
      <c r="B167" s="1"/>
      <c r="C167" s="33"/>
      <c r="D167" s="1"/>
      <c r="E167" s="3"/>
      <c r="F167" s="4"/>
      <c r="G167" s="5"/>
      <c r="I167" s="9"/>
      <c r="J167" s="9"/>
      <c r="K167" s="9"/>
      <c r="L167" s="103"/>
      <c r="M167" s="108"/>
      <c r="N167" s="9"/>
    </row>
    <row r="168" spans="1:14" ht="13.95" customHeight="1">
      <c r="A168" s="1"/>
      <c r="B168" s="1"/>
      <c r="C168" s="33" t="s">
        <v>160</v>
      </c>
      <c r="D168" s="1"/>
      <c r="E168" s="3"/>
      <c r="F168" s="4"/>
      <c r="G168" s="5"/>
      <c r="I168" s="9"/>
      <c r="J168" s="9"/>
      <c r="K168" s="9"/>
      <c r="L168" s="103"/>
      <c r="M168" s="108"/>
      <c r="N168" s="9"/>
    </row>
    <row r="169" spans="1:14" ht="13.95" customHeight="1">
      <c r="A169" s="1"/>
      <c r="B169" s="1"/>
      <c r="C169" s="33"/>
      <c r="D169" s="1"/>
      <c r="E169" s="3"/>
      <c r="F169" s="4"/>
      <c r="G169" s="5"/>
      <c r="I169" s="9"/>
      <c r="J169" s="9"/>
      <c r="K169" s="9"/>
      <c r="L169" s="103"/>
      <c r="M169" s="108"/>
      <c r="N169" s="9"/>
    </row>
    <row r="170" spans="1:14" ht="13.95" customHeight="1">
      <c r="A170" s="1">
        <f>A164+1</f>
        <v>28</v>
      </c>
      <c r="B170" s="1"/>
      <c r="C170" s="33" t="s">
        <v>28</v>
      </c>
      <c r="D170" s="1" t="s">
        <v>60</v>
      </c>
      <c r="E170" s="3">
        <f>SUM(I170:N170)</f>
        <v>113.2</v>
      </c>
      <c r="F170" s="3">
        <v>46</v>
      </c>
      <c r="G170" s="5">
        <f t="shared" ref="G170" si="37">+E170*F170</f>
        <v>5207.2</v>
      </c>
      <c r="I170" s="3"/>
      <c r="J170" s="3">
        <v>98</v>
      </c>
      <c r="K170" s="3"/>
      <c r="L170" s="103">
        <v>15.2</v>
      </c>
      <c r="M170" s="108"/>
      <c r="N170" s="9"/>
    </row>
    <row r="171" spans="1:14" ht="13.95" customHeight="1">
      <c r="A171" s="1"/>
      <c r="B171" s="1"/>
      <c r="C171" s="33"/>
      <c r="D171" s="1"/>
      <c r="E171" s="3"/>
      <c r="F171" s="3"/>
      <c r="G171" s="5"/>
      <c r="I171" s="3"/>
      <c r="J171" s="3"/>
      <c r="K171" s="3"/>
      <c r="L171" s="103"/>
      <c r="M171" s="108"/>
      <c r="N171" s="9"/>
    </row>
    <row r="172" spans="1:14" ht="13.95" customHeight="1">
      <c r="A172" s="1"/>
      <c r="B172" s="1"/>
      <c r="C172" s="33" t="s">
        <v>196</v>
      </c>
      <c r="D172" s="1"/>
      <c r="E172" s="3"/>
      <c r="F172" s="3"/>
      <c r="G172" s="5"/>
      <c r="I172" s="3"/>
      <c r="J172" s="3"/>
      <c r="K172" s="3"/>
      <c r="L172" s="103"/>
      <c r="M172" s="108"/>
      <c r="N172" s="9"/>
    </row>
    <row r="173" spans="1:14" ht="13.95" customHeight="1">
      <c r="A173" s="1"/>
      <c r="B173" s="1"/>
      <c r="C173" s="33"/>
      <c r="D173" s="1"/>
      <c r="E173" s="3"/>
      <c r="F173" s="3"/>
      <c r="G173" s="5"/>
      <c r="I173" s="3"/>
      <c r="J173" s="3"/>
      <c r="K173" s="3"/>
      <c r="L173" s="103"/>
      <c r="M173" s="108"/>
      <c r="N173" s="9"/>
    </row>
    <row r="174" spans="1:14" ht="13.95" customHeight="1">
      <c r="A174" s="1">
        <f>A170+1</f>
        <v>29</v>
      </c>
      <c r="B174" s="1"/>
      <c r="C174" s="33" t="s">
        <v>29</v>
      </c>
      <c r="D174" s="1" t="s">
        <v>60</v>
      </c>
      <c r="E174" s="3">
        <f>SUM(I174:N174)</f>
        <v>594</v>
      </c>
      <c r="F174" s="3">
        <v>75</v>
      </c>
      <c r="G174" s="5">
        <f t="shared" ref="G174" si="38">+E174*F174</f>
        <v>44550</v>
      </c>
      <c r="I174" s="3">
        <v>594</v>
      </c>
      <c r="J174" s="3"/>
      <c r="K174" s="3"/>
      <c r="L174" s="103"/>
      <c r="M174" s="108"/>
      <c r="N174" s="9"/>
    </row>
    <row r="175" spans="1:14" ht="13.95" customHeight="1">
      <c r="A175" s="1"/>
      <c r="B175" s="1"/>
      <c r="C175" s="33"/>
      <c r="D175" s="1"/>
      <c r="E175" s="3"/>
      <c r="F175" s="4"/>
      <c r="G175" s="5"/>
      <c r="I175" s="3"/>
      <c r="J175" s="3"/>
      <c r="K175" s="3"/>
      <c r="L175" s="103"/>
      <c r="M175" s="108"/>
      <c r="N175" s="9"/>
    </row>
    <row r="176" spans="1:14" ht="13.95" customHeight="1">
      <c r="A176" s="1"/>
      <c r="B176" s="1" t="s">
        <v>97</v>
      </c>
      <c r="C176" s="34" t="s">
        <v>20</v>
      </c>
      <c r="D176" s="1"/>
      <c r="E176" s="3"/>
      <c r="F176" s="4"/>
      <c r="G176" s="5"/>
      <c r="I176" s="3"/>
      <c r="J176" s="3"/>
      <c r="K176" s="3"/>
      <c r="L176" s="103"/>
      <c r="M176" s="108"/>
      <c r="N176" s="9"/>
    </row>
    <row r="177" spans="1:14" ht="13.95" customHeight="1">
      <c r="A177" s="1"/>
      <c r="B177" s="1"/>
      <c r="C177" s="34"/>
      <c r="D177" s="1"/>
      <c r="E177" s="3"/>
      <c r="F177" s="4"/>
      <c r="G177" s="5"/>
      <c r="I177" s="3"/>
      <c r="J177" s="3"/>
      <c r="K177" s="3"/>
      <c r="L177" s="103"/>
      <c r="M177" s="108"/>
      <c r="N177" s="9"/>
    </row>
    <row r="178" spans="1:14" ht="13.95" customHeight="1">
      <c r="A178" s="1"/>
      <c r="B178" s="1"/>
      <c r="C178" s="32" t="s">
        <v>213</v>
      </c>
      <c r="D178" s="1"/>
      <c r="E178" s="3"/>
      <c r="F178" s="4"/>
      <c r="G178" s="5"/>
      <c r="I178" s="3"/>
      <c r="J178" s="3"/>
      <c r="K178" s="3"/>
      <c r="L178" s="103"/>
      <c r="M178" s="108"/>
      <c r="N178" s="9"/>
    </row>
    <row r="179" spans="1:14" ht="13.95" customHeight="1">
      <c r="A179" s="1"/>
      <c r="B179" s="1"/>
      <c r="C179" s="34"/>
      <c r="D179" s="1"/>
      <c r="E179" s="3"/>
      <c r="F179" s="4"/>
      <c r="G179" s="5"/>
      <c r="I179" s="3"/>
      <c r="J179" s="3"/>
      <c r="K179" s="3"/>
      <c r="L179" s="103"/>
      <c r="M179" s="108"/>
      <c r="N179" s="9"/>
    </row>
    <row r="180" spans="1:14" ht="27" customHeight="1">
      <c r="A180" s="1">
        <f>A174+1</f>
        <v>30</v>
      </c>
      <c r="B180" s="1"/>
      <c r="C180" s="33" t="s">
        <v>237</v>
      </c>
      <c r="D180" s="1" t="s">
        <v>1</v>
      </c>
      <c r="E180" s="3">
        <f>SUM(I180:N180)</f>
        <v>0</v>
      </c>
      <c r="F180" s="3">
        <v>375</v>
      </c>
      <c r="G180" s="5">
        <f t="shared" ref="G180" si="39">+E180*F180</f>
        <v>0</v>
      </c>
      <c r="I180" s="3"/>
      <c r="J180" s="3"/>
      <c r="K180" s="3"/>
      <c r="L180" s="103"/>
      <c r="M180" s="108"/>
      <c r="N180" s="9"/>
    </row>
    <row r="181" spans="1:14" ht="13.95" customHeight="1">
      <c r="A181" s="1"/>
      <c r="B181" s="1"/>
      <c r="C181" s="33"/>
      <c r="D181" s="1"/>
      <c r="E181" s="3"/>
      <c r="F181" s="3"/>
      <c r="G181" s="5"/>
      <c r="I181" s="3"/>
      <c r="J181" s="3"/>
      <c r="K181" s="3"/>
      <c r="L181" s="103"/>
      <c r="M181" s="108"/>
      <c r="N181" s="9"/>
    </row>
    <row r="182" spans="1:14" ht="24.6" customHeight="1">
      <c r="A182" s="1">
        <f>A180+1</f>
        <v>31</v>
      </c>
      <c r="B182" s="1"/>
      <c r="C182" s="33" t="s">
        <v>285</v>
      </c>
      <c r="D182" s="1" t="s">
        <v>1</v>
      </c>
      <c r="E182" s="3">
        <f>SUM(I182:N182)</f>
        <v>81</v>
      </c>
      <c r="F182" s="3">
        <v>355</v>
      </c>
      <c r="G182" s="5">
        <f t="shared" ref="G182" si="40">+E182*F182</f>
        <v>28755</v>
      </c>
      <c r="I182" s="3">
        <v>81</v>
      </c>
      <c r="J182" s="3"/>
      <c r="K182" s="3"/>
      <c r="L182" s="104"/>
      <c r="M182" s="108"/>
      <c r="N182" s="9"/>
    </row>
    <row r="183" spans="1:14" ht="13.95" customHeight="1">
      <c r="A183" s="1"/>
      <c r="B183" s="1"/>
      <c r="C183" s="33"/>
      <c r="D183" s="1"/>
      <c r="E183" s="3"/>
      <c r="F183" s="3"/>
      <c r="G183" s="5"/>
      <c r="I183" s="3"/>
      <c r="J183" s="3"/>
      <c r="K183" s="3"/>
      <c r="L183" s="103"/>
      <c r="M183" s="108"/>
      <c r="N183" s="9"/>
    </row>
    <row r="184" spans="1:14" ht="23.4" customHeight="1">
      <c r="A184" s="1">
        <f>A182+1</f>
        <v>32</v>
      </c>
      <c r="B184" s="1"/>
      <c r="C184" s="33" t="s">
        <v>243</v>
      </c>
      <c r="D184" s="1" t="s">
        <v>1</v>
      </c>
      <c r="E184" s="3">
        <f>SUM(I184:N184)</f>
        <v>282</v>
      </c>
      <c r="F184" s="3">
        <v>195</v>
      </c>
      <c r="G184" s="5">
        <f t="shared" ref="G184" si="41">+E184*F184</f>
        <v>54990</v>
      </c>
      <c r="I184" s="3">
        <v>98</v>
      </c>
      <c r="J184" s="3"/>
      <c r="K184" s="3">
        <v>124</v>
      </c>
      <c r="L184" s="103"/>
      <c r="M184" s="108">
        <v>60</v>
      </c>
      <c r="N184" s="9"/>
    </row>
    <row r="185" spans="1:14" ht="13.95" customHeight="1">
      <c r="A185" s="1"/>
      <c r="B185" s="1"/>
      <c r="C185" s="33"/>
      <c r="D185" s="1"/>
      <c r="E185" s="3"/>
      <c r="F185" s="3"/>
      <c r="G185" s="5"/>
      <c r="I185" s="3"/>
      <c r="J185" s="3"/>
      <c r="K185" s="3"/>
      <c r="L185" s="103"/>
      <c r="M185" s="108"/>
      <c r="N185" s="9"/>
    </row>
    <row r="186" spans="1:14" ht="13.95" customHeight="1">
      <c r="A186" s="1"/>
      <c r="B186" s="1"/>
      <c r="C186" s="33" t="s">
        <v>239</v>
      </c>
      <c r="D186" s="1" t="s">
        <v>1</v>
      </c>
      <c r="E186" s="3">
        <f>SUM(I186:N186)</f>
        <v>88</v>
      </c>
      <c r="F186" s="3">
        <v>155</v>
      </c>
      <c r="G186" s="5">
        <f t="shared" ref="G186" si="42">+E186*F186</f>
        <v>13640</v>
      </c>
      <c r="I186" s="3">
        <v>88</v>
      </c>
      <c r="J186" s="3"/>
      <c r="K186" s="3"/>
      <c r="L186" s="103"/>
      <c r="M186" s="108"/>
      <c r="N186" s="9"/>
    </row>
    <row r="187" spans="1:14" ht="13.95" customHeight="1">
      <c r="A187" s="1"/>
      <c r="B187" s="1"/>
      <c r="C187" s="33"/>
      <c r="D187" s="1"/>
      <c r="E187" s="3"/>
      <c r="F187" s="4"/>
      <c r="G187" s="5"/>
      <c r="I187" s="3"/>
      <c r="J187" s="3"/>
      <c r="K187" s="3"/>
      <c r="L187" s="103"/>
      <c r="M187" s="108"/>
      <c r="N187" s="9"/>
    </row>
    <row r="188" spans="1:14" ht="13.95" customHeight="1">
      <c r="A188" s="1"/>
      <c r="B188" s="1"/>
      <c r="C188" s="32" t="s">
        <v>198</v>
      </c>
      <c r="D188" s="1"/>
      <c r="E188" s="3"/>
      <c r="F188" s="4"/>
      <c r="G188" s="5"/>
      <c r="I188" s="3"/>
      <c r="J188" s="3"/>
      <c r="K188" s="3"/>
      <c r="L188" s="103"/>
      <c r="M188" s="108"/>
      <c r="N188" s="9"/>
    </row>
    <row r="189" spans="1:14" ht="13.95" customHeight="1">
      <c r="A189" s="1"/>
      <c r="B189" s="1"/>
      <c r="C189" s="33"/>
      <c r="D189" s="1"/>
      <c r="E189" s="3"/>
      <c r="F189" s="4"/>
      <c r="G189" s="5"/>
      <c r="I189" s="3"/>
      <c r="J189" s="3"/>
      <c r="K189" s="3"/>
      <c r="L189" s="103"/>
      <c r="M189" s="108"/>
      <c r="N189" s="9"/>
    </row>
    <row r="190" spans="1:14" ht="13.95" customHeight="1">
      <c r="A190" s="1">
        <f>A184+1</f>
        <v>33</v>
      </c>
      <c r="B190" s="1"/>
      <c r="C190" s="33" t="s">
        <v>199</v>
      </c>
      <c r="D190" s="1" t="s">
        <v>1</v>
      </c>
      <c r="E190" s="3">
        <f>SUM(I190:N190)</f>
        <v>23</v>
      </c>
      <c r="F190" s="3">
        <f>F180</f>
        <v>375</v>
      </c>
      <c r="G190" s="5">
        <f t="shared" ref="G190" si="43">+E190*F190</f>
        <v>8625</v>
      </c>
      <c r="I190" s="3"/>
      <c r="J190" s="3">
        <v>23</v>
      </c>
      <c r="K190" s="3"/>
      <c r="L190" s="103"/>
      <c r="M190" s="108"/>
      <c r="N190" s="9"/>
    </row>
    <row r="191" spans="1:14" ht="13.95" customHeight="1">
      <c r="A191" s="1"/>
      <c r="B191" s="1"/>
      <c r="C191" s="33"/>
      <c r="D191" s="1"/>
      <c r="E191" s="3"/>
      <c r="F191" s="3"/>
      <c r="G191" s="5"/>
      <c r="I191" s="3"/>
      <c r="J191" s="3"/>
      <c r="K191" s="3"/>
      <c r="L191" s="103"/>
      <c r="M191" s="108"/>
      <c r="N191" s="9"/>
    </row>
    <row r="192" spans="1:14" ht="13.95" customHeight="1">
      <c r="A192" s="1">
        <f>A190+1</f>
        <v>34</v>
      </c>
      <c r="B192" s="1"/>
      <c r="C192" s="33" t="s">
        <v>200</v>
      </c>
      <c r="D192" s="1" t="s">
        <v>1</v>
      </c>
      <c r="E192" s="3">
        <f>SUM(I192:N192)</f>
        <v>19</v>
      </c>
      <c r="F192" s="3">
        <v>395</v>
      </c>
      <c r="G192" s="5">
        <f t="shared" ref="G192" si="44">+E192*F192</f>
        <v>7505</v>
      </c>
      <c r="I192" s="3"/>
      <c r="J192" s="3">
        <v>19</v>
      </c>
      <c r="K192" s="3"/>
      <c r="L192" s="103"/>
      <c r="M192" s="108"/>
      <c r="N192" s="9"/>
    </row>
    <row r="193" spans="1:14" ht="13.95" customHeight="1">
      <c r="A193" s="1"/>
      <c r="B193" s="1"/>
      <c r="C193" s="33"/>
      <c r="D193" s="1"/>
      <c r="E193" s="3"/>
      <c r="F193" s="3"/>
      <c r="G193" s="5"/>
      <c r="I193" s="3"/>
      <c r="J193" s="3"/>
      <c r="K193" s="3"/>
      <c r="L193" s="103"/>
      <c r="M193" s="108"/>
      <c r="N193" s="9"/>
    </row>
    <row r="194" spans="1:14" ht="13.95" customHeight="1">
      <c r="A194" s="1">
        <f>A192+1</f>
        <v>35</v>
      </c>
      <c r="B194" s="1"/>
      <c r="C194" s="33" t="s">
        <v>214</v>
      </c>
      <c r="D194" s="1" t="s">
        <v>1</v>
      </c>
      <c r="E194" s="3">
        <f>SUM(I194:N194)</f>
        <v>12</v>
      </c>
      <c r="F194" s="3">
        <v>395</v>
      </c>
      <c r="G194" s="5">
        <f t="shared" ref="G194" si="45">+E194*F194</f>
        <v>4740</v>
      </c>
      <c r="I194" s="3"/>
      <c r="J194" s="3">
        <v>12</v>
      </c>
      <c r="K194" s="3"/>
      <c r="L194" s="103"/>
      <c r="M194" s="108"/>
      <c r="N194" s="9"/>
    </row>
    <row r="195" spans="1:14" ht="13.95" customHeight="1">
      <c r="A195" s="1"/>
      <c r="B195" s="1"/>
      <c r="C195" s="33"/>
      <c r="D195" s="1"/>
      <c r="E195" s="3"/>
      <c r="F195" s="3"/>
      <c r="G195" s="5"/>
      <c r="I195" s="3"/>
      <c r="J195" s="3"/>
      <c r="K195" s="3"/>
      <c r="L195" s="103"/>
      <c r="M195" s="108"/>
      <c r="N195" s="9"/>
    </row>
    <row r="196" spans="1:14" ht="13.95" customHeight="1">
      <c r="A196" s="1"/>
      <c r="B196" s="1"/>
      <c r="C196" s="33"/>
      <c r="D196" s="1"/>
      <c r="E196" s="3"/>
      <c r="F196" s="4"/>
      <c r="G196" s="5"/>
      <c r="I196" s="3"/>
      <c r="J196" s="3"/>
      <c r="K196" s="3"/>
      <c r="L196" s="103"/>
      <c r="M196" s="108"/>
      <c r="N196" s="9"/>
    </row>
    <row r="197" spans="1:14" ht="13.95" customHeight="1">
      <c r="A197" s="1"/>
      <c r="B197" s="1"/>
      <c r="C197" s="33"/>
      <c r="D197" s="1"/>
      <c r="E197" s="3"/>
      <c r="F197" s="4"/>
      <c r="G197" s="5"/>
      <c r="I197" s="3"/>
      <c r="J197" s="3"/>
      <c r="K197" s="3"/>
      <c r="L197" s="103"/>
      <c r="M197" s="108"/>
      <c r="N197" s="9"/>
    </row>
    <row r="198" spans="1:14" ht="20.100000000000001" customHeight="1">
      <c r="A198" s="149" t="s">
        <v>66</v>
      </c>
      <c r="B198" s="150"/>
      <c r="C198" s="150"/>
      <c r="D198" s="150"/>
      <c r="E198" s="150"/>
      <c r="F198" s="151"/>
      <c r="G198" s="116">
        <f>SUM(G152:G197)</f>
        <v>2226498.7000000002</v>
      </c>
      <c r="I198" s="9"/>
      <c r="J198" s="9"/>
      <c r="K198" s="9"/>
      <c r="L198" s="103"/>
      <c r="M198" s="108"/>
      <c r="N198" s="9"/>
    </row>
    <row r="199" spans="1:14" ht="13.95" customHeight="1">
      <c r="A199" s="39"/>
      <c r="B199" s="39"/>
      <c r="C199" s="39"/>
      <c r="D199" s="39"/>
      <c r="E199" s="39"/>
      <c r="F199" s="39"/>
      <c r="G199" s="113"/>
      <c r="I199" s="9"/>
      <c r="J199" s="9"/>
      <c r="K199" s="9"/>
      <c r="L199" s="103"/>
      <c r="M199" s="108"/>
      <c r="N199" s="9"/>
    </row>
    <row r="200" spans="1:14" ht="13.95" customHeight="1">
      <c r="A200" s="39"/>
      <c r="B200" s="39"/>
      <c r="C200" s="39"/>
      <c r="D200" s="39"/>
      <c r="E200" s="39"/>
      <c r="F200" s="39"/>
      <c r="G200" s="113"/>
      <c r="I200" s="9"/>
      <c r="J200" s="9"/>
      <c r="K200" s="9"/>
      <c r="L200" s="103"/>
      <c r="M200" s="108"/>
      <c r="N200" s="9"/>
    </row>
    <row r="201" spans="1:14" ht="22.2" customHeight="1">
      <c r="A201" s="44" t="s">
        <v>8</v>
      </c>
      <c r="B201" s="48" t="s">
        <v>9</v>
      </c>
      <c r="C201" s="44" t="s">
        <v>10</v>
      </c>
      <c r="D201" s="48" t="s">
        <v>11</v>
      </c>
      <c r="E201" s="48" t="s">
        <v>59</v>
      </c>
      <c r="F201" s="49" t="s">
        <v>12</v>
      </c>
      <c r="G201" s="111" t="s">
        <v>13</v>
      </c>
      <c r="I201" s="9"/>
      <c r="J201" s="9"/>
      <c r="K201" s="9"/>
      <c r="L201" s="103"/>
      <c r="M201" s="108"/>
      <c r="N201" s="9"/>
    </row>
    <row r="202" spans="1:14" ht="20.100000000000001" customHeight="1">
      <c r="A202" s="149" t="s">
        <v>67</v>
      </c>
      <c r="B202" s="150"/>
      <c r="C202" s="150"/>
      <c r="D202" s="150"/>
      <c r="E202" s="150"/>
      <c r="F202" s="151"/>
      <c r="G202" s="116">
        <f>+G198</f>
        <v>2226498.7000000002</v>
      </c>
      <c r="I202" s="9"/>
      <c r="J202" s="9"/>
      <c r="K202" s="9"/>
      <c r="L202" s="103"/>
      <c r="M202" s="108"/>
      <c r="N202" s="9"/>
    </row>
    <row r="203" spans="1:14" ht="13.95" customHeight="1">
      <c r="A203" s="1"/>
      <c r="B203" s="1"/>
      <c r="C203" s="33"/>
      <c r="D203" s="1"/>
      <c r="E203" s="3"/>
      <c r="F203" s="4"/>
      <c r="G203" s="5"/>
      <c r="I203" s="3"/>
      <c r="J203" s="3"/>
      <c r="K203" s="3"/>
      <c r="L203" s="103"/>
      <c r="M203" s="108"/>
      <c r="N203" s="9"/>
    </row>
    <row r="204" spans="1:14" ht="13.95" customHeight="1">
      <c r="A204" s="9"/>
      <c r="B204" s="1" t="s">
        <v>98</v>
      </c>
      <c r="C204" s="34" t="s">
        <v>30</v>
      </c>
      <c r="D204" s="1"/>
      <c r="E204" s="3"/>
      <c r="F204" s="4"/>
      <c r="G204" s="5"/>
      <c r="I204" s="3"/>
      <c r="J204" s="3"/>
      <c r="K204" s="3"/>
      <c r="L204" s="103"/>
      <c r="M204" s="108"/>
      <c r="N204" s="9"/>
    </row>
    <row r="205" spans="1:14" ht="13.95" customHeight="1">
      <c r="A205" s="9"/>
      <c r="B205" s="1"/>
      <c r="C205" s="33"/>
      <c r="D205" s="1"/>
      <c r="E205" s="3"/>
      <c r="F205" s="4"/>
      <c r="G205" s="5"/>
      <c r="I205" s="3"/>
      <c r="J205" s="3"/>
      <c r="K205" s="3"/>
      <c r="L205" s="103"/>
      <c r="M205" s="108"/>
      <c r="N205" s="9"/>
    </row>
    <row r="206" spans="1:14" ht="13.95" customHeight="1">
      <c r="A206" s="9"/>
      <c r="B206" s="1"/>
      <c r="C206" s="33" t="s">
        <v>31</v>
      </c>
      <c r="D206" s="1"/>
      <c r="E206" s="3"/>
      <c r="F206" s="4"/>
      <c r="G206" s="5"/>
      <c r="I206" s="3"/>
      <c r="J206" s="3"/>
      <c r="K206" s="3"/>
      <c r="L206" s="103"/>
      <c r="M206" s="108"/>
      <c r="N206" s="9"/>
    </row>
    <row r="207" spans="1:14" ht="13.95" customHeight="1">
      <c r="A207" s="9"/>
      <c r="B207" s="1"/>
      <c r="C207" s="33"/>
      <c r="D207" s="1"/>
      <c r="E207" s="3"/>
      <c r="F207" s="4"/>
      <c r="G207" s="5"/>
      <c r="I207" s="3"/>
      <c r="J207" s="3"/>
      <c r="K207" s="3"/>
      <c r="L207" s="103"/>
      <c r="M207" s="108"/>
      <c r="N207" s="9"/>
    </row>
    <row r="208" spans="1:14" ht="13.95" customHeight="1">
      <c r="A208" s="9">
        <f>A194+1</f>
        <v>36</v>
      </c>
      <c r="B208" s="1"/>
      <c r="C208" s="33" t="s">
        <v>32</v>
      </c>
      <c r="D208" s="1" t="s">
        <v>51</v>
      </c>
      <c r="E208" s="3">
        <f>SUM(I208:N208)</f>
        <v>16.3</v>
      </c>
      <c r="F208" s="3">
        <v>35000</v>
      </c>
      <c r="G208" s="5">
        <f t="shared" ref="G208" si="46">+E208*F208</f>
        <v>570500</v>
      </c>
      <c r="I208" s="4"/>
      <c r="J208" s="4"/>
      <c r="K208" s="4">
        <v>14.42</v>
      </c>
      <c r="L208" s="103"/>
      <c r="M208" s="108">
        <v>1.88</v>
      </c>
      <c r="N208" s="9"/>
    </row>
    <row r="209" spans="1:14" ht="13.95" customHeight="1">
      <c r="A209" s="9"/>
      <c r="B209" s="1"/>
      <c r="C209" s="33"/>
      <c r="D209" s="1"/>
      <c r="E209" s="4"/>
      <c r="F209" s="3"/>
      <c r="G209" s="5"/>
      <c r="I209" s="4"/>
      <c r="J209" s="4"/>
      <c r="K209" s="4"/>
      <c r="L209" s="103"/>
      <c r="M209" s="108"/>
      <c r="N209" s="9"/>
    </row>
    <row r="210" spans="1:14" ht="13.95" customHeight="1">
      <c r="A210" s="9"/>
      <c r="B210" s="1"/>
      <c r="C210" s="37" t="s">
        <v>40</v>
      </c>
      <c r="D210" s="1"/>
      <c r="E210" s="4"/>
      <c r="F210" s="3"/>
      <c r="G210" s="5"/>
      <c r="I210" s="4"/>
      <c r="J210" s="4"/>
      <c r="K210" s="4"/>
      <c r="L210" s="103"/>
      <c r="M210" s="108"/>
      <c r="N210" s="9"/>
    </row>
    <row r="211" spans="1:14" ht="13.95" customHeight="1">
      <c r="A211" s="9"/>
      <c r="B211" s="1"/>
      <c r="C211" s="33"/>
      <c r="D211" s="1"/>
      <c r="E211" s="4"/>
      <c r="F211" s="3"/>
      <c r="G211" s="5"/>
      <c r="I211" s="4"/>
      <c r="J211" s="4"/>
      <c r="K211" s="4"/>
      <c r="L211" s="103"/>
      <c r="M211" s="108"/>
      <c r="N211" s="9"/>
    </row>
    <row r="212" spans="1:14" ht="13.95" customHeight="1">
      <c r="A212" s="9">
        <f>A208+1</f>
        <v>37</v>
      </c>
      <c r="B212" s="1"/>
      <c r="C212" s="33" t="s">
        <v>32</v>
      </c>
      <c r="D212" s="1" t="s">
        <v>51</v>
      </c>
      <c r="E212" s="3">
        <f>SUM(I212:N212)</f>
        <v>0.14000000000000001</v>
      </c>
      <c r="F212" s="3">
        <f>F208</f>
        <v>35000</v>
      </c>
      <c r="G212" s="5">
        <f t="shared" ref="G212" si="47">+E212*F212</f>
        <v>4900.0000000000009</v>
      </c>
      <c r="I212" s="4"/>
      <c r="J212" s="4"/>
      <c r="K212" s="4"/>
      <c r="L212" s="103"/>
      <c r="M212" s="108">
        <v>0.14000000000000001</v>
      </c>
      <c r="N212" s="9"/>
    </row>
    <row r="213" spans="1:14" ht="13.95" customHeight="1">
      <c r="A213" s="1"/>
      <c r="B213" s="1"/>
      <c r="C213" s="33"/>
      <c r="D213" s="1"/>
      <c r="E213" s="3"/>
      <c r="F213" s="4"/>
      <c r="G213" s="5"/>
      <c r="I213" s="3"/>
      <c r="J213" s="3"/>
      <c r="K213" s="3"/>
      <c r="L213" s="103"/>
      <c r="M213" s="108"/>
      <c r="N213" s="9"/>
    </row>
    <row r="214" spans="1:14" ht="24.6" customHeight="1">
      <c r="A214" s="9"/>
      <c r="B214" s="1" t="s">
        <v>99</v>
      </c>
      <c r="C214" s="34" t="s">
        <v>63</v>
      </c>
      <c r="D214" s="1"/>
      <c r="E214" s="3"/>
      <c r="F214" s="4"/>
      <c r="G214" s="5"/>
      <c r="I214" s="9"/>
      <c r="J214" s="9"/>
      <c r="K214" s="9"/>
      <c r="L214" s="103"/>
      <c r="M214" s="108"/>
      <c r="N214" s="9"/>
    </row>
    <row r="215" spans="1:14" ht="13.95" customHeight="1">
      <c r="A215" s="9"/>
      <c r="B215" s="1"/>
      <c r="C215" s="34"/>
      <c r="D215" s="1"/>
      <c r="E215" s="3"/>
      <c r="F215" s="4"/>
      <c r="G215" s="5"/>
      <c r="I215" s="9"/>
      <c r="J215" s="9"/>
      <c r="K215" s="9"/>
      <c r="L215" s="103"/>
      <c r="M215" s="108"/>
      <c r="N215" s="9"/>
    </row>
    <row r="216" spans="1:14" ht="22.95" customHeight="1">
      <c r="A216" s="9"/>
      <c r="B216" s="1"/>
      <c r="C216" s="34" t="s">
        <v>58</v>
      </c>
      <c r="D216" s="1"/>
      <c r="E216" s="3"/>
      <c r="F216" s="4"/>
      <c r="G216" s="5"/>
      <c r="I216" s="9"/>
      <c r="J216" s="9"/>
      <c r="K216" s="9"/>
      <c r="L216" s="103"/>
      <c r="M216" s="108"/>
      <c r="N216" s="9"/>
    </row>
    <row r="217" spans="1:14" ht="13.95" customHeight="1">
      <c r="A217" s="9"/>
      <c r="B217" s="1"/>
      <c r="C217" s="33"/>
      <c r="D217" s="1"/>
      <c r="E217" s="3"/>
      <c r="F217" s="4"/>
      <c r="G217" s="5"/>
      <c r="I217" s="9"/>
      <c r="J217" s="9"/>
      <c r="K217" s="9"/>
      <c r="L217" s="103"/>
      <c r="M217" s="108"/>
      <c r="N217" s="9"/>
    </row>
    <row r="218" spans="1:14" ht="46.2" customHeight="1">
      <c r="A218" s="9">
        <f>A212+1</f>
        <v>38</v>
      </c>
      <c r="B218" s="1"/>
      <c r="C218" s="33" t="s">
        <v>240</v>
      </c>
      <c r="D218" s="1" t="s">
        <v>6</v>
      </c>
      <c r="E218" s="3">
        <f>SUM(I218:N218)</f>
        <v>40</v>
      </c>
      <c r="F218" s="3">
        <v>275</v>
      </c>
      <c r="G218" s="5">
        <f t="shared" ref="G218" si="48">+E218*F218</f>
        <v>11000</v>
      </c>
      <c r="I218" s="9"/>
      <c r="J218" s="9"/>
      <c r="K218" s="9">
        <v>8</v>
      </c>
      <c r="L218" s="103"/>
      <c r="M218" s="108">
        <v>32</v>
      </c>
      <c r="N218" s="9"/>
    </row>
    <row r="219" spans="1:14" ht="13.95" customHeight="1">
      <c r="A219" s="9"/>
      <c r="B219" s="1"/>
      <c r="C219" s="33"/>
      <c r="D219" s="1"/>
      <c r="E219" s="3"/>
      <c r="F219" s="3"/>
      <c r="G219" s="5"/>
      <c r="I219" s="9"/>
      <c r="J219" s="9"/>
      <c r="K219" s="9"/>
      <c r="L219" s="103"/>
      <c r="M219" s="108"/>
      <c r="N219" s="9"/>
    </row>
    <row r="220" spans="1:14" ht="48" customHeight="1">
      <c r="A220" s="9">
        <f>A218+1</f>
        <v>39</v>
      </c>
      <c r="B220" s="1"/>
      <c r="C220" s="33" t="s">
        <v>227</v>
      </c>
      <c r="D220" s="1" t="s">
        <v>6</v>
      </c>
      <c r="E220" s="3">
        <f>SUM(I220:N220)</f>
        <v>0</v>
      </c>
      <c r="F220" s="3">
        <v>975</v>
      </c>
      <c r="G220" s="5">
        <f t="shared" ref="G220" si="49">+E220*F220</f>
        <v>0</v>
      </c>
      <c r="I220" s="45"/>
      <c r="J220" s="45"/>
      <c r="K220" s="45"/>
      <c r="L220" s="103"/>
      <c r="M220" s="108"/>
      <c r="N220" s="9"/>
    </row>
    <row r="221" spans="1:14" ht="12.6" customHeight="1">
      <c r="A221" s="9"/>
      <c r="B221" s="1"/>
      <c r="C221" s="33"/>
      <c r="D221" s="1"/>
      <c r="E221" s="3"/>
      <c r="F221" s="4"/>
      <c r="G221" s="5"/>
      <c r="I221" s="9"/>
      <c r="J221" s="9"/>
      <c r="K221" s="9"/>
      <c r="L221" s="103"/>
      <c r="M221" s="108"/>
      <c r="N221" s="9"/>
    </row>
    <row r="222" spans="1:14" ht="13.95" customHeight="1">
      <c r="A222" s="1"/>
      <c r="B222" s="1" t="s">
        <v>103</v>
      </c>
      <c r="C222" s="34" t="s">
        <v>7</v>
      </c>
      <c r="D222" s="1"/>
      <c r="E222" s="3"/>
      <c r="F222" s="4"/>
      <c r="G222" s="5"/>
      <c r="I222" s="9"/>
      <c r="J222" s="9"/>
      <c r="K222" s="9"/>
      <c r="L222" s="103"/>
      <c r="M222" s="108"/>
      <c r="N222" s="9"/>
    </row>
    <row r="223" spans="1:14" ht="13.95" customHeight="1">
      <c r="A223" s="1"/>
      <c r="B223" s="1"/>
      <c r="C223" s="33"/>
      <c r="D223" s="1"/>
      <c r="E223" s="3"/>
      <c r="F223" s="4"/>
      <c r="G223" s="5"/>
      <c r="I223" s="9"/>
      <c r="J223" s="9"/>
      <c r="K223" s="9"/>
      <c r="L223" s="103"/>
      <c r="M223" s="108"/>
      <c r="N223" s="9"/>
    </row>
    <row r="224" spans="1:14" ht="13.95" customHeight="1">
      <c r="A224" s="1"/>
      <c r="B224" s="1"/>
      <c r="C224" s="33" t="s">
        <v>68</v>
      </c>
      <c r="D224" s="1"/>
      <c r="E224" s="3"/>
      <c r="F224" s="4"/>
      <c r="G224" s="5"/>
      <c r="I224" s="9"/>
      <c r="J224" s="9"/>
      <c r="K224" s="9"/>
      <c r="L224" s="103"/>
      <c r="M224" s="108"/>
      <c r="N224" s="9"/>
    </row>
    <row r="225" spans="1:14" ht="13.95" customHeight="1">
      <c r="A225" s="1"/>
      <c r="B225" s="1"/>
      <c r="C225" s="33"/>
      <c r="D225" s="1"/>
      <c r="E225" s="3"/>
      <c r="F225" s="4"/>
      <c r="G225" s="5"/>
      <c r="I225" s="9"/>
      <c r="J225" s="9"/>
      <c r="K225" s="9"/>
      <c r="L225" s="103"/>
      <c r="M225" s="108"/>
      <c r="N225" s="9"/>
    </row>
    <row r="226" spans="1:14" ht="22.95" customHeight="1">
      <c r="A226" s="1">
        <f>A220+1</f>
        <v>40</v>
      </c>
      <c r="B226" s="1"/>
      <c r="C226" s="33" t="s">
        <v>197</v>
      </c>
      <c r="D226" s="1" t="s">
        <v>60</v>
      </c>
      <c r="E226" s="3">
        <f>SUM(I226:N226)</f>
        <v>594</v>
      </c>
      <c r="F226" s="13">
        <v>165</v>
      </c>
      <c r="G226" s="5">
        <f t="shared" ref="G226" si="50">+E226*F226</f>
        <v>98010</v>
      </c>
      <c r="I226" s="9">
        <v>594</v>
      </c>
      <c r="J226" s="9"/>
      <c r="K226" s="9"/>
      <c r="L226" s="103"/>
      <c r="M226" s="108"/>
      <c r="N226" s="9"/>
    </row>
    <row r="227" spans="1:14" ht="13.95" customHeight="1">
      <c r="A227" s="1"/>
      <c r="B227" s="1"/>
      <c r="C227" s="33"/>
      <c r="D227" s="35"/>
      <c r="E227" s="3"/>
      <c r="F227" s="4"/>
      <c r="G227" s="5"/>
      <c r="I227" s="9"/>
      <c r="J227" s="9"/>
      <c r="K227" s="9"/>
      <c r="L227" s="103"/>
      <c r="M227" s="108"/>
      <c r="N227" s="9"/>
    </row>
    <row r="228" spans="1:14" ht="13.95" customHeight="1">
      <c r="A228" s="1"/>
      <c r="B228" s="1"/>
      <c r="C228" s="46" t="s">
        <v>231</v>
      </c>
      <c r="D228" s="1"/>
      <c r="E228" s="3"/>
      <c r="F228" s="4"/>
      <c r="G228" s="5"/>
      <c r="I228" s="9"/>
      <c r="J228" s="9"/>
      <c r="K228" s="9"/>
      <c r="L228" s="103"/>
      <c r="M228" s="108"/>
      <c r="N228" s="9"/>
    </row>
    <row r="229" spans="1:14" ht="13.95" customHeight="1">
      <c r="A229" s="1"/>
      <c r="B229" s="1"/>
      <c r="C229" s="47"/>
      <c r="D229" s="35"/>
      <c r="E229" s="3"/>
      <c r="F229" s="4"/>
      <c r="G229" s="5"/>
      <c r="I229" s="9"/>
      <c r="J229" s="9"/>
      <c r="K229" s="9"/>
      <c r="L229" s="103"/>
      <c r="M229" s="108"/>
      <c r="N229" s="9"/>
    </row>
    <row r="230" spans="1:14" ht="48.6" customHeight="1">
      <c r="A230" s="1">
        <f>A226+1</f>
        <v>41</v>
      </c>
      <c r="B230" s="1"/>
      <c r="C230" s="55" t="s">
        <v>75</v>
      </c>
      <c r="D230" s="1" t="s">
        <v>51</v>
      </c>
      <c r="E230" s="3">
        <f>SUM(I230:N230)</f>
        <v>0</v>
      </c>
      <c r="F230" s="3">
        <v>1185</v>
      </c>
      <c r="G230" s="5">
        <f t="shared" ref="G230" si="51">+E230*F230</f>
        <v>0</v>
      </c>
      <c r="I230" s="9"/>
      <c r="J230" s="9"/>
      <c r="K230" s="9"/>
      <c r="L230" s="103"/>
      <c r="M230" s="108"/>
      <c r="N230" s="9"/>
    </row>
    <row r="231" spans="1:14">
      <c r="A231" s="1"/>
      <c r="B231" s="1"/>
      <c r="C231" s="55"/>
      <c r="D231" s="35"/>
      <c r="E231" s="3"/>
      <c r="F231" s="3"/>
      <c r="G231" s="5"/>
      <c r="I231" s="9"/>
      <c r="J231" s="9"/>
      <c r="K231" s="9"/>
      <c r="L231" s="103"/>
      <c r="M231" s="108"/>
      <c r="N231" s="9"/>
    </row>
    <row r="232" spans="1:14">
      <c r="A232" s="1"/>
      <c r="B232" s="1"/>
      <c r="C232" s="55"/>
      <c r="D232" s="35"/>
      <c r="E232" s="3"/>
      <c r="F232" s="3"/>
      <c r="G232" s="5"/>
      <c r="I232" s="9"/>
      <c r="J232" s="9"/>
      <c r="K232" s="9"/>
      <c r="L232" s="103"/>
      <c r="M232" s="108"/>
      <c r="N232" s="9"/>
    </row>
    <row r="233" spans="1:14">
      <c r="A233" s="1"/>
      <c r="B233" s="1"/>
      <c r="C233" s="55"/>
      <c r="D233" s="35"/>
      <c r="E233" s="3"/>
      <c r="F233" s="3"/>
      <c r="G233" s="5"/>
      <c r="I233" s="9"/>
      <c r="J233" s="9"/>
      <c r="K233" s="9"/>
      <c r="L233" s="103"/>
      <c r="M233" s="108"/>
      <c r="N233" s="9"/>
    </row>
    <row r="234" spans="1:14">
      <c r="A234" s="1"/>
      <c r="B234" s="1"/>
      <c r="C234" s="55"/>
      <c r="D234" s="35"/>
      <c r="E234" s="3"/>
      <c r="F234" s="3"/>
      <c r="G234" s="5"/>
      <c r="I234" s="9"/>
      <c r="J234" s="9"/>
      <c r="K234" s="9"/>
      <c r="L234" s="103"/>
      <c r="M234" s="108"/>
      <c r="N234" s="9"/>
    </row>
    <row r="235" spans="1:14">
      <c r="A235" s="1"/>
      <c r="B235" s="1"/>
      <c r="C235" s="55"/>
      <c r="D235" s="35"/>
      <c r="E235" s="3"/>
      <c r="F235" s="3"/>
      <c r="G235" s="5"/>
      <c r="I235" s="9"/>
      <c r="J235" s="9"/>
      <c r="K235" s="9"/>
      <c r="L235" s="103"/>
      <c r="M235" s="108"/>
      <c r="N235" s="9"/>
    </row>
    <row r="236" spans="1:14">
      <c r="A236" s="1"/>
      <c r="B236" s="1"/>
      <c r="C236" s="55"/>
      <c r="D236" s="35"/>
      <c r="E236" s="3"/>
      <c r="F236" s="3"/>
      <c r="G236" s="5"/>
      <c r="I236" s="9"/>
      <c r="J236" s="9"/>
      <c r="K236" s="9"/>
      <c r="L236" s="103"/>
      <c r="M236" s="108"/>
      <c r="N236" s="9"/>
    </row>
    <row r="237" spans="1:14" ht="13.95" customHeight="1">
      <c r="A237" s="1"/>
      <c r="B237" s="1"/>
      <c r="C237" s="55"/>
      <c r="D237" s="35"/>
      <c r="E237" s="3"/>
      <c r="F237" s="4"/>
      <c r="G237" s="5"/>
      <c r="I237" s="9"/>
      <c r="J237" s="9"/>
      <c r="K237" s="9"/>
      <c r="L237" s="103"/>
      <c r="M237" s="108"/>
      <c r="N237" s="9"/>
    </row>
    <row r="238" spans="1:14" ht="13.95" customHeight="1">
      <c r="A238" s="1"/>
      <c r="B238" s="1"/>
      <c r="C238" s="55"/>
      <c r="D238" s="35"/>
      <c r="E238" s="3"/>
      <c r="F238" s="4"/>
      <c r="G238" s="5"/>
      <c r="I238" s="9"/>
      <c r="J238" s="9"/>
      <c r="K238" s="9"/>
      <c r="L238" s="103"/>
      <c r="M238" s="108"/>
      <c r="N238" s="9"/>
    </row>
    <row r="239" spans="1:14" ht="13.95" customHeight="1">
      <c r="A239" s="1"/>
      <c r="B239" s="1"/>
      <c r="C239" s="55"/>
      <c r="D239" s="35"/>
      <c r="E239" s="3"/>
      <c r="F239" s="4"/>
      <c r="G239" s="5"/>
      <c r="I239" s="9"/>
      <c r="J239" s="9"/>
      <c r="K239" s="9"/>
      <c r="L239" s="103"/>
      <c r="M239" s="108"/>
      <c r="N239" s="9"/>
    </row>
    <row r="240" spans="1:14" ht="13.95" customHeight="1">
      <c r="A240" s="1"/>
      <c r="B240" s="1"/>
      <c r="C240" s="55"/>
      <c r="D240" s="35"/>
      <c r="E240" s="3"/>
      <c r="F240" s="4"/>
      <c r="G240" s="5"/>
      <c r="I240" s="9"/>
      <c r="J240" s="9"/>
      <c r="K240" s="9"/>
      <c r="L240" s="103"/>
      <c r="M240" s="108"/>
      <c r="N240" s="9"/>
    </row>
    <row r="241" spans="1:14" ht="13.95" customHeight="1">
      <c r="A241" s="1"/>
      <c r="B241" s="1"/>
      <c r="C241" s="55"/>
      <c r="D241" s="35"/>
      <c r="E241" s="3"/>
      <c r="F241" s="4"/>
      <c r="G241" s="5"/>
      <c r="I241" s="9"/>
      <c r="J241" s="9"/>
      <c r="K241" s="9"/>
      <c r="L241" s="103"/>
      <c r="M241" s="108"/>
      <c r="N241" s="9"/>
    </row>
    <row r="242" spans="1:14" ht="20.100000000000001" customHeight="1">
      <c r="A242" s="149" t="s">
        <v>66</v>
      </c>
      <c r="B242" s="150"/>
      <c r="C242" s="150"/>
      <c r="D242" s="150"/>
      <c r="E242" s="150"/>
      <c r="F242" s="151"/>
      <c r="G242" s="116">
        <f>SUM(G202:G241)</f>
        <v>2910908.7</v>
      </c>
      <c r="I242" s="9"/>
      <c r="J242" s="9"/>
      <c r="K242" s="9"/>
      <c r="L242" s="103"/>
      <c r="M242" s="108"/>
      <c r="N242" s="9"/>
    </row>
    <row r="243" spans="1:14" ht="13.95" customHeight="1">
      <c r="A243" s="39"/>
      <c r="B243" s="39"/>
      <c r="C243" s="39"/>
      <c r="D243" s="39"/>
      <c r="E243" s="39"/>
      <c r="F243" s="39"/>
      <c r="G243" s="113"/>
      <c r="I243" s="9"/>
      <c r="J243" s="9"/>
      <c r="K243" s="9"/>
      <c r="L243" s="103"/>
      <c r="M243" s="108"/>
      <c r="N243" s="9"/>
    </row>
    <row r="244" spans="1:14" ht="13.95" customHeight="1">
      <c r="A244" s="39"/>
      <c r="B244" s="39"/>
      <c r="C244" s="39"/>
      <c r="D244" s="39"/>
      <c r="E244" s="39"/>
      <c r="F244" s="39"/>
      <c r="G244" s="113"/>
      <c r="I244" s="9"/>
      <c r="J244" s="9"/>
      <c r="K244" s="9"/>
      <c r="L244" s="103"/>
      <c r="M244" s="108"/>
      <c r="N244" s="9"/>
    </row>
    <row r="245" spans="1:14" ht="22.2" customHeight="1">
      <c r="A245" s="44" t="s">
        <v>8</v>
      </c>
      <c r="B245" s="48" t="s">
        <v>9</v>
      </c>
      <c r="C245" s="44" t="s">
        <v>10</v>
      </c>
      <c r="D245" s="48" t="s">
        <v>11</v>
      </c>
      <c r="E245" s="48" t="s">
        <v>59</v>
      </c>
      <c r="F245" s="49" t="s">
        <v>12</v>
      </c>
      <c r="G245" s="111" t="s">
        <v>13</v>
      </c>
      <c r="I245" s="9"/>
      <c r="J245" s="9"/>
      <c r="K245" s="9"/>
      <c r="L245" s="103"/>
      <c r="M245" s="108"/>
      <c r="N245" s="9"/>
    </row>
    <row r="246" spans="1:14" ht="20.100000000000001" customHeight="1">
      <c r="A246" s="149" t="s">
        <v>67</v>
      </c>
      <c r="B246" s="150"/>
      <c r="C246" s="150"/>
      <c r="D246" s="150"/>
      <c r="E246" s="150"/>
      <c r="F246" s="151"/>
      <c r="G246" s="116">
        <f>+G242</f>
        <v>2910908.7</v>
      </c>
      <c r="I246" s="9"/>
      <c r="J246" s="9"/>
      <c r="K246" s="9"/>
      <c r="L246" s="103"/>
      <c r="M246" s="108"/>
      <c r="N246" s="9"/>
    </row>
    <row r="247" spans="1:14" ht="13.95" customHeight="1">
      <c r="A247" s="1"/>
      <c r="B247" s="1"/>
      <c r="C247" s="55"/>
      <c r="D247" s="35"/>
      <c r="E247" s="3"/>
      <c r="F247" s="4"/>
      <c r="G247" s="5"/>
      <c r="I247" s="9"/>
      <c r="J247" s="9"/>
      <c r="K247" s="9"/>
      <c r="L247" s="103"/>
      <c r="M247" s="108"/>
      <c r="N247" s="9"/>
    </row>
    <row r="248" spans="1:14" ht="13.95" customHeight="1">
      <c r="A248" s="1"/>
      <c r="B248" s="1"/>
      <c r="C248" s="56" t="s">
        <v>230</v>
      </c>
      <c r="D248" s="9"/>
      <c r="E248" s="9"/>
      <c r="F248" s="122"/>
      <c r="G248" s="5"/>
      <c r="I248" s="9"/>
      <c r="J248" s="9"/>
      <c r="K248" s="9"/>
      <c r="L248" s="103"/>
      <c r="M248" s="108"/>
      <c r="N248" s="9"/>
    </row>
    <row r="249" spans="1:14" ht="13.95" customHeight="1">
      <c r="A249" s="1"/>
      <c r="B249" s="1"/>
      <c r="C249" s="57"/>
      <c r="D249" s="9"/>
      <c r="E249" s="9"/>
      <c r="F249" s="122"/>
      <c r="G249" s="5"/>
      <c r="I249" s="9"/>
      <c r="J249" s="9"/>
      <c r="K249" s="9"/>
      <c r="L249" s="103"/>
      <c r="M249" s="108"/>
      <c r="N249" s="9"/>
    </row>
    <row r="250" spans="1:14" ht="48" customHeight="1">
      <c r="A250" s="1"/>
      <c r="B250" s="1"/>
      <c r="C250" s="33" t="s">
        <v>242</v>
      </c>
      <c r="D250" s="57"/>
      <c r="E250" s="57"/>
      <c r="F250" s="57"/>
      <c r="G250" s="5"/>
      <c r="I250" s="9"/>
      <c r="J250" s="9"/>
      <c r="K250" s="9"/>
      <c r="L250" s="103"/>
      <c r="M250" s="108"/>
      <c r="N250" s="9"/>
    </row>
    <row r="251" spans="1:14" ht="13.95" customHeight="1">
      <c r="A251" s="1"/>
      <c r="B251" s="1"/>
      <c r="C251" s="33"/>
      <c r="D251" s="9"/>
      <c r="E251" s="9"/>
      <c r="F251" s="122"/>
      <c r="G251" s="5"/>
      <c r="I251" s="9"/>
      <c r="J251" s="9"/>
      <c r="K251" s="9"/>
      <c r="L251" s="103"/>
      <c r="M251" s="108"/>
      <c r="N251" s="9"/>
    </row>
    <row r="252" spans="1:14" ht="25.95" customHeight="1">
      <c r="A252" s="1"/>
      <c r="B252" s="1"/>
      <c r="C252" s="33" t="s">
        <v>232</v>
      </c>
      <c r="D252" s="9"/>
      <c r="E252" s="9"/>
      <c r="F252" s="122"/>
      <c r="G252" s="5"/>
      <c r="I252" s="9"/>
      <c r="J252" s="9"/>
      <c r="K252" s="9"/>
      <c r="L252" s="103"/>
      <c r="M252" s="108"/>
      <c r="N252" s="9"/>
    </row>
    <row r="253" spans="1:14" ht="13.95" customHeight="1">
      <c r="A253" s="1"/>
      <c r="B253" s="1"/>
      <c r="C253" s="33"/>
      <c r="D253" s="9"/>
      <c r="E253" s="9"/>
      <c r="F253" s="122"/>
      <c r="G253" s="5"/>
      <c r="I253" s="9"/>
      <c r="J253" s="9"/>
      <c r="K253" s="9"/>
      <c r="L253" s="103"/>
      <c r="M253" s="108"/>
      <c r="N253" s="9"/>
    </row>
    <row r="254" spans="1:14" ht="38.4" customHeight="1">
      <c r="A254" s="1">
        <f>A230+1</f>
        <v>42</v>
      </c>
      <c r="B254" s="1"/>
      <c r="C254" s="33" t="s">
        <v>233</v>
      </c>
      <c r="D254" s="9" t="s">
        <v>1</v>
      </c>
      <c r="E254" s="3">
        <f>SUM(I254:N254)</f>
        <v>10.4</v>
      </c>
      <c r="F254" s="144">
        <v>775</v>
      </c>
      <c r="G254" s="5">
        <f t="shared" ref="G254" si="52">+E254*F254</f>
        <v>8060</v>
      </c>
      <c r="I254" s="9"/>
      <c r="J254" s="9"/>
      <c r="K254" s="9"/>
      <c r="L254" s="103">
        <v>10.4</v>
      </c>
      <c r="M254" s="108"/>
      <c r="N254" s="9"/>
    </row>
    <row r="255" spans="1:14" ht="13.95" customHeight="1">
      <c r="A255" s="1"/>
      <c r="B255" s="1"/>
      <c r="C255" s="33"/>
      <c r="D255" s="9"/>
      <c r="E255" s="9"/>
      <c r="F255" s="144"/>
      <c r="G255" s="5"/>
      <c r="I255" s="9"/>
      <c r="J255" s="9"/>
      <c r="K255" s="9"/>
      <c r="L255" s="103"/>
      <c r="M255" s="108"/>
      <c r="N255" s="9"/>
    </row>
    <row r="256" spans="1:14" ht="25.95" customHeight="1">
      <c r="A256" s="1">
        <f>A254+1</f>
        <v>43</v>
      </c>
      <c r="B256" s="1"/>
      <c r="C256" s="33" t="s">
        <v>228</v>
      </c>
      <c r="D256" s="9" t="s">
        <v>6</v>
      </c>
      <c r="E256" s="3">
        <f>SUM(I256:N256)</f>
        <v>0</v>
      </c>
      <c r="F256" s="144">
        <v>275</v>
      </c>
      <c r="G256" s="5">
        <f t="shared" ref="G256" si="53">+E256*F256</f>
        <v>0</v>
      </c>
      <c r="I256" s="9"/>
      <c r="J256" s="9"/>
      <c r="K256" s="9"/>
      <c r="L256" s="103"/>
      <c r="M256" s="108"/>
      <c r="N256" s="9"/>
    </row>
    <row r="257" spans="1:14" ht="13.95" customHeight="1">
      <c r="A257" s="1"/>
      <c r="B257" s="1"/>
      <c r="C257" s="33"/>
      <c r="D257" s="9"/>
      <c r="E257" s="9"/>
      <c r="F257" s="144"/>
      <c r="G257" s="5"/>
      <c r="I257" s="9"/>
      <c r="J257" s="9"/>
      <c r="K257" s="9"/>
      <c r="L257" s="103"/>
      <c r="M257" s="108"/>
      <c r="N257" s="9"/>
    </row>
    <row r="258" spans="1:14" ht="13.95" customHeight="1">
      <c r="A258" s="1">
        <f>A256+1</f>
        <v>44</v>
      </c>
      <c r="B258" s="1"/>
      <c r="C258" s="33" t="s">
        <v>229</v>
      </c>
      <c r="D258" s="9" t="s">
        <v>6</v>
      </c>
      <c r="E258" s="3">
        <f>SUM(I258:N258)</f>
        <v>0</v>
      </c>
      <c r="F258" s="144">
        <v>650</v>
      </c>
      <c r="G258" s="5">
        <f t="shared" ref="G258" si="54">+E258*F258</f>
        <v>0</v>
      </c>
      <c r="I258" s="9"/>
      <c r="J258" s="9"/>
      <c r="K258" s="9"/>
      <c r="L258" s="103"/>
      <c r="M258" s="108"/>
      <c r="N258" s="9"/>
    </row>
    <row r="259" spans="1:14" ht="13.95" customHeight="1">
      <c r="A259" s="1"/>
      <c r="B259" s="1"/>
      <c r="C259" s="17"/>
      <c r="D259" s="35"/>
      <c r="E259" s="3"/>
      <c r="F259" s="14"/>
      <c r="G259" s="5"/>
      <c r="I259" s="9"/>
      <c r="J259" s="9"/>
      <c r="K259" s="9"/>
      <c r="L259" s="103"/>
      <c r="M259" s="108"/>
      <c r="N259" s="9"/>
    </row>
    <row r="260" spans="1:14">
      <c r="A260" s="16">
        <f>+A258+1</f>
        <v>45</v>
      </c>
      <c r="B260" s="16"/>
      <c r="C260" s="47" t="s">
        <v>241</v>
      </c>
      <c r="D260" s="58" t="s">
        <v>1</v>
      </c>
      <c r="E260" s="3">
        <f>SUM(I260:N260)</f>
        <v>0</v>
      </c>
      <c r="F260" s="13">
        <v>425</v>
      </c>
      <c r="G260" s="15">
        <f t="shared" ref="G260" si="55">+E260*F260</f>
        <v>0</v>
      </c>
      <c r="I260" s="9"/>
      <c r="J260" s="9"/>
      <c r="K260" s="9"/>
      <c r="L260" s="103"/>
      <c r="M260" s="108"/>
      <c r="N260" s="9"/>
    </row>
    <row r="261" spans="1:14" ht="13.95" customHeight="1">
      <c r="A261" s="1"/>
      <c r="B261" s="1"/>
      <c r="C261" s="17"/>
      <c r="D261" s="35"/>
      <c r="E261" s="3"/>
      <c r="F261" s="4"/>
      <c r="G261" s="5"/>
      <c r="I261" s="9"/>
      <c r="J261" s="9"/>
      <c r="K261" s="9"/>
      <c r="L261" s="103"/>
      <c r="M261" s="108"/>
      <c r="N261" s="9"/>
    </row>
    <row r="262" spans="1:14" ht="22.2" customHeight="1">
      <c r="A262" s="1"/>
      <c r="B262" s="51" t="s">
        <v>105</v>
      </c>
      <c r="C262" s="11" t="s">
        <v>204</v>
      </c>
      <c r="D262" s="40"/>
      <c r="E262" s="3"/>
      <c r="F262" s="4"/>
      <c r="G262" s="5"/>
      <c r="I262" s="9"/>
      <c r="J262" s="9"/>
      <c r="K262" s="9"/>
      <c r="L262" s="103"/>
      <c r="M262" s="108"/>
      <c r="N262" s="9"/>
    </row>
    <row r="263" spans="1:14" ht="13.95" customHeight="1">
      <c r="A263" s="1"/>
      <c r="B263" s="51"/>
      <c r="C263" s="6"/>
      <c r="D263" s="9"/>
      <c r="E263" s="3"/>
      <c r="F263" s="4"/>
      <c r="G263" s="5"/>
      <c r="I263" s="9"/>
      <c r="J263" s="9"/>
      <c r="K263" s="9"/>
      <c r="L263" s="103"/>
      <c r="M263" s="108"/>
      <c r="N263" s="9"/>
    </row>
    <row r="264" spans="1:14" ht="13.95" customHeight="1">
      <c r="A264" s="1"/>
      <c r="B264" s="51" t="s">
        <v>92</v>
      </c>
      <c r="C264" s="52" t="s">
        <v>205</v>
      </c>
      <c r="D264" s="9"/>
      <c r="E264" s="3"/>
      <c r="F264" s="4"/>
      <c r="G264" s="5"/>
      <c r="I264" s="9"/>
      <c r="J264" s="9"/>
      <c r="K264" s="9"/>
      <c r="L264" s="103"/>
      <c r="M264" s="108"/>
      <c r="N264" s="9"/>
    </row>
    <row r="265" spans="1:14" ht="13.95" customHeight="1">
      <c r="A265" s="1"/>
      <c r="B265" s="51"/>
      <c r="C265" s="6"/>
      <c r="D265" s="9"/>
      <c r="E265" s="3"/>
      <c r="F265" s="4"/>
      <c r="G265" s="5"/>
      <c r="I265" s="9"/>
      <c r="J265" s="9"/>
      <c r="K265" s="9"/>
      <c r="L265" s="103"/>
      <c r="M265" s="108"/>
      <c r="N265" s="9"/>
    </row>
    <row r="266" spans="1:14" ht="24" customHeight="1">
      <c r="A266" s="1"/>
      <c r="B266" s="51" t="s">
        <v>206</v>
      </c>
      <c r="C266" s="21" t="s">
        <v>207</v>
      </c>
      <c r="D266" s="9"/>
      <c r="E266" s="3"/>
      <c r="F266" s="4"/>
      <c r="G266" s="5"/>
      <c r="I266" s="9"/>
      <c r="J266" s="9"/>
      <c r="K266" s="9"/>
      <c r="L266" s="103"/>
      <c r="M266" s="108"/>
      <c r="N266" s="9"/>
    </row>
    <row r="267" spans="1:14" ht="13.95" customHeight="1">
      <c r="A267" s="1"/>
      <c r="B267" s="51"/>
      <c r="C267" s="6"/>
      <c r="D267" s="9"/>
      <c r="E267" s="3"/>
      <c r="F267" s="4"/>
      <c r="G267" s="5"/>
      <c r="I267" s="9"/>
      <c r="J267" s="9"/>
      <c r="K267" s="9"/>
      <c r="L267" s="103"/>
      <c r="M267" s="108"/>
      <c r="N267" s="9"/>
    </row>
    <row r="268" spans="1:14" ht="13.95" customHeight="1">
      <c r="A268" s="1">
        <f>A260+1</f>
        <v>46</v>
      </c>
      <c r="B268" s="51" t="s">
        <v>208</v>
      </c>
      <c r="C268" s="6" t="s">
        <v>21</v>
      </c>
      <c r="D268" s="9" t="s">
        <v>1</v>
      </c>
      <c r="E268" s="3">
        <f>SUM(I268:N268)</f>
        <v>0</v>
      </c>
      <c r="F268" s="13">
        <v>1950</v>
      </c>
      <c r="G268" s="5">
        <f t="shared" ref="G268" si="56">+E268*F268</f>
        <v>0</v>
      </c>
      <c r="I268" s="9"/>
      <c r="J268" s="9"/>
      <c r="K268" s="9"/>
      <c r="L268" s="103"/>
      <c r="M268" s="108"/>
      <c r="N268" s="9"/>
    </row>
    <row r="269" spans="1:14" ht="13.95" customHeight="1">
      <c r="A269" s="1"/>
      <c r="B269" s="51"/>
      <c r="C269" s="6"/>
      <c r="D269" s="9"/>
      <c r="E269" s="3"/>
      <c r="F269" s="13"/>
      <c r="G269" s="5"/>
      <c r="I269" s="9"/>
      <c r="J269" s="9"/>
      <c r="K269" s="9"/>
      <c r="L269" s="103"/>
      <c r="M269" s="108"/>
      <c r="N269" s="9"/>
    </row>
    <row r="270" spans="1:14" ht="12.6" customHeight="1">
      <c r="A270" s="1">
        <f>A268+1</f>
        <v>47</v>
      </c>
      <c r="B270" s="51" t="s">
        <v>209</v>
      </c>
      <c r="C270" s="18" t="s">
        <v>210</v>
      </c>
      <c r="D270" s="9" t="s">
        <v>6</v>
      </c>
      <c r="E270" s="3">
        <f>SUM(I270:N270)</f>
        <v>0</v>
      </c>
      <c r="F270" s="13">
        <v>350</v>
      </c>
      <c r="G270" s="5">
        <f t="shared" ref="G270" si="57">+E270*F270</f>
        <v>0</v>
      </c>
      <c r="I270" s="9"/>
      <c r="J270" s="9"/>
      <c r="K270" s="9"/>
      <c r="L270" s="103"/>
      <c r="M270" s="108"/>
      <c r="N270" s="9"/>
    </row>
    <row r="271" spans="1:14" ht="12.6" customHeight="1">
      <c r="A271" s="1"/>
      <c r="B271" s="1"/>
      <c r="C271" s="33"/>
      <c r="D271" s="35"/>
      <c r="E271" s="3"/>
      <c r="F271" s="13"/>
      <c r="G271" s="5"/>
      <c r="I271" s="9"/>
      <c r="J271" s="9"/>
      <c r="K271" s="9"/>
      <c r="L271" s="103"/>
      <c r="M271" s="108"/>
      <c r="N271" s="9"/>
    </row>
    <row r="272" spans="1:14" ht="12.6" customHeight="1">
      <c r="A272" s="1"/>
      <c r="B272" s="1"/>
      <c r="C272" s="123" t="s">
        <v>236</v>
      </c>
      <c r="D272" s="35"/>
      <c r="E272" s="3"/>
      <c r="F272" s="13"/>
      <c r="G272" s="5"/>
      <c r="I272" s="9"/>
      <c r="J272" s="9"/>
      <c r="K272" s="9"/>
      <c r="L272" s="103"/>
      <c r="M272" s="108"/>
      <c r="N272" s="9"/>
    </row>
    <row r="273" spans="1:14" ht="12.6" customHeight="1">
      <c r="A273" s="1"/>
      <c r="B273" s="1"/>
      <c r="C273" s="6"/>
      <c r="D273" s="35"/>
      <c r="E273" s="3"/>
      <c r="F273" s="13"/>
      <c r="G273" s="5"/>
      <c r="I273" s="9"/>
      <c r="J273" s="9"/>
      <c r="K273" s="9"/>
      <c r="L273" s="103"/>
      <c r="M273" s="108"/>
      <c r="N273" s="9"/>
    </row>
    <row r="274" spans="1:14" ht="12.6" customHeight="1">
      <c r="A274" s="1"/>
      <c r="B274" s="1"/>
      <c r="C274" s="124" t="s">
        <v>234</v>
      </c>
      <c r="D274" s="35"/>
      <c r="E274" s="3"/>
      <c r="F274" s="13"/>
      <c r="G274" s="5"/>
      <c r="I274" s="9"/>
      <c r="J274" s="9"/>
      <c r="K274" s="9"/>
      <c r="L274" s="103"/>
      <c r="M274" s="108"/>
      <c r="N274" s="9"/>
    </row>
    <row r="275" spans="1:14" ht="12.6" customHeight="1">
      <c r="A275" s="1"/>
      <c r="B275" s="1"/>
      <c r="C275" s="33"/>
      <c r="D275" s="35"/>
      <c r="E275" s="3"/>
      <c r="F275" s="13"/>
      <c r="G275" s="5"/>
      <c r="I275" s="9"/>
      <c r="J275" s="9"/>
      <c r="K275" s="9"/>
      <c r="L275" s="103"/>
      <c r="M275" s="108"/>
      <c r="N275" s="9"/>
    </row>
    <row r="276" spans="1:14" ht="38.4" customHeight="1">
      <c r="A276" s="1">
        <f>A270+1</f>
        <v>48</v>
      </c>
      <c r="B276" s="1"/>
      <c r="C276" s="125" t="s">
        <v>235</v>
      </c>
      <c r="D276" s="1" t="s">
        <v>60</v>
      </c>
      <c r="E276" s="3">
        <f>SUM(I276:N276)</f>
        <v>6.7</v>
      </c>
      <c r="F276" s="13">
        <v>3750</v>
      </c>
      <c r="G276" s="5">
        <f t="shared" ref="G276" si="58">+E276*F276</f>
        <v>25125</v>
      </c>
      <c r="I276" s="9"/>
      <c r="J276" s="9"/>
      <c r="K276" s="9"/>
      <c r="L276" s="103">
        <v>6.7</v>
      </c>
      <c r="M276" s="108"/>
      <c r="N276" s="9"/>
    </row>
    <row r="277" spans="1:14" ht="12.6" customHeight="1">
      <c r="A277" s="1"/>
      <c r="B277" s="1"/>
      <c r="C277" s="33"/>
      <c r="D277" s="35"/>
      <c r="E277" s="3"/>
      <c r="F277" s="13"/>
      <c r="G277" s="5"/>
      <c r="I277" s="9"/>
      <c r="J277" s="9"/>
      <c r="K277" s="9"/>
      <c r="L277" s="103"/>
      <c r="M277" s="108"/>
      <c r="N277" s="9"/>
    </row>
    <row r="278" spans="1:14" ht="13.95" customHeight="1">
      <c r="A278" s="1"/>
      <c r="B278" s="1"/>
      <c r="C278" s="34" t="s">
        <v>212</v>
      </c>
      <c r="D278" s="1" t="s">
        <v>64</v>
      </c>
      <c r="E278" s="3"/>
      <c r="F278" s="14"/>
      <c r="G278" s="5"/>
      <c r="I278" s="9"/>
      <c r="J278" s="9"/>
      <c r="K278" s="9"/>
      <c r="L278" s="103"/>
      <c r="M278" s="108"/>
      <c r="N278" s="9"/>
    </row>
    <row r="279" spans="1:14" ht="13.95" customHeight="1">
      <c r="A279" s="1"/>
      <c r="B279" s="1"/>
      <c r="C279" s="33" t="s">
        <v>64</v>
      </c>
      <c r="D279" s="1" t="s">
        <v>64</v>
      </c>
      <c r="E279" s="3"/>
      <c r="F279" s="4"/>
      <c r="G279" s="5"/>
      <c r="I279" s="9"/>
      <c r="J279" s="9"/>
      <c r="K279" s="9"/>
      <c r="L279" s="103"/>
      <c r="M279" s="108"/>
      <c r="N279" s="9"/>
    </row>
    <row r="280" spans="1:14" ht="22.2" customHeight="1">
      <c r="A280" s="1">
        <f>A276+1</f>
        <v>49</v>
      </c>
      <c r="B280" s="1"/>
      <c r="C280" s="33" t="s">
        <v>217</v>
      </c>
      <c r="D280" s="1" t="s">
        <v>60</v>
      </c>
      <c r="E280" s="3">
        <f>SUM(I280:N280)</f>
        <v>798</v>
      </c>
      <c r="F280" s="3">
        <v>885</v>
      </c>
      <c r="G280" s="5">
        <f t="shared" ref="G280" si="59">+E280*F280</f>
        <v>706230</v>
      </c>
      <c r="I280" s="9">
        <v>594</v>
      </c>
      <c r="J280" s="9">
        <v>196</v>
      </c>
      <c r="K280" s="9"/>
      <c r="L280" s="103">
        <v>8</v>
      </c>
      <c r="M280" s="108"/>
      <c r="N280" s="9"/>
    </row>
    <row r="281" spans="1:14">
      <c r="A281" s="1"/>
      <c r="B281" s="1"/>
      <c r="C281" s="33"/>
      <c r="D281" s="35"/>
      <c r="E281" s="3"/>
      <c r="F281" s="3"/>
      <c r="G281" s="5"/>
      <c r="I281" s="9"/>
      <c r="J281" s="9"/>
      <c r="K281" s="9"/>
      <c r="L281" s="103"/>
      <c r="M281" s="108"/>
      <c r="N281" s="9"/>
    </row>
    <row r="282" spans="1:14" ht="13.95" customHeight="1">
      <c r="A282" s="1"/>
      <c r="B282" s="1"/>
      <c r="C282" s="33"/>
      <c r="D282" s="35"/>
      <c r="E282" s="3"/>
      <c r="F282" s="4"/>
      <c r="G282" s="5"/>
      <c r="I282" s="9"/>
      <c r="J282" s="9"/>
      <c r="K282" s="9"/>
      <c r="L282" s="103"/>
      <c r="M282" s="108"/>
      <c r="N282" s="9"/>
    </row>
    <row r="283" spans="1:14" ht="13.95" customHeight="1">
      <c r="A283" s="1"/>
      <c r="B283" s="1"/>
      <c r="C283" s="33"/>
      <c r="D283" s="35"/>
      <c r="E283" s="3"/>
      <c r="F283" s="4"/>
      <c r="G283" s="5"/>
      <c r="I283" s="9"/>
      <c r="J283" s="9"/>
      <c r="K283" s="9"/>
      <c r="L283" s="103"/>
      <c r="M283" s="108"/>
      <c r="N283" s="9"/>
    </row>
    <row r="284" spans="1:14" ht="13.95" customHeight="1">
      <c r="A284" s="1"/>
      <c r="B284" s="1"/>
      <c r="C284" s="33"/>
      <c r="D284" s="35"/>
      <c r="E284" s="3"/>
      <c r="F284" s="4"/>
      <c r="G284" s="5"/>
      <c r="I284" s="9"/>
      <c r="J284" s="9"/>
      <c r="K284" s="9"/>
      <c r="L284" s="103"/>
      <c r="M284" s="108"/>
      <c r="N284" s="9"/>
    </row>
    <row r="285" spans="1:14" ht="20.100000000000001" customHeight="1">
      <c r="A285" s="149" t="s">
        <v>66</v>
      </c>
      <c r="B285" s="150"/>
      <c r="C285" s="150"/>
      <c r="D285" s="150"/>
      <c r="E285" s="150"/>
      <c r="F285" s="151"/>
      <c r="G285" s="116">
        <f>SUM(G246:G284)</f>
        <v>3650323.7</v>
      </c>
      <c r="I285" s="9"/>
      <c r="J285" s="9"/>
      <c r="K285" s="9"/>
      <c r="L285" s="103"/>
      <c r="M285" s="108"/>
      <c r="N285" s="9"/>
    </row>
    <row r="286" spans="1:14" ht="13.95" customHeight="1">
      <c r="A286" s="39"/>
      <c r="B286" s="39"/>
      <c r="C286" s="39"/>
      <c r="D286" s="39"/>
      <c r="E286" s="39"/>
      <c r="F286" s="39"/>
      <c r="G286" s="113"/>
      <c r="I286" s="9"/>
      <c r="J286" s="9"/>
      <c r="K286" s="9"/>
      <c r="L286" s="103"/>
      <c r="M286" s="108"/>
      <c r="N286" s="9"/>
    </row>
    <row r="287" spans="1:14" ht="13.95" customHeight="1">
      <c r="A287" s="39"/>
      <c r="B287" s="39"/>
      <c r="C287" s="39"/>
      <c r="D287" s="39"/>
      <c r="E287" s="39"/>
      <c r="F287" s="39"/>
      <c r="G287" s="113"/>
      <c r="I287" s="9"/>
      <c r="J287" s="9"/>
      <c r="K287" s="9"/>
      <c r="L287" s="103"/>
      <c r="M287" s="108"/>
      <c r="N287" s="9"/>
    </row>
    <row r="288" spans="1:14" ht="22.2" customHeight="1">
      <c r="A288" s="44" t="s">
        <v>8</v>
      </c>
      <c r="B288" s="48" t="s">
        <v>9</v>
      </c>
      <c r="C288" s="44" t="s">
        <v>10</v>
      </c>
      <c r="D288" s="48" t="s">
        <v>11</v>
      </c>
      <c r="E288" s="48" t="s">
        <v>59</v>
      </c>
      <c r="F288" s="49" t="s">
        <v>12</v>
      </c>
      <c r="G288" s="111" t="s">
        <v>13</v>
      </c>
      <c r="I288" s="9"/>
      <c r="J288" s="9"/>
      <c r="K288" s="9"/>
      <c r="L288" s="103"/>
      <c r="M288" s="108"/>
      <c r="N288" s="9"/>
    </row>
    <row r="289" spans="1:14" ht="20.100000000000001" customHeight="1">
      <c r="A289" s="149" t="s">
        <v>67</v>
      </c>
      <c r="B289" s="150"/>
      <c r="C289" s="150"/>
      <c r="D289" s="150"/>
      <c r="E289" s="150"/>
      <c r="F289" s="151"/>
      <c r="G289" s="116">
        <f>+G285</f>
        <v>3650323.7</v>
      </c>
      <c r="I289" s="9"/>
      <c r="J289" s="9"/>
      <c r="K289" s="9"/>
      <c r="L289" s="103"/>
      <c r="M289" s="108"/>
      <c r="N289" s="9"/>
    </row>
    <row r="290" spans="1:14" ht="13.95" customHeight="1">
      <c r="A290" s="1"/>
      <c r="B290" s="1"/>
      <c r="C290" s="33"/>
      <c r="D290" s="35"/>
      <c r="E290" s="3"/>
      <c r="F290" s="4"/>
      <c r="G290" s="5"/>
      <c r="I290" s="9"/>
      <c r="J290" s="9"/>
      <c r="K290" s="9"/>
      <c r="L290" s="103"/>
      <c r="M290" s="108"/>
      <c r="N290" s="9"/>
    </row>
    <row r="291" spans="1:14" ht="13.95" customHeight="1">
      <c r="A291" s="16"/>
      <c r="B291" s="76" t="s">
        <v>167</v>
      </c>
      <c r="C291" s="74" t="s">
        <v>168</v>
      </c>
      <c r="D291" s="93"/>
      <c r="E291" s="94"/>
      <c r="F291" s="14"/>
      <c r="G291" s="15"/>
      <c r="I291" s="9"/>
      <c r="J291" s="9"/>
      <c r="K291" s="9"/>
      <c r="L291" s="103"/>
      <c r="M291" s="108"/>
      <c r="N291" s="9"/>
    </row>
    <row r="292" spans="1:14" ht="13.95" customHeight="1">
      <c r="A292" s="16"/>
      <c r="B292" s="12"/>
      <c r="C292" s="75"/>
      <c r="D292" s="93"/>
      <c r="E292" s="94"/>
      <c r="F292" s="14"/>
      <c r="G292" s="15"/>
      <c r="I292" s="9"/>
      <c r="J292" s="9"/>
      <c r="K292" s="9"/>
      <c r="L292" s="103"/>
      <c r="M292" s="108"/>
      <c r="N292" s="9"/>
    </row>
    <row r="293" spans="1:14" ht="13.95" customHeight="1">
      <c r="A293" s="16"/>
      <c r="B293" s="12" t="s">
        <v>193</v>
      </c>
      <c r="C293" s="70" t="s">
        <v>164</v>
      </c>
      <c r="D293" s="12"/>
      <c r="E293" s="94"/>
      <c r="F293" s="14"/>
      <c r="G293" s="15"/>
      <c r="I293" s="9"/>
      <c r="J293" s="9"/>
      <c r="K293" s="9"/>
      <c r="L293" s="103"/>
      <c r="M293" s="108"/>
      <c r="N293" s="9"/>
    </row>
    <row r="294" spans="1:14" ht="13.95" customHeight="1">
      <c r="A294" s="16"/>
      <c r="B294" s="73"/>
      <c r="C294" s="62"/>
      <c r="D294" s="12"/>
      <c r="E294" s="94"/>
      <c r="F294" s="14"/>
      <c r="G294" s="15"/>
      <c r="I294" s="9"/>
      <c r="J294" s="9"/>
      <c r="K294" s="9"/>
      <c r="L294" s="103"/>
      <c r="M294" s="108"/>
      <c r="N294" s="9"/>
    </row>
    <row r="295" spans="1:14" ht="13.95" customHeight="1">
      <c r="A295" s="16">
        <v>50</v>
      </c>
      <c r="B295" s="73"/>
      <c r="C295" s="75" t="s">
        <v>112</v>
      </c>
      <c r="D295" s="12" t="s">
        <v>60</v>
      </c>
      <c r="E295" s="3">
        <f>SUM(I295:N295)</f>
        <v>0</v>
      </c>
      <c r="F295" s="13">
        <v>890</v>
      </c>
      <c r="G295" s="15">
        <f>+E295*F295</f>
        <v>0</v>
      </c>
      <c r="I295" s="9"/>
      <c r="J295" s="9"/>
      <c r="K295" s="9"/>
      <c r="L295" s="103"/>
      <c r="M295" s="108"/>
      <c r="N295" s="9"/>
    </row>
    <row r="296" spans="1:14" ht="13.95" customHeight="1">
      <c r="A296" s="16"/>
      <c r="B296" s="73"/>
      <c r="C296" s="62"/>
      <c r="D296" s="12"/>
      <c r="E296" s="94"/>
      <c r="F296" s="14"/>
      <c r="G296" s="15"/>
      <c r="I296" s="9"/>
      <c r="J296" s="9"/>
      <c r="K296" s="9"/>
      <c r="L296" s="103"/>
      <c r="M296" s="108"/>
      <c r="N296" s="9"/>
    </row>
    <row r="297" spans="1:14" ht="13.95" customHeight="1">
      <c r="A297" s="16"/>
      <c r="B297" s="12" t="s">
        <v>195</v>
      </c>
      <c r="C297" s="70" t="s">
        <v>194</v>
      </c>
      <c r="D297" s="12"/>
      <c r="E297" s="94"/>
      <c r="F297" s="14"/>
      <c r="G297" s="15"/>
      <c r="I297" s="9"/>
      <c r="J297" s="9"/>
      <c r="K297" s="9"/>
      <c r="L297" s="103"/>
      <c r="M297" s="108"/>
      <c r="N297" s="9"/>
    </row>
    <row r="298" spans="1:14" ht="13.95" customHeight="1">
      <c r="A298" s="16"/>
      <c r="B298" s="73"/>
      <c r="C298" s="62"/>
      <c r="D298" s="12"/>
      <c r="E298" s="94"/>
      <c r="F298" s="14"/>
      <c r="G298" s="15"/>
      <c r="I298" s="9"/>
      <c r="J298" s="9"/>
      <c r="K298" s="9"/>
      <c r="L298" s="103"/>
      <c r="M298" s="108"/>
      <c r="N298" s="9"/>
    </row>
    <row r="299" spans="1:14" ht="13.95" customHeight="1">
      <c r="A299" s="16">
        <v>51</v>
      </c>
      <c r="B299" s="73"/>
      <c r="C299" s="75" t="s">
        <v>165</v>
      </c>
      <c r="D299" s="12" t="s">
        <v>60</v>
      </c>
      <c r="E299" s="3">
        <f>SUM(I299:N299)</f>
        <v>0</v>
      </c>
      <c r="F299" s="14">
        <v>325</v>
      </c>
      <c r="G299" s="15">
        <f t="shared" ref="G299" si="60">+E299*F299</f>
        <v>0</v>
      </c>
      <c r="I299" s="9"/>
      <c r="J299" s="9"/>
      <c r="K299" s="9"/>
      <c r="L299" s="103"/>
      <c r="M299" s="108"/>
      <c r="N299" s="9"/>
    </row>
    <row r="300" spans="1:14" ht="13.95" customHeight="1">
      <c r="A300" s="16"/>
      <c r="B300" s="12"/>
      <c r="C300" s="75"/>
      <c r="D300" s="93"/>
      <c r="E300" s="94"/>
      <c r="F300" s="14"/>
      <c r="G300" s="15"/>
      <c r="I300" s="9"/>
      <c r="J300" s="9"/>
      <c r="K300" s="9"/>
      <c r="L300" s="103"/>
      <c r="M300" s="108"/>
      <c r="N300" s="9"/>
    </row>
    <row r="301" spans="1:14" ht="24">
      <c r="A301" s="16"/>
      <c r="B301" s="76" t="s">
        <v>169</v>
      </c>
      <c r="C301" s="46" t="s">
        <v>216</v>
      </c>
      <c r="D301" s="12"/>
      <c r="E301" s="12"/>
      <c r="F301" s="145"/>
      <c r="G301" s="15"/>
      <c r="I301" s="9"/>
      <c r="J301" s="9"/>
      <c r="K301" s="9"/>
      <c r="L301" s="103"/>
      <c r="M301" s="108"/>
      <c r="N301" s="9"/>
    </row>
    <row r="302" spans="1:14" ht="13.95" customHeight="1">
      <c r="A302" s="16"/>
      <c r="B302" s="76"/>
      <c r="C302" s="75"/>
      <c r="D302" s="12"/>
      <c r="E302" s="12"/>
      <c r="F302" s="145"/>
      <c r="G302" s="15"/>
      <c r="I302" s="9"/>
      <c r="J302" s="9"/>
      <c r="K302" s="9"/>
      <c r="L302" s="103"/>
      <c r="M302" s="108"/>
      <c r="N302" s="9"/>
    </row>
    <row r="303" spans="1:14" ht="13.95" customHeight="1">
      <c r="A303" s="16"/>
      <c r="B303" s="76" t="s">
        <v>169</v>
      </c>
      <c r="C303" s="75" t="s">
        <v>170</v>
      </c>
      <c r="D303" s="12"/>
      <c r="E303" s="12"/>
      <c r="F303" s="145"/>
      <c r="G303" s="15"/>
      <c r="I303" s="9"/>
      <c r="J303" s="9"/>
      <c r="K303" s="9"/>
      <c r="L303" s="103"/>
      <c r="M303" s="108"/>
      <c r="N303" s="9"/>
    </row>
    <row r="304" spans="1:14" ht="13.95" customHeight="1">
      <c r="A304" s="16"/>
      <c r="B304" s="76"/>
      <c r="C304" s="75"/>
      <c r="D304" s="12"/>
      <c r="E304" s="12"/>
      <c r="F304" s="145"/>
      <c r="G304" s="15"/>
      <c r="I304" s="9"/>
      <c r="J304" s="9"/>
      <c r="K304" s="9"/>
      <c r="L304" s="103"/>
      <c r="M304" s="108"/>
      <c r="N304" s="9"/>
    </row>
    <row r="305" spans="1:15" ht="13.95" customHeight="1">
      <c r="A305" s="16">
        <v>52</v>
      </c>
      <c r="B305" s="76" t="s">
        <v>171</v>
      </c>
      <c r="C305" s="75" t="s">
        <v>172</v>
      </c>
      <c r="D305" s="12" t="s">
        <v>60</v>
      </c>
      <c r="E305" s="3">
        <f>SUM(I305:N305)</f>
        <v>0</v>
      </c>
      <c r="F305" s="94">
        <v>275</v>
      </c>
      <c r="G305" s="15">
        <f t="shared" ref="G305:G313" si="61">+E305*F305</f>
        <v>0</v>
      </c>
      <c r="I305" s="9"/>
      <c r="J305" s="9"/>
      <c r="K305" s="9"/>
      <c r="L305" s="103"/>
      <c r="M305" s="108"/>
      <c r="N305" s="9"/>
    </row>
    <row r="306" spans="1:15" ht="13.95" customHeight="1">
      <c r="A306" s="16"/>
      <c r="B306" s="12"/>
      <c r="C306" s="75"/>
      <c r="D306" s="93"/>
      <c r="E306" s="94"/>
      <c r="F306" s="14"/>
      <c r="G306" s="15"/>
      <c r="I306" s="9"/>
      <c r="J306" s="9"/>
      <c r="K306" s="9"/>
      <c r="L306" s="103"/>
      <c r="M306" s="108"/>
      <c r="N306" s="9"/>
    </row>
    <row r="307" spans="1:15" ht="13.95" customHeight="1">
      <c r="A307" s="16"/>
      <c r="B307" s="12" t="s">
        <v>102</v>
      </c>
      <c r="C307" s="74" t="s">
        <v>166</v>
      </c>
      <c r="D307" s="12"/>
      <c r="E307" s="94"/>
      <c r="F307" s="14"/>
      <c r="G307" s="15"/>
      <c r="I307" s="9"/>
      <c r="J307" s="9"/>
      <c r="K307" s="9"/>
      <c r="L307" s="103"/>
      <c r="M307" s="108"/>
      <c r="N307" s="9"/>
    </row>
    <row r="308" spans="1:15" ht="13.95" customHeight="1">
      <c r="A308" s="16"/>
      <c r="B308" s="12"/>
      <c r="C308" s="95"/>
      <c r="D308" s="12"/>
      <c r="E308" s="94"/>
      <c r="F308" s="14"/>
      <c r="G308" s="15"/>
      <c r="I308" s="9"/>
      <c r="J308" s="9"/>
      <c r="K308" s="103"/>
      <c r="L308" s="103"/>
      <c r="M308" s="108"/>
      <c r="N308" s="9"/>
    </row>
    <row r="309" spans="1:15" ht="13.95" customHeight="1">
      <c r="A309" s="16"/>
      <c r="B309" s="12"/>
      <c r="C309" s="75" t="s">
        <v>78</v>
      </c>
      <c r="D309" s="12"/>
      <c r="E309" s="94"/>
      <c r="F309" s="14"/>
      <c r="G309" s="15"/>
      <c r="I309" s="103"/>
      <c r="J309" s="103"/>
      <c r="K309" s="103"/>
      <c r="L309" s="103"/>
      <c r="M309" s="134"/>
      <c r="N309" s="9"/>
    </row>
    <row r="310" spans="1:15" ht="13.95" customHeight="1">
      <c r="A310" s="16"/>
      <c r="B310" s="12"/>
      <c r="C310" s="75"/>
      <c r="D310" s="12"/>
      <c r="E310" s="94"/>
      <c r="F310" s="14"/>
      <c r="G310" s="15"/>
      <c r="I310" s="103"/>
      <c r="J310" s="103"/>
      <c r="K310" s="103"/>
      <c r="L310" s="103"/>
      <c r="M310" s="134"/>
      <c r="N310" s="9"/>
    </row>
    <row r="311" spans="1:15" ht="36">
      <c r="A311" s="16">
        <v>53</v>
      </c>
      <c r="B311" s="12"/>
      <c r="C311" s="47" t="s">
        <v>203</v>
      </c>
      <c r="D311" s="12" t="s">
        <v>6</v>
      </c>
      <c r="E311" s="3">
        <f>SUM(I311:N311)</f>
        <v>0</v>
      </c>
      <c r="F311" s="13">
        <v>16000</v>
      </c>
      <c r="G311" s="15">
        <f t="shared" si="61"/>
        <v>0</v>
      </c>
      <c r="I311" s="103"/>
      <c r="J311" s="103"/>
      <c r="K311" s="103"/>
      <c r="L311" s="103"/>
      <c r="M311" s="134"/>
      <c r="N311" s="103"/>
      <c r="O311" s="41"/>
    </row>
    <row r="312" spans="1:15" ht="13.95" customHeight="1">
      <c r="A312" s="16"/>
      <c r="B312" s="12"/>
      <c r="C312" s="75"/>
      <c r="D312" s="93"/>
      <c r="E312" s="94"/>
      <c r="F312" s="13"/>
      <c r="G312" s="15"/>
      <c r="I312" s="103"/>
      <c r="J312" s="103"/>
      <c r="K312" s="103"/>
      <c r="L312" s="103"/>
      <c r="M312" s="134"/>
      <c r="N312" s="103"/>
      <c r="O312" s="41"/>
    </row>
    <row r="313" spans="1:15" ht="36">
      <c r="A313" s="16">
        <v>54</v>
      </c>
      <c r="B313" s="12"/>
      <c r="C313" s="47" t="s">
        <v>286</v>
      </c>
      <c r="D313" s="12" t="s">
        <v>6</v>
      </c>
      <c r="E313" s="3">
        <f>SUM(I313:N313)</f>
        <v>0</v>
      </c>
      <c r="F313" s="13">
        <v>65000</v>
      </c>
      <c r="G313" s="15">
        <f t="shared" si="61"/>
        <v>0</v>
      </c>
      <c r="I313" s="103"/>
      <c r="J313" s="103"/>
      <c r="K313" s="103"/>
      <c r="L313" s="103"/>
      <c r="M313" s="134"/>
      <c r="N313" s="103"/>
      <c r="O313" s="41"/>
    </row>
    <row r="314" spans="1:15" ht="13.95" customHeight="1">
      <c r="A314" s="16"/>
      <c r="B314" s="12"/>
      <c r="C314" s="75"/>
      <c r="D314" s="93"/>
      <c r="E314" s="3"/>
      <c r="F314" s="13"/>
      <c r="G314" s="15"/>
      <c r="I314" s="103"/>
      <c r="J314" s="103"/>
      <c r="K314" s="103"/>
      <c r="L314" s="103"/>
      <c r="M314" s="134"/>
      <c r="N314" s="103"/>
      <c r="O314" s="41"/>
    </row>
    <row r="315" spans="1:15" ht="13.95" customHeight="1">
      <c r="A315" s="16"/>
      <c r="B315" s="12"/>
      <c r="C315" s="75"/>
      <c r="D315" s="93"/>
      <c r="E315" s="3"/>
      <c r="F315" s="13"/>
      <c r="G315" s="15"/>
      <c r="I315" s="103"/>
      <c r="J315" s="103"/>
      <c r="K315" s="103"/>
      <c r="L315" s="103"/>
      <c r="M315" s="134"/>
      <c r="N315" s="103"/>
      <c r="O315" s="41"/>
    </row>
    <row r="316" spans="1:15" ht="13.95" customHeight="1">
      <c r="A316" s="16"/>
      <c r="B316" s="12"/>
      <c r="C316" s="75"/>
      <c r="D316" s="93"/>
      <c r="E316" s="3"/>
      <c r="F316" s="13"/>
      <c r="G316" s="15"/>
      <c r="I316" s="103"/>
      <c r="J316" s="103"/>
      <c r="K316" s="103"/>
      <c r="L316" s="103"/>
      <c r="M316" s="134"/>
      <c r="N316" s="103"/>
      <c r="O316" s="41"/>
    </row>
    <row r="317" spans="1:15" ht="13.95" customHeight="1">
      <c r="A317" s="16"/>
      <c r="B317" s="12"/>
      <c r="C317" s="75"/>
      <c r="D317" s="93"/>
      <c r="E317" s="3"/>
      <c r="F317" s="13"/>
      <c r="G317" s="15"/>
      <c r="I317" s="103"/>
      <c r="J317" s="103"/>
      <c r="K317" s="103"/>
      <c r="L317" s="103"/>
      <c r="M317" s="134"/>
      <c r="N317" s="103"/>
      <c r="O317" s="41"/>
    </row>
    <row r="318" spans="1:15" ht="13.95" customHeight="1">
      <c r="A318" s="16"/>
      <c r="B318" s="12"/>
      <c r="C318" s="75"/>
      <c r="D318" s="93"/>
      <c r="E318" s="3"/>
      <c r="F318" s="13"/>
      <c r="G318" s="15"/>
      <c r="I318" s="103"/>
      <c r="J318" s="103"/>
      <c r="K318" s="103"/>
      <c r="L318" s="103"/>
      <c r="M318" s="134"/>
      <c r="N318" s="103"/>
      <c r="O318" s="41"/>
    </row>
    <row r="319" spans="1:15" ht="13.95" customHeight="1">
      <c r="A319" s="16"/>
      <c r="B319" s="12"/>
      <c r="C319" s="75"/>
      <c r="D319" s="93"/>
      <c r="E319" s="3"/>
      <c r="F319" s="13"/>
      <c r="G319" s="15"/>
      <c r="I319" s="103"/>
      <c r="J319" s="103"/>
      <c r="K319" s="103"/>
      <c r="L319" s="103"/>
      <c r="M319" s="134"/>
      <c r="N319" s="103"/>
      <c r="O319" s="41"/>
    </row>
    <row r="320" spans="1:15" ht="13.95" customHeight="1">
      <c r="A320" s="16"/>
      <c r="B320" s="12"/>
      <c r="C320" s="75"/>
      <c r="D320" s="93"/>
      <c r="E320" s="3"/>
      <c r="F320" s="13"/>
      <c r="G320" s="15"/>
      <c r="I320" s="103"/>
      <c r="J320" s="103"/>
      <c r="K320" s="103"/>
      <c r="L320" s="103"/>
      <c r="M320" s="134"/>
      <c r="N320" s="103"/>
      <c r="O320" s="41"/>
    </row>
    <row r="321" spans="1:15" ht="13.95" customHeight="1">
      <c r="A321" s="16"/>
      <c r="B321" s="12"/>
      <c r="C321" s="75"/>
      <c r="D321" s="93"/>
      <c r="E321" s="3"/>
      <c r="F321" s="13"/>
      <c r="G321" s="15"/>
      <c r="I321" s="103"/>
      <c r="J321" s="103"/>
      <c r="K321" s="103"/>
      <c r="L321" s="103"/>
      <c r="M321" s="134"/>
      <c r="N321" s="103"/>
      <c r="O321" s="41"/>
    </row>
    <row r="322" spans="1:15" ht="13.95" customHeight="1">
      <c r="A322" s="16"/>
      <c r="B322" s="12"/>
      <c r="C322" s="75"/>
      <c r="D322" s="93"/>
      <c r="E322" s="3"/>
      <c r="F322" s="13"/>
      <c r="G322" s="15"/>
      <c r="I322" s="103"/>
      <c r="J322" s="103"/>
      <c r="K322" s="103"/>
      <c r="L322" s="103"/>
      <c r="M322" s="134"/>
      <c r="N322" s="103"/>
      <c r="O322" s="41"/>
    </row>
    <row r="323" spans="1:15" ht="13.95" customHeight="1">
      <c r="A323" s="16"/>
      <c r="B323" s="12"/>
      <c r="C323" s="75"/>
      <c r="D323" s="93"/>
      <c r="E323" s="3"/>
      <c r="F323" s="13"/>
      <c r="G323" s="15"/>
      <c r="I323" s="103"/>
      <c r="J323" s="103"/>
      <c r="K323" s="103"/>
      <c r="L323" s="103"/>
      <c r="M323" s="134"/>
      <c r="N323" s="103"/>
      <c r="O323" s="41"/>
    </row>
    <row r="324" spans="1:15" ht="13.95" customHeight="1">
      <c r="A324" s="16"/>
      <c r="B324" s="12"/>
      <c r="C324" s="75"/>
      <c r="D324" s="93"/>
      <c r="E324" s="3"/>
      <c r="F324" s="13"/>
      <c r="G324" s="15"/>
      <c r="I324" s="103"/>
      <c r="J324" s="103"/>
      <c r="K324" s="103"/>
      <c r="L324" s="103"/>
      <c r="M324" s="134"/>
      <c r="N324" s="103"/>
      <c r="O324" s="41"/>
    </row>
    <row r="325" spans="1:15" ht="13.95" customHeight="1">
      <c r="A325" s="16"/>
      <c r="B325" s="12"/>
      <c r="C325" s="75"/>
      <c r="D325" s="93"/>
      <c r="E325" s="3"/>
      <c r="F325" s="13"/>
      <c r="G325" s="15"/>
      <c r="I325" s="103"/>
      <c r="J325" s="103"/>
      <c r="K325" s="103"/>
      <c r="L325" s="103"/>
      <c r="M325" s="134"/>
      <c r="N325" s="103"/>
      <c r="O325" s="41"/>
    </row>
    <row r="326" spans="1:15" ht="13.95" customHeight="1">
      <c r="A326" s="16"/>
      <c r="B326" s="12"/>
      <c r="C326" s="75"/>
      <c r="D326" s="93"/>
      <c r="E326" s="3"/>
      <c r="F326" s="13"/>
      <c r="G326" s="15"/>
      <c r="I326" s="103"/>
      <c r="J326" s="103"/>
      <c r="K326" s="103"/>
      <c r="L326" s="103"/>
      <c r="M326" s="134"/>
      <c r="N326" s="103"/>
      <c r="O326" s="41"/>
    </row>
    <row r="327" spans="1:15" ht="13.95" customHeight="1">
      <c r="A327" s="16"/>
      <c r="B327" s="12"/>
      <c r="C327" s="75"/>
      <c r="D327" s="93"/>
      <c r="E327" s="3"/>
      <c r="F327" s="13"/>
      <c r="G327" s="15"/>
      <c r="I327" s="103"/>
      <c r="J327" s="103"/>
      <c r="K327" s="103"/>
      <c r="L327" s="103"/>
      <c r="M327" s="134"/>
      <c r="N327" s="103"/>
      <c r="O327" s="41"/>
    </row>
    <row r="328" spans="1:15" ht="13.95" customHeight="1">
      <c r="A328" s="16"/>
      <c r="B328" s="12"/>
      <c r="C328" s="75"/>
      <c r="D328" s="93"/>
      <c r="E328" s="3"/>
      <c r="F328" s="13"/>
      <c r="G328" s="15"/>
      <c r="I328" s="103"/>
      <c r="J328" s="103"/>
      <c r="K328" s="103"/>
      <c r="L328" s="103"/>
      <c r="M328" s="134"/>
      <c r="N328" s="103"/>
      <c r="O328" s="41"/>
    </row>
    <row r="329" spans="1:15" ht="13.95" customHeight="1">
      <c r="A329" s="16"/>
      <c r="B329" s="12"/>
      <c r="C329" s="75"/>
      <c r="D329" s="93"/>
      <c r="E329" s="3"/>
      <c r="F329" s="13"/>
      <c r="G329" s="15"/>
      <c r="I329" s="103"/>
      <c r="J329" s="103"/>
      <c r="K329" s="103"/>
      <c r="L329" s="103"/>
      <c r="M329" s="134"/>
      <c r="N329" s="103"/>
      <c r="O329" s="41"/>
    </row>
    <row r="330" spans="1:15" ht="13.95" customHeight="1">
      <c r="A330" s="16"/>
      <c r="B330" s="12"/>
      <c r="C330" s="75"/>
      <c r="D330" s="93"/>
      <c r="E330" s="3"/>
      <c r="F330" s="13"/>
      <c r="G330" s="15"/>
      <c r="I330" s="103"/>
      <c r="J330" s="103"/>
      <c r="K330" s="103"/>
      <c r="L330" s="103"/>
      <c r="M330" s="134"/>
      <c r="N330" s="103"/>
      <c r="O330" s="41"/>
    </row>
    <row r="331" spans="1:15" ht="13.95" customHeight="1">
      <c r="A331" s="16"/>
      <c r="B331" s="16"/>
      <c r="C331" s="47"/>
      <c r="D331" s="58"/>
      <c r="E331" s="13"/>
      <c r="F331" s="14"/>
      <c r="G331" s="15"/>
      <c r="I331" s="105"/>
      <c r="J331" s="105"/>
      <c r="K331" s="105"/>
      <c r="L331" s="105"/>
      <c r="M331" s="135"/>
      <c r="N331" s="53"/>
      <c r="O331" s="41"/>
    </row>
    <row r="332" spans="1:15">
      <c r="A332" s="16"/>
      <c r="B332" s="16"/>
      <c r="C332" s="47"/>
      <c r="D332" s="58"/>
      <c r="E332" s="13"/>
      <c r="F332" s="14"/>
      <c r="G332" s="15"/>
    </row>
    <row r="333" spans="1:15">
      <c r="A333" s="16"/>
      <c r="B333" s="16"/>
      <c r="C333" s="47"/>
      <c r="D333" s="58"/>
      <c r="E333" s="13"/>
      <c r="F333" s="14"/>
      <c r="G333" s="15"/>
    </row>
    <row r="334" spans="1:15">
      <c r="A334" s="16"/>
      <c r="B334" s="16"/>
      <c r="C334" s="47"/>
      <c r="D334" s="58"/>
      <c r="E334" s="13"/>
      <c r="F334" s="14"/>
      <c r="G334" s="15"/>
    </row>
    <row r="335" spans="1:15" ht="20.399999999999999" customHeight="1">
      <c r="A335" s="156" t="s">
        <v>161</v>
      </c>
      <c r="B335" s="157"/>
      <c r="C335" s="157"/>
      <c r="D335" s="157"/>
      <c r="E335" s="157"/>
      <c r="F335" s="158"/>
      <c r="G335" s="78">
        <f>SUM(G289:G334)</f>
        <v>3650323.7</v>
      </c>
    </row>
  </sheetData>
  <mergeCells count="13">
    <mergeCell ref="A152:F152"/>
    <mergeCell ref="A48:F48"/>
    <mergeCell ref="A52:F52"/>
    <mergeCell ref="A96:F96"/>
    <mergeCell ref="A100:F100"/>
    <mergeCell ref="A148:F148"/>
    <mergeCell ref="A335:F335"/>
    <mergeCell ref="A198:F198"/>
    <mergeCell ref="A202:F202"/>
    <mergeCell ref="A242:F242"/>
    <mergeCell ref="A246:F246"/>
    <mergeCell ref="A285:F285"/>
    <mergeCell ref="A289:F289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654F9-4B72-42C6-A774-D39E2A6D4B27}">
  <dimension ref="A1:O335"/>
  <sheetViews>
    <sheetView showGridLines="0" view="pageBreakPreview" topLeftCell="A2" zoomScaleNormal="100" zoomScaleSheetLayoutView="100" workbookViewId="0">
      <selection activeCell="I2" sqref="I1:O1048576"/>
    </sheetView>
  </sheetViews>
  <sheetFormatPr defaultColWidth="13.109375" defaultRowHeight="12"/>
  <cols>
    <col min="1" max="1" width="4.88671875" style="22" customWidth="1"/>
    <col min="2" max="2" width="8.33203125" style="20" customWidth="1"/>
    <col min="3" max="3" width="40.6640625" style="21" customWidth="1"/>
    <col min="4" max="4" width="5.109375" style="22" customWidth="1"/>
    <col min="5" max="5" width="7.6640625" style="22" customWidth="1"/>
    <col min="6" max="6" width="8.6640625" style="23" customWidth="1"/>
    <col min="7" max="7" width="11.6640625" style="24" customWidth="1"/>
    <col min="8" max="8" width="4.33203125" style="6" customWidth="1"/>
    <col min="9" max="9" width="11.33203125" style="22" hidden="1" customWidth="1"/>
    <col min="10" max="10" width="11.109375" style="22" hidden="1" customWidth="1"/>
    <col min="11" max="11" width="10.88671875" style="22" hidden="1" customWidth="1"/>
    <col min="12" max="12" width="11.6640625" style="22" hidden="1" customWidth="1"/>
    <col min="13" max="13" width="13.109375" style="106" hidden="1" customWidth="1"/>
    <col min="14" max="14" width="0" style="22" hidden="1" customWidth="1"/>
    <col min="15" max="15" width="0" style="6" hidden="1" customWidth="1"/>
    <col min="16" max="16384" width="13.109375" style="6"/>
  </cols>
  <sheetData>
    <row r="1" spans="1:14" ht="20.399999999999999" hidden="1" customHeight="1">
      <c r="A1" s="19" t="s">
        <v>80</v>
      </c>
    </row>
    <row r="2" spans="1:14" ht="15" customHeight="1">
      <c r="A2" s="142" t="str">
        <f>Summary!A2</f>
        <v>NAFASI WATER - ARNOT WASTE TREATMENT PLANT</v>
      </c>
      <c r="G2" s="25" t="str">
        <f>Summary!C2</f>
        <v>Revision T1</v>
      </c>
    </row>
    <row r="3" spans="1:14" ht="15" customHeight="1">
      <c r="A3" s="19" t="str">
        <f>Summary!A3</f>
        <v>PILING AND CIVIL WORK</v>
      </c>
      <c r="G3" s="26"/>
    </row>
    <row r="4" spans="1:14" ht="15" customHeight="1">
      <c r="A4" s="19" t="s">
        <v>289</v>
      </c>
      <c r="G4" s="143">
        <f>Summary!C4</f>
        <v>45183</v>
      </c>
    </row>
    <row r="5" spans="1:14" ht="15" customHeight="1">
      <c r="A5" s="27"/>
      <c r="B5" s="28"/>
      <c r="C5" s="28"/>
      <c r="E5" s="29"/>
      <c r="G5" s="30"/>
    </row>
    <row r="6" spans="1:14" s="42" customFormat="1" ht="37.200000000000003" customHeight="1">
      <c r="A6" s="44" t="s">
        <v>8</v>
      </c>
      <c r="B6" s="48" t="s">
        <v>9</v>
      </c>
      <c r="C6" s="44" t="s">
        <v>10</v>
      </c>
      <c r="D6" s="48" t="s">
        <v>11</v>
      </c>
      <c r="E6" s="48" t="s">
        <v>59</v>
      </c>
      <c r="F6" s="49" t="s">
        <v>12</v>
      </c>
      <c r="G6" s="49" t="s">
        <v>13</v>
      </c>
      <c r="I6" s="100" t="s">
        <v>265</v>
      </c>
      <c r="J6" s="100" t="s">
        <v>245</v>
      </c>
      <c r="K6" s="100" t="s">
        <v>275</v>
      </c>
      <c r="L6" s="101" t="s">
        <v>272</v>
      </c>
      <c r="M6" s="100"/>
      <c r="N6" s="48"/>
    </row>
    <row r="7" spans="1:14" s="42" customFormat="1" ht="4.95" customHeight="1">
      <c r="A7" s="2"/>
      <c r="B7" s="40"/>
      <c r="C7" s="50"/>
      <c r="D7" s="40"/>
      <c r="E7" s="40"/>
      <c r="F7" s="54"/>
      <c r="G7" s="54"/>
      <c r="I7" s="40"/>
      <c r="J7" s="40"/>
      <c r="K7" s="40"/>
      <c r="L7" s="102"/>
      <c r="M7" s="107"/>
      <c r="N7" s="109"/>
    </row>
    <row r="8" spans="1:14" ht="19.2" customHeight="1">
      <c r="A8" s="1"/>
      <c r="B8" s="2"/>
      <c r="C8" s="11" t="s">
        <v>290</v>
      </c>
      <c r="D8" s="1"/>
      <c r="E8" s="1"/>
      <c r="F8" s="4"/>
      <c r="G8" s="5"/>
      <c r="I8" s="9"/>
      <c r="J8" s="9"/>
      <c r="K8" s="9"/>
      <c r="L8" s="103"/>
      <c r="M8" s="108"/>
      <c r="N8" s="9"/>
    </row>
    <row r="9" spans="1:14" ht="10.95" customHeight="1">
      <c r="A9" s="1"/>
      <c r="B9" s="2"/>
      <c r="C9" s="11"/>
      <c r="D9" s="1"/>
      <c r="E9" s="1"/>
      <c r="F9" s="4"/>
      <c r="G9" s="5"/>
      <c r="I9" s="9"/>
      <c r="J9" s="9"/>
      <c r="K9" s="9"/>
      <c r="L9" s="103"/>
      <c r="M9" s="108"/>
      <c r="N9" s="9"/>
    </row>
    <row r="10" spans="1:14" ht="22.2" customHeight="1">
      <c r="A10" s="1"/>
      <c r="B10" s="1" t="s">
        <v>22</v>
      </c>
      <c r="C10" s="34" t="s">
        <v>69</v>
      </c>
      <c r="D10" s="1"/>
      <c r="E10" s="3" t="str">
        <f>IF(SUM(H10:M10)&gt;0,SUM(H10:M10),"")</f>
        <v/>
      </c>
      <c r="F10" s="4"/>
      <c r="G10" s="5"/>
      <c r="I10" s="9"/>
      <c r="J10" s="9"/>
      <c r="K10" s="9"/>
      <c r="L10" s="103"/>
      <c r="M10" s="108"/>
      <c r="N10" s="9"/>
    </row>
    <row r="11" spans="1:14" ht="13.95" customHeight="1">
      <c r="A11" s="1"/>
      <c r="B11" s="1"/>
      <c r="C11" s="34"/>
      <c r="D11" s="1"/>
      <c r="E11" s="3" t="str">
        <f>IF(SUM(H11:M11)&gt;0,SUM(H11:M11),"")</f>
        <v/>
      </c>
      <c r="F11" s="4"/>
      <c r="G11" s="5"/>
      <c r="I11" s="9"/>
      <c r="J11" s="9"/>
      <c r="K11" s="9"/>
      <c r="L11" s="103"/>
      <c r="M11" s="108"/>
      <c r="N11" s="9"/>
    </row>
    <row r="12" spans="1:14" ht="13.95" customHeight="1">
      <c r="A12" s="1"/>
      <c r="B12" s="1"/>
      <c r="C12" s="32" t="s">
        <v>55</v>
      </c>
      <c r="D12" s="1"/>
      <c r="E12" s="3" t="str">
        <f>IF(SUM(H12:M12)&gt;0,SUM(H12:M12),"")</f>
        <v/>
      </c>
      <c r="F12" s="4"/>
      <c r="G12" s="5"/>
      <c r="I12" s="9"/>
      <c r="J12" s="9"/>
      <c r="K12" s="9"/>
      <c r="L12" s="103"/>
      <c r="M12" s="108"/>
      <c r="N12" s="9"/>
    </row>
    <row r="13" spans="1:14" ht="13.95" customHeight="1">
      <c r="A13" s="1"/>
      <c r="B13" s="1"/>
      <c r="C13" s="32"/>
      <c r="D13" s="1"/>
      <c r="E13" s="3" t="str">
        <f>IF(SUM(H13:M13)&gt;0,SUM(H13:M13),"")</f>
        <v/>
      </c>
      <c r="F13" s="4"/>
      <c r="G13" s="5"/>
      <c r="I13" s="9"/>
      <c r="J13" s="9"/>
      <c r="K13" s="9"/>
      <c r="L13" s="103"/>
      <c r="M13" s="108"/>
      <c r="N13" s="9"/>
    </row>
    <row r="14" spans="1:14" ht="22.2" customHeight="1">
      <c r="A14" s="1">
        <v>1</v>
      </c>
      <c r="B14" s="1"/>
      <c r="C14" s="33" t="s">
        <v>218</v>
      </c>
      <c r="D14" s="1" t="s">
        <v>6</v>
      </c>
      <c r="E14" s="3">
        <f>SUM(I14:N14)</f>
        <v>0</v>
      </c>
      <c r="F14" s="13">
        <v>1150</v>
      </c>
      <c r="G14" s="5">
        <f t="shared" ref="G14" si="0">+E14*F14</f>
        <v>0</v>
      </c>
      <c r="I14" s="137">
        <v>0</v>
      </c>
      <c r="J14" s="137">
        <v>0</v>
      </c>
      <c r="K14" s="137">
        <v>0</v>
      </c>
      <c r="L14" s="137">
        <v>0</v>
      </c>
      <c r="M14" s="137"/>
      <c r="N14" s="137"/>
    </row>
    <row r="15" spans="1:14" ht="13.95" customHeight="1">
      <c r="A15" s="1"/>
      <c r="B15" s="1"/>
      <c r="C15" s="32"/>
      <c r="D15" s="1"/>
      <c r="E15" s="3"/>
      <c r="F15" s="14"/>
      <c r="G15" s="5"/>
      <c r="I15" s="13"/>
      <c r="J15" s="13"/>
      <c r="K15" s="13"/>
      <c r="L15" s="13"/>
      <c r="M15" s="13"/>
      <c r="N15" s="13"/>
    </row>
    <row r="16" spans="1:14" ht="13.95" customHeight="1">
      <c r="A16" s="1"/>
      <c r="B16" s="1"/>
      <c r="C16" s="32" t="s">
        <v>221</v>
      </c>
      <c r="D16" s="1"/>
      <c r="E16" s="3"/>
      <c r="F16" s="14"/>
      <c r="G16" s="5"/>
      <c r="I16" s="13"/>
      <c r="J16" s="13"/>
      <c r="K16" s="13"/>
      <c r="L16" s="13"/>
      <c r="M16" s="13"/>
      <c r="N16" s="13"/>
    </row>
    <row r="17" spans="1:14" ht="34.950000000000003" customHeight="1">
      <c r="A17" s="1"/>
      <c r="B17" s="1"/>
      <c r="C17" s="33" t="s">
        <v>219</v>
      </c>
      <c r="D17" s="1"/>
      <c r="E17" s="3"/>
      <c r="F17" s="14"/>
      <c r="G17" s="5"/>
      <c r="I17" s="13"/>
      <c r="J17" s="13"/>
      <c r="K17" s="13"/>
      <c r="L17" s="13"/>
      <c r="M17" s="13"/>
      <c r="N17" s="13"/>
    </row>
    <row r="18" spans="1:14" ht="10.95" customHeight="1">
      <c r="A18" s="1"/>
      <c r="B18" s="1"/>
      <c r="C18" s="32"/>
      <c r="D18" s="1"/>
      <c r="E18" s="3"/>
      <c r="F18" s="13"/>
      <c r="G18" s="5"/>
      <c r="I18" s="13"/>
      <c r="J18" s="13"/>
      <c r="K18" s="13"/>
      <c r="L18" s="13"/>
      <c r="M18" s="13"/>
      <c r="N18" s="13"/>
    </row>
    <row r="19" spans="1:14" ht="13.2" customHeight="1">
      <c r="A19" s="1">
        <v>2</v>
      </c>
      <c r="B19" s="1"/>
      <c r="C19" s="33" t="s">
        <v>33</v>
      </c>
      <c r="D19" s="1" t="s">
        <v>1</v>
      </c>
      <c r="E19" s="3">
        <f>SUM(I19:N19)</f>
        <v>0</v>
      </c>
      <c r="F19" s="13">
        <v>1850</v>
      </c>
      <c r="G19" s="5">
        <f t="shared" ref="G19" si="1">+E19*F19</f>
        <v>0</v>
      </c>
      <c r="I19" s="138">
        <f t="shared" ref="I19:L19" si="2">I14*10</f>
        <v>0</v>
      </c>
      <c r="J19" s="138">
        <f t="shared" ref="J19:K19" si="3">J14*10</f>
        <v>0</v>
      </c>
      <c r="K19" s="138">
        <f t="shared" si="3"/>
        <v>0</v>
      </c>
      <c r="L19" s="138">
        <f t="shared" si="2"/>
        <v>0</v>
      </c>
      <c r="M19" s="138"/>
      <c r="N19" s="138"/>
    </row>
    <row r="20" spans="1:14" ht="13.2" customHeight="1">
      <c r="A20" s="1"/>
      <c r="B20" s="1"/>
      <c r="C20" s="32"/>
      <c r="D20" s="1"/>
      <c r="E20" s="3"/>
      <c r="F20" s="13"/>
      <c r="G20" s="5"/>
      <c r="I20" s="138"/>
      <c r="J20" s="138"/>
      <c r="K20" s="138"/>
      <c r="L20" s="138"/>
      <c r="M20" s="138"/>
      <c r="N20" s="138"/>
    </row>
    <row r="21" spans="1:14" ht="13.2" customHeight="1">
      <c r="A21" s="1">
        <v>3</v>
      </c>
      <c r="B21" s="1"/>
      <c r="C21" s="33" t="s">
        <v>34</v>
      </c>
      <c r="D21" s="1" t="s">
        <v>1</v>
      </c>
      <c r="E21" s="3">
        <f>SUM(I21:N21)</f>
        <v>0</v>
      </c>
      <c r="F21" s="13">
        <f>F19</f>
        <v>1850</v>
      </c>
      <c r="G21" s="5">
        <f t="shared" ref="G21" si="4">+E21*F21</f>
        <v>0</v>
      </c>
      <c r="I21" s="138">
        <f t="shared" ref="I21:L21" si="5">I14*5</f>
        <v>0</v>
      </c>
      <c r="J21" s="138">
        <f t="shared" ref="J21:K21" si="6">J14*5</f>
        <v>0</v>
      </c>
      <c r="K21" s="138">
        <f t="shared" si="6"/>
        <v>0</v>
      </c>
      <c r="L21" s="138">
        <f t="shared" si="5"/>
        <v>0</v>
      </c>
      <c r="M21" s="138"/>
      <c r="N21" s="138"/>
    </row>
    <row r="22" spans="1:14" ht="13.2" customHeight="1">
      <c r="A22" s="1"/>
      <c r="B22" s="1"/>
      <c r="C22" s="32"/>
      <c r="D22" s="1"/>
      <c r="E22" s="3"/>
      <c r="F22" s="13"/>
      <c r="G22" s="5"/>
      <c r="I22" s="138"/>
      <c r="J22" s="138"/>
      <c r="K22" s="138"/>
      <c r="L22" s="138"/>
      <c r="M22" s="138"/>
      <c r="N22" s="138"/>
    </row>
    <row r="23" spans="1:14" ht="13.2" customHeight="1">
      <c r="A23" s="1"/>
      <c r="B23" s="1"/>
      <c r="C23" s="32" t="s">
        <v>76</v>
      </c>
      <c r="D23" s="1"/>
      <c r="E23" s="3"/>
      <c r="F23" s="13"/>
      <c r="G23" s="5"/>
      <c r="I23" s="138"/>
      <c r="J23" s="138"/>
      <c r="K23" s="138"/>
      <c r="L23" s="138"/>
      <c r="M23" s="138"/>
      <c r="N23" s="138"/>
    </row>
    <row r="24" spans="1:14" ht="13.2" customHeight="1">
      <c r="A24" s="1"/>
      <c r="B24" s="1"/>
      <c r="C24" s="32"/>
      <c r="D24" s="1"/>
      <c r="E24" s="3"/>
      <c r="F24" s="13"/>
      <c r="G24" s="5"/>
      <c r="I24" s="138"/>
      <c r="J24" s="138"/>
      <c r="K24" s="138"/>
      <c r="L24" s="138"/>
      <c r="M24" s="138"/>
      <c r="N24" s="138"/>
    </row>
    <row r="25" spans="1:14" ht="13.2" customHeight="1">
      <c r="A25" s="1">
        <v>4</v>
      </c>
      <c r="B25" s="1"/>
      <c r="C25" s="47" t="s">
        <v>77</v>
      </c>
      <c r="D25" s="1" t="s">
        <v>6</v>
      </c>
      <c r="E25" s="3">
        <f>SUM(I25:N25)</f>
        <v>0</v>
      </c>
      <c r="F25" s="13">
        <v>1250</v>
      </c>
      <c r="G25" s="5">
        <f t="shared" ref="G25" si="7">+E25*F25</f>
        <v>0</v>
      </c>
      <c r="I25" s="138">
        <f t="shared" ref="I25:L25" si="8">I14</f>
        <v>0</v>
      </c>
      <c r="J25" s="138">
        <f t="shared" ref="J25:K25" si="9">J14</f>
        <v>0</v>
      </c>
      <c r="K25" s="138">
        <f t="shared" si="9"/>
        <v>0</v>
      </c>
      <c r="L25" s="138">
        <f t="shared" si="8"/>
        <v>0</v>
      </c>
      <c r="M25" s="138"/>
      <c r="N25" s="138"/>
    </row>
    <row r="26" spans="1:14" ht="13.2" customHeight="1">
      <c r="A26" s="1"/>
      <c r="B26" s="1"/>
      <c r="C26" s="32"/>
      <c r="D26" s="1"/>
      <c r="E26" s="3"/>
      <c r="F26" s="13"/>
      <c r="G26" s="5"/>
      <c r="I26" s="138"/>
      <c r="J26" s="138"/>
      <c r="K26" s="138"/>
      <c r="L26" s="138"/>
      <c r="M26" s="138"/>
      <c r="N26" s="138"/>
    </row>
    <row r="27" spans="1:14" ht="12.6" customHeight="1">
      <c r="A27" s="1"/>
      <c r="B27" s="1"/>
      <c r="C27" s="32" t="s">
        <v>71</v>
      </c>
      <c r="D27" s="1"/>
      <c r="E27" s="3"/>
      <c r="F27" s="13"/>
      <c r="G27" s="5"/>
      <c r="I27" s="138"/>
      <c r="J27" s="138"/>
      <c r="K27" s="138"/>
      <c r="L27" s="138"/>
      <c r="M27" s="138"/>
      <c r="N27" s="138"/>
    </row>
    <row r="28" spans="1:14" ht="12.6" customHeight="1">
      <c r="A28" s="1"/>
      <c r="B28" s="1"/>
      <c r="C28" s="33"/>
      <c r="D28" s="1"/>
      <c r="E28" s="3"/>
      <c r="F28" s="13"/>
      <c r="G28" s="5"/>
      <c r="I28" s="138"/>
      <c r="J28" s="138"/>
      <c r="K28" s="138"/>
      <c r="L28" s="138"/>
      <c r="M28" s="138"/>
      <c r="N28" s="138"/>
    </row>
    <row r="29" spans="1:14" ht="12.6" customHeight="1">
      <c r="A29" s="1">
        <v>5</v>
      </c>
      <c r="B29" s="1"/>
      <c r="C29" s="33" t="s">
        <v>223</v>
      </c>
      <c r="D29" s="1" t="s">
        <v>2</v>
      </c>
      <c r="E29" s="3">
        <f>SUM(I29:N29)</f>
        <v>0</v>
      </c>
      <c r="F29" s="13">
        <v>29500</v>
      </c>
      <c r="G29" s="5">
        <f t="shared" ref="G29" si="10">+E29*F29</f>
        <v>0</v>
      </c>
      <c r="I29" s="139">
        <f t="shared" ref="I29:L29" si="11">(I19+I21)*0.00325</f>
        <v>0</v>
      </c>
      <c r="J29" s="139">
        <f t="shared" ref="J29:K29" si="12">(J19+J21)*0.00325</f>
        <v>0</v>
      </c>
      <c r="K29" s="139">
        <f t="shared" si="12"/>
        <v>0</v>
      </c>
      <c r="L29" s="139">
        <f t="shared" si="11"/>
        <v>0</v>
      </c>
      <c r="M29" s="139"/>
      <c r="N29" s="139"/>
    </row>
    <row r="30" spans="1:14" ht="12.6" customHeight="1">
      <c r="A30" s="1"/>
      <c r="B30" s="1"/>
      <c r="C30" s="33"/>
      <c r="D30" s="1"/>
      <c r="E30" s="3"/>
      <c r="F30" s="13"/>
      <c r="G30" s="5"/>
      <c r="I30" s="138"/>
      <c r="J30" s="138"/>
      <c r="K30" s="138"/>
      <c r="L30" s="138"/>
      <c r="M30" s="138"/>
      <c r="N30" s="138"/>
    </row>
    <row r="31" spans="1:14" ht="12.6" customHeight="1">
      <c r="A31" s="1">
        <v>6</v>
      </c>
      <c r="B31" s="1"/>
      <c r="C31" s="33" t="s">
        <v>222</v>
      </c>
      <c r="D31" s="1" t="s">
        <v>2</v>
      </c>
      <c r="E31" s="3">
        <f>SUM(I31:AG31)</f>
        <v>0</v>
      </c>
      <c r="F31" s="13">
        <v>28000</v>
      </c>
      <c r="G31" s="5">
        <f t="shared" ref="G31" si="13">+E31*F31</f>
        <v>0</v>
      </c>
      <c r="I31" s="139">
        <f t="shared" ref="I31:L31" si="14">(I19+I21)*0.0215</f>
        <v>0</v>
      </c>
      <c r="J31" s="139">
        <f t="shared" ref="J31:K31" si="15">(J19+J21)*0.0215</f>
        <v>0</v>
      </c>
      <c r="K31" s="139">
        <f t="shared" si="15"/>
        <v>0</v>
      </c>
      <c r="L31" s="139">
        <f t="shared" si="14"/>
        <v>0</v>
      </c>
      <c r="M31" s="139"/>
      <c r="N31" s="139"/>
    </row>
    <row r="32" spans="1:14" ht="12.6" customHeight="1">
      <c r="A32" s="1"/>
      <c r="B32" s="1"/>
      <c r="C32" s="33"/>
      <c r="D32" s="1"/>
      <c r="E32" s="3"/>
      <c r="F32" s="13"/>
      <c r="G32" s="5"/>
      <c r="I32" s="138"/>
      <c r="J32" s="138"/>
      <c r="K32" s="138"/>
      <c r="L32" s="138"/>
      <c r="M32" s="138"/>
      <c r="N32" s="138"/>
    </row>
    <row r="33" spans="1:14" ht="12.6" customHeight="1">
      <c r="A33" s="1"/>
      <c r="B33" s="1"/>
      <c r="C33" s="32" t="s">
        <v>56</v>
      </c>
      <c r="D33" s="1"/>
      <c r="E33" s="3"/>
      <c r="F33" s="13"/>
      <c r="G33" s="5"/>
      <c r="I33" s="138"/>
      <c r="J33" s="138"/>
      <c r="K33" s="138"/>
      <c r="L33" s="138"/>
      <c r="M33" s="138"/>
      <c r="N33" s="138"/>
    </row>
    <row r="34" spans="1:14" ht="13.2" customHeight="1">
      <c r="A34" s="1"/>
      <c r="B34" s="1"/>
      <c r="C34" s="33"/>
      <c r="D34" s="1"/>
      <c r="E34" s="3"/>
      <c r="F34" s="13"/>
      <c r="G34" s="5"/>
      <c r="I34" s="138"/>
      <c r="J34" s="138"/>
      <c r="K34" s="138"/>
      <c r="L34" s="138"/>
      <c r="M34" s="138"/>
      <c r="N34" s="138"/>
    </row>
    <row r="35" spans="1:14" ht="13.2" customHeight="1">
      <c r="A35" s="1">
        <v>7</v>
      </c>
      <c r="B35" s="1"/>
      <c r="C35" s="33" t="s">
        <v>220</v>
      </c>
      <c r="D35" s="1"/>
      <c r="E35" s="3"/>
      <c r="F35" s="13"/>
      <c r="G35" s="5"/>
      <c r="I35" s="138"/>
      <c r="J35" s="138"/>
      <c r="K35" s="138"/>
      <c r="L35" s="138"/>
      <c r="M35" s="138"/>
      <c r="N35" s="138"/>
    </row>
    <row r="36" spans="1:14" ht="13.2" customHeight="1">
      <c r="A36" s="1"/>
      <c r="B36" s="1"/>
      <c r="C36" s="1"/>
      <c r="D36" s="1"/>
      <c r="E36" s="3"/>
      <c r="F36" s="13"/>
      <c r="G36" s="5"/>
      <c r="I36" s="138"/>
      <c r="J36" s="138"/>
      <c r="K36" s="138"/>
      <c r="L36" s="138"/>
      <c r="M36" s="138"/>
      <c r="N36" s="138"/>
    </row>
    <row r="37" spans="1:14" ht="13.2" customHeight="1">
      <c r="A37" s="1"/>
      <c r="B37" s="1"/>
      <c r="C37" s="33" t="s">
        <v>38</v>
      </c>
      <c r="D37" s="1" t="s">
        <v>51</v>
      </c>
      <c r="E37" s="3">
        <f>SUM(I37:N37)</f>
        <v>0</v>
      </c>
      <c r="F37" s="13">
        <v>3500</v>
      </c>
      <c r="G37" s="5">
        <f t="shared" ref="G37" si="16">+E37*F37</f>
        <v>0</v>
      </c>
      <c r="I37" s="139">
        <f t="shared" ref="I37:L37" si="17">((I19+I21)*0.292)+(I14*0.75)</f>
        <v>0</v>
      </c>
      <c r="J37" s="139">
        <f t="shared" ref="J37:K37" si="18">((J19+J21)*0.292)+(J14*0.75)</f>
        <v>0</v>
      </c>
      <c r="K37" s="139">
        <f t="shared" si="18"/>
        <v>0</v>
      </c>
      <c r="L37" s="139">
        <f t="shared" si="17"/>
        <v>0</v>
      </c>
      <c r="M37" s="139"/>
      <c r="N37" s="139"/>
    </row>
    <row r="38" spans="1:14" ht="13.2" customHeight="1">
      <c r="A38" s="1"/>
      <c r="B38" s="1"/>
      <c r="C38" s="33"/>
      <c r="D38" s="1"/>
      <c r="E38" s="3"/>
      <c r="F38" s="13"/>
      <c r="G38" s="5"/>
      <c r="I38" s="138"/>
      <c r="J38" s="138"/>
      <c r="K38" s="138"/>
      <c r="L38" s="138"/>
      <c r="M38" s="138"/>
      <c r="N38" s="138"/>
    </row>
    <row r="39" spans="1:14" ht="13.2" customHeight="1">
      <c r="A39" s="1"/>
      <c r="B39" s="1" t="s">
        <v>23</v>
      </c>
      <c r="C39" s="32" t="s">
        <v>35</v>
      </c>
      <c r="D39" s="1"/>
      <c r="E39" s="3"/>
      <c r="F39" s="13"/>
      <c r="G39" s="5"/>
      <c r="I39" s="138"/>
      <c r="J39" s="138"/>
      <c r="K39" s="138"/>
      <c r="L39" s="138"/>
      <c r="M39" s="138"/>
      <c r="N39" s="138"/>
    </row>
    <row r="40" spans="1:14" ht="13.2" customHeight="1">
      <c r="A40" s="1"/>
      <c r="B40" s="1"/>
      <c r="C40" s="32"/>
      <c r="D40" s="1"/>
      <c r="E40" s="3"/>
      <c r="F40" s="13"/>
      <c r="G40" s="5"/>
      <c r="I40" s="138"/>
      <c r="J40" s="138"/>
      <c r="K40" s="138"/>
      <c r="L40" s="138"/>
      <c r="M40" s="138"/>
      <c r="N40" s="138"/>
    </row>
    <row r="41" spans="1:14" ht="13.2" customHeight="1">
      <c r="A41" s="1">
        <v>8</v>
      </c>
      <c r="B41" s="1"/>
      <c r="C41" s="33" t="s">
        <v>259</v>
      </c>
      <c r="D41" s="1" t="s">
        <v>6</v>
      </c>
      <c r="E41" s="3">
        <f>SUM(I41:N41)</f>
        <v>0</v>
      </c>
      <c r="F41" s="13">
        <v>875</v>
      </c>
      <c r="G41" s="5">
        <f t="shared" ref="G41" si="19">+E41*F41</f>
        <v>0</v>
      </c>
      <c r="I41" s="138">
        <f t="shared" ref="I41:L41" si="20">I14</f>
        <v>0</v>
      </c>
      <c r="J41" s="138">
        <f t="shared" ref="J41:K41" si="21">J14</f>
        <v>0</v>
      </c>
      <c r="K41" s="138">
        <f t="shared" si="21"/>
        <v>0</v>
      </c>
      <c r="L41" s="138">
        <f t="shared" si="20"/>
        <v>0</v>
      </c>
      <c r="M41" s="138"/>
      <c r="N41" s="138"/>
    </row>
    <row r="42" spans="1:14" ht="13.2" customHeight="1">
      <c r="A42" s="1"/>
      <c r="B42" s="2"/>
      <c r="C42" s="11"/>
      <c r="D42" s="1"/>
      <c r="E42" s="1"/>
      <c r="F42" s="13"/>
      <c r="G42" s="5"/>
      <c r="I42" s="1"/>
      <c r="J42" s="1"/>
      <c r="K42" s="1"/>
      <c r="L42" s="103"/>
      <c r="M42" s="108"/>
      <c r="N42" s="9"/>
    </row>
    <row r="43" spans="1:14" ht="24">
      <c r="A43" s="1"/>
      <c r="B43" s="2" t="s">
        <v>100</v>
      </c>
      <c r="C43" s="31" t="s">
        <v>79</v>
      </c>
      <c r="D43" s="1"/>
      <c r="E43" s="3"/>
      <c r="F43" s="14"/>
      <c r="G43" s="5"/>
      <c r="I43" s="3"/>
      <c r="J43" s="3"/>
      <c r="K43" s="3"/>
      <c r="L43" s="103"/>
      <c r="M43" s="108"/>
      <c r="N43" s="9"/>
    </row>
    <row r="44" spans="1:14" ht="13.95" customHeight="1">
      <c r="A44" s="1"/>
      <c r="B44" s="2"/>
      <c r="C44" s="8" t="s">
        <v>81</v>
      </c>
      <c r="D44" s="1"/>
      <c r="E44" s="3"/>
      <c r="F44" s="14"/>
      <c r="G44" s="5"/>
      <c r="I44" s="3"/>
      <c r="J44" s="3"/>
      <c r="K44" s="3"/>
      <c r="L44" s="103"/>
      <c r="M44" s="108"/>
      <c r="N44" s="9"/>
    </row>
    <row r="45" spans="1:14" ht="50.4" customHeight="1">
      <c r="A45" s="16">
        <v>9</v>
      </c>
      <c r="B45" s="33" t="s">
        <v>162</v>
      </c>
      <c r="C45" s="33" t="s">
        <v>163</v>
      </c>
      <c r="D45" s="9" t="s">
        <v>60</v>
      </c>
      <c r="E45" s="3">
        <f>SUM(I45:N45)</f>
        <v>101</v>
      </c>
      <c r="F45" s="13">
        <v>225</v>
      </c>
      <c r="G45" s="5">
        <f t="shared" ref="G45" si="22">+E45*F45</f>
        <v>22725</v>
      </c>
      <c r="I45" s="9"/>
      <c r="J45" s="9">
        <v>101</v>
      </c>
      <c r="K45" s="9"/>
      <c r="L45" s="103"/>
      <c r="M45" s="108"/>
      <c r="N45" s="9"/>
    </row>
    <row r="46" spans="1:14">
      <c r="A46" s="16"/>
      <c r="B46" s="33"/>
      <c r="D46" s="9"/>
      <c r="E46" s="3"/>
      <c r="F46" s="13"/>
      <c r="G46" s="5"/>
      <c r="I46" s="9"/>
      <c r="J46" s="9"/>
      <c r="K46" s="9"/>
      <c r="L46" s="103"/>
      <c r="M46" s="108"/>
      <c r="N46" s="9"/>
    </row>
    <row r="47" spans="1:14" ht="13.95" customHeight="1">
      <c r="A47" s="1"/>
      <c r="B47" s="2"/>
      <c r="C47" s="8"/>
      <c r="D47" s="9"/>
      <c r="E47" s="3"/>
      <c r="F47" s="4"/>
      <c r="G47" s="5"/>
      <c r="I47" s="9"/>
      <c r="J47" s="9"/>
      <c r="K47" s="9"/>
      <c r="L47" s="103"/>
      <c r="M47" s="108"/>
      <c r="N47" s="9"/>
    </row>
    <row r="48" spans="1:14" ht="20.100000000000001" customHeight="1">
      <c r="A48" s="149" t="s">
        <v>66</v>
      </c>
      <c r="B48" s="150"/>
      <c r="C48" s="150"/>
      <c r="D48" s="150"/>
      <c r="E48" s="150"/>
      <c r="F48" s="151"/>
      <c r="G48" s="116">
        <f>SUM(G8:G47)</f>
        <v>22725</v>
      </c>
      <c r="I48" s="9"/>
      <c r="J48" s="9"/>
      <c r="K48" s="9"/>
      <c r="L48" s="103"/>
      <c r="M48" s="108"/>
      <c r="N48" s="9"/>
    </row>
    <row r="49" spans="1:14">
      <c r="A49" s="39"/>
      <c r="B49" s="39"/>
      <c r="C49" s="39"/>
      <c r="D49" s="39"/>
      <c r="E49" s="39"/>
      <c r="F49" s="39"/>
      <c r="G49" s="113"/>
      <c r="I49" s="9"/>
      <c r="J49" s="9"/>
      <c r="K49" s="9"/>
      <c r="L49" s="103"/>
      <c r="M49" s="108"/>
      <c r="N49" s="9"/>
    </row>
    <row r="50" spans="1:14" ht="13.95" customHeight="1">
      <c r="A50" s="39"/>
      <c r="B50" s="39"/>
      <c r="C50" s="39"/>
      <c r="D50" s="39"/>
      <c r="E50" s="39"/>
      <c r="F50" s="39"/>
      <c r="G50" s="113"/>
      <c r="I50" s="9"/>
      <c r="J50" s="9"/>
      <c r="K50" s="9"/>
      <c r="L50" s="103"/>
      <c r="M50" s="108"/>
      <c r="N50" s="9"/>
    </row>
    <row r="51" spans="1:14" ht="24" customHeight="1">
      <c r="A51" s="44" t="s">
        <v>8</v>
      </c>
      <c r="B51" s="48" t="s">
        <v>9</v>
      </c>
      <c r="C51" s="44" t="s">
        <v>10</v>
      </c>
      <c r="D51" s="48" t="s">
        <v>11</v>
      </c>
      <c r="E51" s="48" t="s">
        <v>59</v>
      </c>
      <c r="F51" s="49" t="s">
        <v>12</v>
      </c>
      <c r="G51" s="111" t="s">
        <v>13</v>
      </c>
      <c r="I51" s="9"/>
      <c r="J51" s="9"/>
      <c r="K51" s="9"/>
      <c r="L51" s="103"/>
      <c r="M51" s="108"/>
      <c r="N51" s="9"/>
    </row>
    <row r="52" spans="1:14" ht="20.100000000000001" customHeight="1">
      <c r="A52" s="149" t="s">
        <v>67</v>
      </c>
      <c r="B52" s="150"/>
      <c r="C52" s="150"/>
      <c r="D52" s="150"/>
      <c r="E52" s="150"/>
      <c r="F52" s="151"/>
      <c r="G52" s="116">
        <f>+G48</f>
        <v>22725</v>
      </c>
      <c r="I52" s="9"/>
      <c r="J52" s="9"/>
      <c r="K52" s="9"/>
      <c r="L52" s="103"/>
      <c r="M52" s="108"/>
      <c r="N52" s="9"/>
    </row>
    <row r="53" spans="1:14" ht="9" customHeight="1">
      <c r="A53" s="1"/>
      <c r="B53" s="2"/>
      <c r="C53" s="8"/>
      <c r="D53" s="9"/>
      <c r="E53" s="3"/>
      <c r="F53" s="4"/>
      <c r="G53" s="5"/>
      <c r="I53" s="3"/>
      <c r="J53" s="3"/>
      <c r="K53" s="3"/>
      <c r="L53" s="103"/>
      <c r="M53" s="108"/>
      <c r="N53" s="9"/>
    </row>
    <row r="54" spans="1:14" ht="13.95" customHeight="1">
      <c r="A54" s="1"/>
      <c r="B54" s="2" t="s">
        <v>173</v>
      </c>
      <c r="C54" s="31" t="s">
        <v>79</v>
      </c>
      <c r="D54" s="1"/>
      <c r="E54" s="3"/>
      <c r="F54" s="4"/>
      <c r="G54" s="5"/>
      <c r="I54" s="3"/>
      <c r="J54" s="3"/>
      <c r="K54" s="3"/>
      <c r="L54" s="103"/>
      <c r="M54" s="108"/>
      <c r="N54" s="9"/>
    </row>
    <row r="55" spans="1:14" ht="13.95" customHeight="1">
      <c r="A55" s="1"/>
      <c r="B55" s="2"/>
      <c r="C55" s="8" t="s">
        <v>81</v>
      </c>
      <c r="D55" s="1"/>
      <c r="E55" s="3"/>
      <c r="F55" s="4"/>
      <c r="G55" s="5"/>
      <c r="I55" s="3"/>
      <c r="J55" s="3"/>
      <c r="K55" s="3"/>
      <c r="L55" s="103"/>
      <c r="M55" s="108"/>
      <c r="N55" s="9"/>
    </row>
    <row r="56" spans="1:14" ht="13.95" customHeight="1">
      <c r="A56" s="1"/>
      <c r="B56" s="1" t="s">
        <v>87</v>
      </c>
      <c r="C56" s="37" t="s">
        <v>0</v>
      </c>
      <c r="D56" s="1"/>
      <c r="E56" s="3"/>
      <c r="F56" s="4"/>
      <c r="G56" s="5"/>
      <c r="I56" s="3"/>
      <c r="J56" s="3"/>
      <c r="K56" s="3"/>
      <c r="L56" s="103"/>
      <c r="M56" s="108"/>
      <c r="N56" s="9"/>
    </row>
    <row r="57" spans="1:14" ht="13.95" customHeight="1">
      <c r="A57" s="1"/>
      <c r="B57" s="1"/>
      <c r="C57" s="33"/>
      <c r="D57" s="1"/>
      <c r="E57" s="3"/>
      <c r="F57" s="4"/>
      <c r="G57" s="5"/>
      <c r="I57" s="3"/>
      <c r="J57" s="3"/>
      <c r="K57" s="3"/>
      <c r="L57" s="103"/>
      <c r="M57" s="108"/>
      <c r="N57" s="9"/>
    </row>
    <row r="58" spans="1:14" ht="22.95" customHeight="1">
      <c r="A58" s="1"/>
      <c r="B58" s="1"/>
      <c r="C58" s="33" t="s">
        <v>61</v>
      </c>
      <c r="D58" s="1"/>
      <c r="E58" s="3"/>
      <c r="F58" s="4"/>
      <c r="G58" s="5"/>
      <c r="I58" s="3"/>
      <c r="J58" s="3"/>
      <c r="K58" s="3"/>
      <c r="L58" s="103"/>
      <c r="M58" s="108"/>
      <c r="N58" s="9"/>
    </row>
    <row r="59" spans="1:14" ht="13.95" customHeight="1">
      <c r="A59" s="1"/>
      <c r="B59" s="1"/>
      <c r="C59" s="6"/>
      <c r="D59" s="1"/>
      <c r="E59" s="3"/>
      <c r="F59" s="4"/>
      <c r="G59" s="5"/>
      <c r="I59" s="3"/>
      <c r="J59" s="3"/>
      <c r="K59" s="3"/>
      <c r="L59" s="103"/>
      <c r="M59" s="108"/>
      <c r="N59" s="9"/>
    </row>
    <row r="60" spans="1:14" ht="13.95" customHeight="1">
      <c r="A60" s="1">
        <v>10</v>
      </c>
      <c r="B60" s="1"/>
      <c r="C60" s="33" t="s">
        <v>14</v>
      </c>
      <c r="D60" s="1" t="s">
        <v>51</v>
      </c>
      <c r="E60" s="3">
        <f>SUM(I60:N60)</f>
        <v>113.9</v>
      </c>
      <c r="F60" s="13">
        <v>175</v>
      </c>
      <c r="G60" s="5">
        <f t="shared" ref="G60" si="23">+E60*F60</f>
        <v>19932.5</v>
      </c>
      <c r="I60" s="3">
        <v>12.5</v>
      </c>
      <c r="J60" s="3"/>
      <c r="K60" s="3">
        <v>39</v>
      </c>
      <c r="L60" s="103">
        <v>62.4</v>
      </c>
      <c r="M60" s="108"/>
      <c r="N60" s="9"/>
    </row>
    <row r="61" spans="1:14" ht="9.75" customHeight="1">
      <c r="A61" s="1"/>
      <c r="B61" s="1"/>
      <c r="C61" s="33"/>
      <c r="D61" s="1"/>
      <c r="E61" s="3"/>
      <c r="F61" s="13"/>
      <c r="G61" s="5"/>
      <c r="I61" s="3"/>
      <c r="J61" s="3"/>
      <c r="K61" s="3"/>
      <c r="L61" s="103"/>
      <c r="M61" s="108"/>
      <c r="N61" s="9"/>
    </row>
    <row r="62" spans="1:14" ht="13.95" customHeight="1">
      <c r="A62" s="1"/>
      <c r="B62" s="1"/>
      <c r="C62" s="37" t="s">
        <v>111</v>
      </c>
      <c r="D62" s="1"/>
      <c r="E62" s="3"/>
      <c r="F62" s="13"/>
      <c r="G62" s="5"/>
      <c r="I62" s="3"/>
      <c r="J62" s="3"/>
      <c r="K62" s="3"/>
      <c r="L62" s="103"/>
      <c r="M62" s="108"/>
      <c r="N62" s="9"/>
    </row>
    <row r="63" spans="1:14" ht="9" customHeight="1">
      <c r="A63" s="1"/>
      <c r="B63" s="1"/>
      <c r="C63" s="33"/>
      <c r="D63" s="1"/>
      <c r="E63" s="3"/>
      <c r="F63" s="13"/>
      <c r="G63" s="5"/>
      <c r="I63" s="3"/>
      <c r="J63" s="3"/>
      <c r="K63" s="3"/>
      <c r="L63" s="103"/>
      <c r="M63" s="108"/>
      <c r="N63" s="9"/>
    </row>
    <row r="64" spans="1:14" ht="28.95" customHeight="1">
      <c r="A64" s="1">
        <v>11</v>
      </c>
      <c r="B64" s="1"/>
      <c r="C64" s="33" t="s">
        <v>54</v>
      </c>
      <c r="D64" s="1" t="s">
        <v>51</v>
      </c>
      <c r="E64" s="3">
        <f>SUM(I64:N64)</f>
        <v>0</v>
      </c>
      <c r="F64" s="13">
        <v>950</v>
      </c>
      <c r="G64" s="5">
        <f t="shared" ref="G64" si="24">+E64*F64</f>
        <v>0</v>
      </c>
      <c r="I64" s="3"/>
      <c r="J64" s="3"/>
      <c r="K64" s="3"/>
      <c r="L64" s="103"/>
      <c r="M64" s="108"/>
      <c r="N64" s="9"/>
    </row>
    <row r="65" spans="1:14" ht="13.95" customHeight="1">
      <c r="A65" s="1"/>
      <c r="B65" s="1"/>
      <c r="C65" s="33"/>
      <c r="D65" s="1"/>
      <c r="E65" s="3"/>
      <c r="F65" s="13"/>
      <c r="G65" s="5"/>
      <c r="I65" s="3"/>
      <c r="J65" s="3"/>
      <c r="K65" s="3"/>
      <c r="L65" s="103"/>
      <c r="M65" s="108"/>
      <c r="N65" s="9"/>
    </row>
    <row r="66" spans="1:14" ht="22.2" customHeight="1">
      <c r="A66" s="1"/>
      <c r="B66" s="1"/>
      <c r="C66" s="33" t="s">
        <v>57</v>
      </c>
      <c r="D66" s="1"/>
      <c r="E66" s="3"/>
      <c r="F66" s="13"/>
      <c r="G66" s="5"/>
      <c r="I66" s="3"/>
      <c r="J66" s="3"/>
      <c r="K66" s="3"/>
      <c r="L66" s="103"/>
      <c r="M66" s="108"/>
      <c r="N66" s="9"/>
    </row>
    <row r="67" spans="1:14" ht="13.95" customHeight="1">
      <c r="A67" s="1"/>
      <c r="B67" s="2"/>
      <c r="C67" s="8"/>
      <c r="D67" s="9"/>
      <c r="E67" s="3"/>
      <c r="F67" s="13"/>
      <c r="G67" s="5"/>
      <c r="I67" s="3"/>
      <c r="J67" s="3"/>
      <c r="K67" s="3"/>
      <c r="L67" s="103"/>
      <c r="M67" s="108"/>
      <c r="N67" s="9"/>
    </row>
    <row r="68" spans="1:14" ht="13.95" customHeight="1">
      <c r="A68" s="1"/>
      <c r="B68" s="1" t="s">
        <v>83</v>
      </c>
      <c r="C68" s="10" t="s">
        <v>25</v>
      </c>
      <c r="D68" s="9"/>
      <c r="E68" s="3"/>
      <c r="F68" s="13"/>
      <c r="G68" s="5"/>
      <c r="I68" s="3"/>
      <c r="J68" s="3"/>
      <c r="K68" s="3"/>
      <c r="L68" s="103"/>
      <c r="M68" s="108"/>
      <c r="N68" s="9"/>
    </row>
    <row r="69" spans="1:14" ht="13.95" customHeight="1">
      <c r="A69" s="1"/>
      <c r="B69" s="2"/>
      <c r="C69" s="8"/>
      <c r="D69" s="9"/>
      <c r="E69" s="3"/>
      <c r="F69" s="13"/>
      <c r="G69" s="5"/>
      <c r="I69" s="3"/>
      <c r="J69" s="3"/>
      <c r="K69" s="3"/>
      <c r="L69" s="103"/>
      <c r="M69" s="108"/>
      <c r="N69" s="9"/>
    </row>
    <row r="70" spans="1:14" ht="23.4" customHeight="1">
      <c r="A70" s="1"/>
      <c r="B70" s="2"/>
      <c r="C70" s="8" t="s">
        <v>109</v>
      </c>
      <c r="D70" s="9"/>
      <c r="E70" s="3"/>
      <c r="F70" s="13"/>
      <c r="G70" s="5"/>
      <c r="I70" s="3"/>
      <c r="J70" s="3"/>
      <c r="K70" s="3"/>
      <c r="L70" s="103"/>
      <c r="M70" s="108"/>
      <c r="N70" s="9"/>
    </row>
    <row r="71" spans="1:14" ht="13.95" customHeight="1">
      <c r="A71" s="1"/>
      <c r="B71" s="2"/>
      <c r="C71" s="8"/>
      <c r="D71" s="9"/>
      <c r="E71" s="3"/>
      <c r="F71" s="13"/>
      <c r="G71" s="5"/>
      <c r="I71" s="3"/>
      <c r="J71" s="3"/>
      <c r="K71" s="3"/>
      <c r="L71" s="103"/>
      <c r="M71" s="108"/>
      <c r="N71" s="9"/>
    </row>
    <row r="72" spans="1:14" ht="33.6" customHeight="1">
      <c r="A72" s="1">
        <v>12</v>
      </c>
      <c r="B72" s="2"/>
      <c r="C72" s="8" t="s">
        <v>108</v>
      </c>
      <c r="D72" s="9" t="s">
        <v>51</v>
      </c>
      <c r="E72" s="3">
        <f>SUM(I72:N72)</f>
        <v>64.8</v>
      </c>
      <c r="F72" s="13">
        <v>725</v>
      </c>
      <c r="G72" s="5">
        <f t="shared" ref="G72" si="25">+E72*F72</f>
        <v>46980</v>
      </c>
      <c r="I72" s="3">
        <v>5.7</v>
      </c>
      <c r="J72" s="3"/>
      <c r="K72" s="3">
        <v>22</v>
      </c>
      <c r="L72" s="103">
        <v>37.1</v>
      </c>
      <c r="M72" s="108"/>
      <c r="N72" s="9"/>
    </row>
    <row r="73" spans="1:14" ht="13.95" customHeight="1">
      <c r="A73" s="1"/>
      <c r="B73" s="2"/>
      <c r="C73" s="8"/>
      <c r="D73" s="9"/>
      <c r="E73" s="3"/>
      <c r="F73" s="13"/>
      <c r="G73" s="5"/>
      <c r="I73" s="3"/>
      <c r="J73" s="3"/>
      <c r="K73" s="3"/>
      <c r="L73" s="103"/>
      <c r="M73" s="108"/>
      <c r="N73" s="9"/>
    </row>
    <row r="74" spans="1:14" ht="21.6" customHeight="1">
      <c r="A74" s="1"/>
      <c r="B74" s="2" t="s">
        <v>101</v>
      </c>
      <c r="C74" s="34" t="s">
        <v>155</v>
      </c>
      <c r="D74" s="1"/>
      <c r="E74" s="3"/>
      <c r="F74" s="13"/>
      <c r="G74" s="5"/>
      <c r="I74" s="3"/>
      <c r="J74" s="3"/>
      <c r="K74" s="3"/>
      <c r="L74" s="103"/>
      <c r="M74" s="108"/>
      <c r="N74" s="9"/>
    </row>
    <row r="75" spans="1:14" ht="13.95" customHeight="1">
      <c r="A75" s="1"/>
      <c r="B75" s="1"/>
      <c r="C75" s="33"/>
      <c r="D75" s="1"/>
      <c r="E75" s="3"/>
      <c r="F75" s="13"/>
      <c r="G75" s="5"/>
      <c r="I75" s="3"/>
      <c r="J75" s="3"/>
      <c r="K75" s="3"/>
      <c r="L75" s="103"/>
      <c r="M75" s="108"/>
      <c r="N75" s="9"/>
    </row>
    <row r="76" spans="1:14" ht="13.95" customHeight="1">
      <c r="A76" s="1"/>
      <c r="B76" s="1" t="s">
        <v>88</v>
      </c>
      <c r="C76" s="32" t="s">
        <v>15</v>
      </c>
      <c r="D76" s="1"/>
      <c r="E76" s="3"/>
      <c r="F76" s="13"/>
      <c r="G76" s="5"/>
      <c r="I76" s="3"/>
      <c r="J76" s="3"/>
      <c r="K76" s="3"/>
      <c r="L76" s="103"/>
      <c r="M76" s="108"/>
      <c r="N76" s="9"/>
    </row>
    <row r="77" spans="1:14" ht="13.95" customHeight="1">
      <c r="A77" s="1"/>
      <c r="B77" s="1"/>
      <c r="C77" s="33"/>
      <c r="D77" s="1"/>
      <c r="E77" s="3"/>
      <c r="F77" s="13"/>
      <c r="G77" s="5"/>
      <c r="I77" s="3"/>
      <c r="J77" s="3"/>
      <c r="K77" s="3"/>
      <c r="L77" s="103"/>
      <c r="M77" s="108"/>
      <c r="N77" s="9"/>
    </row>
    <row r="78" spans="1:14" ht="13.95" customHeight="1">
      <c r="A78" s="1"/>
      <c r="B78" s="1" t="s">
        <v>82</v>
      </c>
      <c r="C78" s="34" t="s">
        <v>16</v>
      </c>
      <c r="D78" s="1"/>
      <c r="E78" s="3"/>
      <c r="F78" s="13"/>
      <c r="G78" s="5"/>
      <c r="I78" s="3"/>
      <c r="J78" s="3"/>
      <c r="K78" s="3"/>
      <c r="L78" s="103"/>
      <c r="M78" s="108"/>
      <c r="N78" s="9"/>
    </row>
    <row r="79" spans="1:14" ht="13.95" customHeight="1">
      <c r="A79" s="1"/>
      <c r="B79" s="1"/>
      <c r="C79" s="33"/>
      <c r="D79" s="1"/>
      <c r="E79" s="3"/>
      <c r="F79" s="13"/>
      <c r="G79" s="5"/>
      <c r="I79" s="3"/>
      <c r="J79" s="3"/>
      <c r="K79" s="3"/>
      <c r="L79" s="103"/>
      <c r="M79" s="108"/>
      <c r="N79" s="9"/>
    </row>
    <row r="80" spans="1:14" ht="13.95" customHeight="1">
      <c r="A80" s="1"/>
      <c r="B80" s="1"/>
      <c r="C80" s="37" t="s">
        <v>17</v>
      </c>
      <c r="D80" s="1"/>
      <c r="E80" s="3"/>
      <c r="F80" s="13"/>
      <c r="G80" s="5"/>
      <c r="I80" s="3"/>
      <c r="J80" s="3"/>
      <c r="K80" s="3"/>
      <c r="L80" s="103"/>
      <c r="M80" s="108"/>
      <c r="N80" s="9"/>
    </row>
    <row r="81" spans="1:14" ht="13.95" customHeight="1">
      <c r="A81" s="1"/>
      <c r="B81" s="1"/>
      <c r="C81" s="37"/>
      <c r="D81" s="1"/>
      <c r="E81" s="3"/>
      <c r="F81" s="13"/>
      <c r="G81" s="5"/>
      <c r="I81" s="3"/>
      <c r="J81" s="3"/>
      <c r="K81" s="3"/>
      <c r="L81" s="103"/>
      <c r="M81" s="108"/>
      <c r="N81" s="9"/>
    </row>
    <row r="82" spans="1:14" ht="13.95" customHeight="1">
      <c r="A82" s="1">
        <v>13</v>
      </c>
      <c r="B82" s="1"/>
      <c r="C82" s="33" t="s">
        <v>28</v>
      </c>
      <c r="D82" s="1" t="s">
        <v>60</v>
      </c>
      <c r="E82" s="3">
        <f>SUM(I82:N82)</f>
        <v>53.74</v>
      </c>
      <c r="F82" s="13">
        <v>475</v>
      </c>
      <c r="G82" s="5">
        <f t="shared" ref="G82" si="26">+E82*F82</f>
        <v>25526.5</v>
      </c>
      <c r="I82" s="3">
        <v>13.5</v>
      </c>
      <c r="J82" s="3"/>
      <c r="K82" s="3">
        <v>34</v>
      </c>
      <c r="L82" s="103">
        <v>6.24</v>
      </c>
      <c r="M82" s="108"/>
      <c r="N82" s="9"/>
    </row>
    <row r="83" spans="1:14" ht="13.95" customHeight="1">
      <c r="A83" s="1"/>
      <c r="B83" s="1"/>
      <c r="C83" s="33"/>
      <c r="D83" s="1"/>
      <c r="E83" s="3"/>
      <c r="F83" s="13"/>
      <c r="G83" s="5"/>
      <c r="I83" s="3"/>
      <c r="J83" s="3"/>
      <c r="K83" s="3"/>
      <c r="L83" s="103"/>
      <c r="M83" s="108"/>
      <c r="N83" s="9"/>
    </row>
    <row r="84" spans="1:14" ht="19.95" customHeight="1">
      <c r="A84" s="1"/>
      <c r="B84" s="1" t="s">
        <v>86</v>
      </c>
      <c r="C84" s="34" t="s">
        <v>26</v>
      </c>
      <c r="D84" s="1"/>
      <c r="E84" s="3"/>
      <c r="F84" s="13"/>
      <c r="G84" s="5"/>
      <c r="I84" s="3"/>
      <c r="J84" s="3"/>
      <c r="K84" s="3"/>
      <c r="L84" s="103"/>
      <c r="M84" s="108"/>
      <c r="N84" s="9"/>
    </row>
    <row r="85" spans="1:14" ht="13.95" customHeight="1">
      <c r="A85" s="1"/>
      <c r="B85" s="1"/>
      <c r="C85" s="33"/>
      <c r="D85" s="1"/>
      <c r="E85" s="3"/>
      <c r="F85" s="13"/>
      <c r="G85" s="5"/>
      <c r="I85" s="3"/>
      <c r="J85" s="3"/>
      <c r="K85" s="3"/>
      <c r="L85" s="103"/>
      <c r="M85" s="108"/>
      <c r="N85" s="9"/>
    </row>
    <row r="86" spans="1:14" ht="13.95" customHeight="1">
      <c r="A86" s="1"/>
      <c r="B86" s="1"/>
      <c r="C86" s="37" t="s">
        <v>17</v>
      </c>
      <c r="D86" s="1"/>
      <c r="E86" s="3"/>
      <c r="F86" s="13"/>
      <c r="G86" s="5"/>
      <c r="I86" s="3"/>
      <c r="J86" s="3"/>
      <c r="K86" s="3"/>
      <c r="L86" s="103"/>
      <c r="M86" s="108"/>
      <c r="N86" s="9"/>
    </row>
    <row r="87" spans="1:14" ht="13.95" customHeight="1">
      <c r="A87" s="1"/>
      <c r="B87" s="1"/>
      <c r="C87" s="33"/>
      <c r="D87" s="1"/>
      <c r="E87" s="3"/>
      <c r="F87" s="13"/>
      <c r="G87" s="5"/>
      <c r="I87" s="3"/>
      <c r="J87" s="3"/>
      <c r="K87" s="3"/>
      <c r="L87" s="103"/>
      <c r="M87" s="108"/>
      <c r="N87" s="9"/>
    </row>
    <row r="88" spans="1:14" ht="13.95" customHeight="1">
      <c r="A88" s="1">
        <v>14</v>
      </c>
      <c r="B88" s="1"/>
      <c r="C88" s="33" t="s">
        <v>201</v>
      </c>
      <c r="D88" s="1" t="s">
        <v>60</v>
      </c>
      <c r="E88" s="3">
        <f>SUM(I88:N88)</f>
        <v>9</v>
      </c>
      <c r="F88" s="13">
        <v>750</v>
      </c>
      <c r="G88" s="5">
        <f t="shared" ref="G88" si="27">+E88*F88</f>
        <v>6750</v>
      </c>
      <c r="I88" s="3">
        <v>9</v>
      </c>
      <c r="J88" s="3"/>
      <c r="K88" s="3"/>
      <c r="L88" s="103"/>
      <c r="M88" s="108"/>
      <c r="N88" s="9"/>
    </row>
    <row r="89" spans="1:14" ht="13.95" customHeight="1">
      <c r="A89" s="1"/>
      <c r="B89" s="1"/>
      <c r="C89" s="33"/>
      <c r="D89" s="1"/>
      <c r="E89" s="3"/>
      <c r="F89" s="13"/>
      <c r="G89" s="5"/>
      <c r="I89" s="3"/>
      <c r="J89" s="3"/>
      <c r="K89" s="3"/>
      <c r="L89" s="103"/>
      <c r="M89" s="108"/>
      <c r="N89" s="9"/>
    </row>
    <row r="90" spans="1:14" ht="13.95" customHeight="1">
      <c r="A90" s="1">
        <v>15</v>
      </c>
      <c r="B90" s="1"/>
      <c r="C90" s="33" t="s">
        <v>224</v>
      </c>
      <c r="D90" s="1" t="s">
        <v>60</v>
      </c>
      <c r="E90" s="3">
        <f>SUM(I90:N90)</f>
        <v>0</v>
      </c>
      <c r="F90" s="13">
        <v>635</v>
      </c>
      <c r="G90" s="5">
        <f t="shared" ref="G90" si="28">+E90*F90</f>
        <v>0</v>
      </c>
      <c r="I90" s="3"/>
      <c r="J90" s="3"/>
      <c r="K90" s="3"/>
      <c r="L90" s="103"/>
      <c r="M90" s="108"/>
      <c r="N90" s="9"/>
    </row>
    <row r="91" spans="1:14" ht="13.95" customHeight="1">
      <c r="A91" s="1"/>
      <c r="B91" s="1"/>
      <c r="C91" s="33"/>
      <c r="D91" s="1"/>
      <c r="E91" s="3"/>
      <c r="F91" s="13"/>
      <c r="G91" s="5"/>
      <c r="I91" s="3"/>
      <c r="J91" s="3"/>
      <c r="K91" s="3"/>
      <c r="L91" s="103"/>
      <c r="M91" s="108"/>
      <c r="N91" s="9"/>
    </row>
    <row r="92" spans="1:14" ht="13.95" customHeight="1">
      <c r="A92" s="1">
        <v>16</v>
      </c>
      <c r="B92" s="1"/>
      <c r="C92" s="33" t="s">
        <v>39</v>
      </c>
      <c r="D92" s="1" t="s">
        <v>60</v>
      </c>
      <c r="E92" s="3">
        <f>SUM(I92:N92)</f>
        <v>107.8</v>
      </c>
      <c r="F92" s="13">
        <v>850</v>
      </c>
      <c r="G92" s="5">
        <f t="shared" ref="G92" si="29">+E92*F92</f>
        <v>91630</v>
      </c>
      <c r="I92" s="3"/>
      <c r="J92" s="3"/>
      <c r="K92" s="3">
        <v>85</v>
      </c>
      <c r="L92" s="103">
        <v>22.8</v>
      </c>
      <c r="M92" s="108"/>
      <c r="N92" s="9"/>
    </row>
    <row r="93" spans="1:14" ht="13.95" customHeight="1">
      <c r="A93" s="1"/>
      <c r="B93" s="1"/>
      <c r="C93" s="33"/>
      <c r="D93" s="1"/>
      <c r="E93" s="3"/>
      <c r="F93" s="13"/>
      <c r="G93" s="5"/>
      <c r="I93" s="3"/>
      <c r="J93" s="3"/>
      <c r="K93" s="3"/>
      <c r="L93" s="103"/>
      <c r="M93" s="108"/>
      <c r="N93" s="9"/>
    </row>
    <row r="94" spans="1:14" ht="13.95" customHeight="1">
      <c r="A94" s="1">
        <v>17</v>
      </c>
      <c r="B94" s="1"/>
      <c r="C94" s="33" t="s">
        <v>247</v>
      </c>
      <c r="D94" s="1" t="s">
        <v>60</v>
      </c>
      <c r="E94" s="3">
        <f>SUM(I94:N94)</f>
        <v>0</v>
      </c>
      <c r="F94" s="13">
        <v>775</v>
      </c>
      <c r="G94" s="5">
        <f t="shared" ref="G94" si="30">+E94*F94</f>
        <v>0</v>
      </c>
      <c r="I94" s="3"/>
      <c r="J94" s="3"/>
      <c r="K94" s="3"/>
      <c r="L94" s="103"/>
      <c r="M94" s="108"/>
      <c r="N94" s="9"/>
    </row>
    <row r="95" spans="1:14" ht="13.95" customHeight="1">
      <c r="A95" s="1"/>
      <c r="B95" s="1"/>
      <c r="C95" s="33"/>
      <c r="D95" s="1"/>
      <c r="E95" s="3"/>
      <c r="F95" s="4"/>
      <c r="G95" s="5"/>
      <c r="I95" s="3"/>
      <c r="J95" s="3"/>
      <c r="K95" s="3"/>
      <c r="L95" s="103"/>
      <c r="M95" s="108"/>
      <c r="N95" s="9"/>
    </row>
    <row r="96" spans="1:14" ht="20.100000000000001" customHeight="1">
      <c r="A96" s="149" t="s">
        <v>66</v>
      </c>
      <c r="B96" s="150"/>
      <c r="C96" s="150"/>
      <c r="D96" s="150"/>
      <c r="E96" s="150"/>
      <c r="F96" s="151"/>
      <c r="G96" s="116">
        <f>SUM(G52:G95)</f>
        <v>213544</v>
      </c>
      <c r="I96" s="9"/>
      <c r="J96" s="9"/>
      <c r="K96" s="9"/>
      <c r="L96" s="103"/>
      <c r="M96" s="108"/>
      <c r="N96" s="9"/>
    </row>
    <row r="97" spans="1:14" ht="13.95" customHeight="1">
      <c r="A97" s="39"/>
      <c r="B97" s="39"/>
      <c r="C97" s="39"/>
      <c r="D97" s="39"/>
      <c r="E97" s="39"/>
      <c r="F97" s="39"/>
      <c r="G97" s="113"/>
      <c r="I97" s="9"/>
      <c r="J97" s="9"/>
      <c r="K97" s="9"/>
      <c r="L97" s="103"/>
      <c r="M97" s="108"/>
      <c r="N97" s="9"/>
    </row>
    <row r="98" spans="1:14" ht="13.95" customHeight="1">
      <c r="A98" s="39"/>
      <c r="B98" s="39"/>
      <c r="C98" s="39"/>
      <c r="D98" s="39"/>
      <c r="E98" s="39"/>
      <c r="F98" s="39"/>
      <c r="G98" s="113"/>
      <c r="I98" s="9"/>
      <c r="J98" s="9"/>
      <c r="K98" s="9"/>
      <c r="L98" s="103"/>
      <c r="M98" s="108"/>
      <c r="N98" s="9"/>
    </row>
    <row r="99" spans="1:14" ht="22.2" customHeight="1">
      <c r="A99" s="44" t="s">
        <v>8</v>
      </c>
      <c r="B99" s="48" t="s">
        <v>9</v>
      </c>
      <c r="C99" s="44" t="s">
        <v>10</v>
      </c>
      <c r="D99" s="48" t="s">
        <v>11</v>
      </c>
      <c r="E99" s="48" t="s">
        <v>59</v>
      </c>
      <c r="F99" s="49" t="s">
        <v>12</v>
      </c>
      <c r="G99" s="111" t="s">
        <v>13</v>
      </c>
      <c r="I99" s="9"/>
      <c r="J99" s="9"/>
      <c r="K99" s="9"/>
      <c r="L99" s="103"/>
      <c r="M99" s="108"/>
      <c r="N99" s="9"/>
    </row>
    <row r="100" spans="1:14" ht="20.100000000000001" customHeight="1">
      <c r="A100" s="149" t="s">
        <v>67</v>
      </c>
      <c r="B100" s="150"/>
      <c r="C100" s="150"/>
      <c r="D100" s="150"/>
      <c r="E100" s="150"/>
      <c r="F100" s="151"/>
      <c r="G100" s="116">
        <f>+G96</f>
        <v>213544</v>
      </c>
      <c r="I100" s="9"/>
      <c r="J100" s="9"/>
      <c r="K100" s="9"/>
      <c r="L100" s="103"/>
      <c r="M100" s="108"/>
      <c r="N100" s="9"/>
    </row>
    <row r="101" spans="1:14" ht="13.95" customHeight="1">
      <c r="A101" s="1"/>
      <c r="B101" s="1"/>
      <c r="C101" s="33"/>
      <c r="D101" s="1"/>
      <c r="E101" s="3"/>
      <c r="F101" s="13"/>
      <c r="G101" s="5"/>
      <c r="I101" s="9"/>
      <c r="J101" s="9"/>
      <c r="K101" s="9"/>
      <c r="L101" s="103"/>
      <c r="M101" s="108"/>
      <c r="N101" s="9"/>
    </row>
    <row r="102" spans="1:14" ht="13.95" customHeight="1">
      <c r="A102" s="1"/>
      <c r="B102" s="1"/>
      <c r="C102" s="37" t="s">
        <v>248</v>
      </c>
      <c r="D102" s="1"/>
      <c r="E102" s="3"/>
      <c r="F102" s="13"/>
      <c r="G102" s="5"/>
      <c r="I102" s="3"/>
      <c r="J102" s="3"/>
      <c r="K102" s="3"/>
      <c r="L102" s="103"/>
      <c r="M102" s="108"/>
      <c r="N102" s="9"/>
    </row>
    <row r="103" spans="1:14" ht="13.95" customHeight="1">
      <c r="A103" s="1"/>
      <c r="B103" s="1"/>
      <c r="C103" s="33"/>
      <c r="D103" s="1"/>
      <c r="E103" s="3"/>
      <c r="F103" s="13"/>
      <c r="G103" s="5"/>
      <c r="I103" s="3"/>
      <c r="J103" s="3"/>
      <c r="K103" s="3"/>
      <c r="L103" s="103"/>
      <c r="M103" s="108"/>
      <c r="N103" s="9"/>
    </row>
    <row r="104" spans="1:14" ht="13.95" customHeight="1">
      <c r="A104" s="1">
        <v>18</v>
      </c>
      <c r="B104" s="1"/>
      <c r="C104" s="33" t="s">
        <v>249</v>
      </c>
      <c r="D104" s="1" t="s">
        <v>60</v>
      </c>
      <c r="E104" s="3">
        <f>SUM(I104:N104)</f>
        <v>0</v>
      </c>
      <c r="F104" s="13">
        <v>1150</v>
      </c>
      <c r="G104" s="5">
        <f t="shared" ref="G104" si="31">+E104*F104</f>
        <v>0</v>
      </c>
      <c r="I104" s="3"/>
      <c r="J104" s="3"/>
      <c r="K104" s="3"/>
      <c r="L104" s="103"/>
      <c r="M104" s="108"/>
      <c r="N104" s="9"/>
    </row>
    <row r="105" spans="1:14" ht="13.95" customHeight="1">
      <c r="A105" s="1"/>
      <c r="B105" s="1"/>
      <c r="C105" s="33"/>
      <c r="D105" s="1"/>
      <c r="E105" s="3"/>
      <c r="F105" s="13"/>
      <c r="G105" s="5"/>
      <c r="I105" s="9"/>
      <c r="J105" s="9"/>
      <c r="K105" s="9"/>
      <c r="L105" s="103"/>
      <c r="M105" s="108"/>
      <c r="N105" s="9"/>
    </row>
    <row r="106" spans="1:14" ht="13.95" customHeight="1">
      <c r="A106" s="1"/>
      <c r="B106" s="1" t="s">
        <v>89</v>
      </c>
      <c r="C106" s="32" t="s">
        <v>156</v>
      </c>
      <c r="D106" s="1"/>
      <c r="E106" s="3"/>
      <c r="F106" s="4"/>
      <c r="G106" s="5"/>
      <c r="I106" s="9"/>
      <c r="J106" s="9"/>
      <c r="K106" s="9"/>
      <c r="L106" s="103"/>
      <c r="M106" s="108"/>
      <c r="N106" s="9"/>
    </row>
    <row r="107" spans="1:14" ht="13.95" customHeight="1">
      <c r="A107" s="1"/>
      <c r="B107" s="1"/>
      <c r="C107" s="33"/>
      <c r="D107" s="1"/>
      <c r="E107" s="3"/>
      <c r="F107" s="4"/>
      <c r="G107" s="5"/>
      <c r="I107" s="9"/>
      <c r="J107" s="9"/>
      <c r="K107" s="9"/>
      <c r="L107" s="103"/>
      <c r="M107" s="108"/>
      <c r="N107" s="9"/>
    </row>
    <row r="108" spans="1:14" ht="13.95" customHeight="1">
      <c r="A108" s="1">
        <v>19</v>
      </c>
      <c r="B108" s="1"/>
      <c r="C108" s="47" t="s">
        <v>244</v>
      </c>
      <c r="D108" s="1" t="s">
        <v>1</v>
      </c>
      <c r="E108" s="3">
        <f>SUM(I108:N108)</f>
        <v>43</v>
      </c>
      <c r="F108" s="3">
        <v>135</v>
      </c>
      <c r="G108" s="5">
        <f t="shared" ref="G108" si="32">+E108*F108</f>
        <v>5805</v>
      </c>
      <c r="I108" s="3"/>
      <c r="J108" s="3">
        <v>43</v>
      </c>
      <c r="K108" s="3"/>
      <c r="L108" s="103"/>
      <c r="M108" s="108"/>
      <c r="N108" s="9"/>
    </row>
    <row r="109" spans="1:14" ht="13.95" customHeight="1">
      <c r="A109" s="1"/>
      <c r="B109" s="1"/>
      <c r="C109" s="33"/>
      <c r="D109" s="1"/>
      <c r="E109" s="3"/>
      <c r="F109" s="4"/>
      <c r="G109" s="5"/>
      <c r="I109" s="3"/>
      <c r="J109" s="3"/>
      <c r="K109" s="3"/>
      <c r="L109" s="103"/>
      <c r="M109" s="108"/>
      <c r="N109" s="9"/>
    </row>
    <row r="110" spans="1:14" ht="13.95" customHeight="1">
      <c r="A110" s="1"/>
      <c r="B110" s="1" t="s">
        <v>90</v>
      </c>
      <c r="C110" s="32" t="s">
        <v>36</v>
      </c>
      <c r="D110" s="1"/>
      <c r="E110" s="3"/>
      <c r="F110" s="4"/>
      <c r="G110" s="5"/>
      <c r="I110" s="3"/>
      <c r="J110" s="3"/>
      <c r="K110" s="3"/>
      <c r="L110" s="103"/>
      <c r="M110" s="108"/>
      <c r="N110" s="9"/>
    </row>
    <row r="111" spans="1:14" ht="13.95" customHeight="1">
      <c r="A111" s="1"/>
      <c r="B111" s="1"/>
      <c r="C111" s="33"/>
      <c r="D111" s="1"/>
      <c r="E111" s="3"/>
      <c r="F111" s="4"/>
      <c r="G111" s="5"/>
      <c r="I111" s="3"/>
      <c r="J111" s="3"/>
      <c r="K111" s="3"/>
      <c r="L111" s="103"/>
      <c r="M111" s="108"/>
      <c r="N111" s="9"/>
    </row>
    <row r="112" spans="1:14" ht="24" customHeight="1">
      <c r="A112" s="1"/>
      <c r="B112" s="1"/>
      <c r="C112" s="33" t="s">
        <v>225</v>
      </c>
      <c r="D112" s="1"/>
      <c r="E112" s="3"/>
      <c r="F112" s="4"/>
      <c r="G112" s="5"/>
      <c r="I112" s="3"/>
      <c r="J112" s="3"/>
      <c r="K112" s="3"/>
      <c r="L112" s="103"/>
      <c r="M112" s="108"/>
      <c r="N112" s="9"/>
    </row>
    <row r="113" spans="1:14" ht="13.95" customHeight="1">
      <c r="A113" s="1"/>
      <c r="B113" s="1"/>
      <c r="C113" s="33"/>
      <c r="D113" s="1"/>
      <c r="E113" s="3"/>
      <c r="F113" s="4"/>
      <c r="G113" s="5"/>
      <c r="I113" s="3"/>
      <c r="J113" s="3"/>
      <c r="K113" s="3"/>
      <c r="L113" s="103"/>
      <c r="M113" s="108"/>
      <c r="N113" s="9"/>
    </row>
    <row r="114" spans="1:14" ht="13.95" customHeight="1">
      <c r="A114" s="1">
        <v>20</v>
      </c>
      <c r="B114" s="1"/>
      <c r="C114" s="33" t="s">
        <v>37</v>
      </c>
      <c r="D114" s="1" t="s">
        <v>6</v>
      </c>
      <c r="E114" s="3">
        <f>SUM(I114:N114)</f>
        <v>6</v>
      </c>
      <c r="F114" s="3">
        <v>75</v>
      </c>
      <c r="G114" s="5">
        <f t="shared" ref="G114" si="33">+E114*F114</f>
        <v>450</v>
      </c>
      <c r="I114" s="3">
        <v>6</v>
      </c>
      <c r="J114" s="3"/>
      <c r="K114" s="3"/>
      <c r="L114" s="103"/>
      <c r="M114" s="108"/>
      <c r="N114" s="9"/>
    </row>
    <row r="115" spans="1:14" ht="13.95" customHeight="1">
      <c r="A115" s="1"/>
      <c r="B115" s="1"/>
      <c r="C115" s="33"/>
      <c r="D115" s="1"/>
      <c r="E115" s="3"/>
      <c r="F115" s="3"/>
      <c r="G115" s="5"/>
      <c r="I115" s="3"/>
      <c r="J115" s="3"/>
      <c r="K115" s="3"/>
      <c r="L115" s="103"/>
      <c r="M115" s="108"/>
      <c r="N115" s="9"/>
    </row>
    <row r="116" spans="1:14" ht="13.95" customHeight="1">
      <c r="A116" s="1"/>
      <c r="B116" s="1"/>
      <c r="C116" s="33" t="s">
        <v>226</v>
      </c>
      <c r="D116" s="1" t="s">
        <v>6</v>
      </c>
      <c r="E116" s="3">
        <f>SUM(I116:N116)</f>
        <v>0</v>
      </c>
      <c r="F116" s="3">
        <v>275</v>
      </c>
      <c r="G116" s="5">
        <f t="shared" ref="G116" si="34">+E116*F116</f>
        <v>0</v>
      </c>
      <c r="I116" s="3"/>
      <c r="J116" s="3"/>
      <c r="K116" s="3"/>
      <c r="L116" s="103"/>
      <c r="M116" s="108"/>
      <c r="N116" s="9"/>
    </row>
    <row r="117" spans="1:14" ht="13.95" customHeight="1">
      <c r="A117" s="1"/>
      <c r="B117" s="1"/>
      <c r="D117" s="1"/>
      <c r="E117" s="3"/>
      <c r="F117" s="4"/>
      <c r="G117" s="5"/>
      <c r="I117" s="3"/>
      <c r="J117" s="3"/>
      <c r="K117" s="3"/>
      <c r="L117" s="103"/>
      <c r="M117" s="108"/>
      <c r="N117" s="9"/>
    </row>
    <row r="118" spans="1:14" ht="13.95" customHeight="1">
      <c r="A118" s="1"/>
      <c r="B118" s="1"/>
      <c r="C118" s="42" t="s">
        <v>104</v>
      </c>
      <c r="D118" s="1"/>
      <c r="E118" s="3"/>
      <c r="F118" s="4"/>
      <c r="G118" s="5"/>
      <c r="I118" s="3"/>
      <c r="J118" s="3"/>
      <c r="K118" s="3"/>
      <c r="L118" s="103"/>
      <c r="M118" s="108"/>
      <c r="N118" s="9"/>
    </row>
    <row r="119" spans="1:14" ht="13.95" customHeight="1">
      <c r="A119" s="1"/>
      <c r="B119" s="1"/>
      <c r="C119" s="6"/>
      <c r="D119" s="1"/>
      <c r="E119" s="3"/>
      <c r="F119" s="4"/>
      <c r="G119" s="5"/>
      <c r="I119" s="3"/>
      <c r="J119" s="3"/>
      <c r="K119" s="3"/>
      <c r="L119" s="103"/>
      <c r="M119" s="108"/>
      <c r="N119" s="9"/>
    </row>
    <row r="120" spans="1:14" ht="13.95" customHeight="1">
      <c r="A120" s="1">
        <f>A114+1</f>
        <v>21</v>
      </c>
      <c r="B120" s="1"/>
      <c r="C120" s="6" t="s">
        <v>106</v>
      </c>
      <c r="D120" s="1" t="s">
        <v>1</v>
      </c>
      <c r="E120" s="3">
        <f>SUM(I120:AG120)</f>
        <v>130</v>
      </c>
      <c r="F120" s="3">
        <v>36</v>
      </c>
      <c r="G120" s="5">
        <f t="shared" ref="G120" si="35">+E120*F120</f>
        <v>4680</v>
      </c>
      <c r="I120" s="3">
        <v>45</v>
      </c>
      <c r="J120" s="3"/>
      <c r="K120" s="3">
        <v>85</v>
      </c>
      <c r="L120" s="103"/>
      <c r="M120" s="108"/>
      <c r="N120" s="9"/>
    </row>
    <row r="121" spans="1:14" ht="13.95" customHeight="1">
      <c r="A121" s="1"/>
      <c r="B121" s="1"/>
      <c r="C121" s="6"/>
      <c r="D121" s="1"/>
      <c r="E121" s="3"/>
      <c r="F121" s="4"/>
      <c r="G121" s="5"/>
      <c r="I121" s="3"/>
      <c r="J121" s="3"/>
      <c r="K121" s="3"/>
      <c r="L121" s="103"/>
      <c r="M121" s="108"/>
      <c r="N121" s="9"/>
    </row>
    <row r="122" spans="1:14" ht="13.95" customHeight="1">
      <c r="A122" s="1"/>
      <c r="B122" s="2" t="s">
        <v>91</v>
      </c>
      <c r="C122" s="34" t="s">
        <v>18</v>
      </c>
      <c r="D122" s="1"/>
      <c r="E122" s="3"/>
      <c r="F122" s="4"/>
      <c r="G122" s="5"/>
      <c r="I122" s="3"/>
      <c r="J122" s="3"/>
      <c r="K122" s="3"/>
      <c r="L122" s="103"/>
      <c r="M122" s="108"/>
      <c r="N122" s="9"/>
    </row>
    <row r="123" spans="1:14" ht="13.95" customHeight="1">
      <c r="A123" s="1"/>
      <c r="B123" s="1"/>
      <c r="C123" s="33"/>
      <c r="D123" s="1"/>
      <c r="E123" s="3"/>
      <c r="F123" s="4"/>
      <c r="G123" s="5"/>
      <c r="I123" s="3"/>
      <c r="J123" s="3"/>
      <c r="K123" s="3"/>
      <c r="L123" s="103"/>
      <c r="M123" s="108"/>
      <c r="N123" s="9"/>
    </row>
    <row r="124" spans="1:14" ht="13.95" customHeight="1">
      <c r="A124" s="1"/>
      <c r="B124" s="1" t="s">
        <v>84</v>
      </c>
      <c r="C124" s="32" t="s">
        <v>19</v>
      </c>
      <c r="D124" s="1"/>
      <c r="E124" s="3"/>
      <c r="F124" s="4"/>
      <c r="G124" s="5"/>
      <c r="I124" s="3"/>
      <c r="J124" s="3"/>
      <c r="K124" s="3"/>
      <c r="L124" s="103"/>
      <c r="M124" s="108"/>
      <c r="N124" s="9"/>
    </row>
    <row r="125" spans="1:14" ht="13.95" customHeight="1">
      <c r="A125" s="1"/>
      <c r="B125" s="1"/>
      <c r="C125" s="33"/>
      <c r="D125" s="1"/>
      <c r="E125" s="3"/>
      <c r="F125" s="4"/>
      <c r="G125" s="5"/>
      <c r="I125" s="3"/>
      <c r="J125" s="3"/>
      <c r="K125" s="3"/>
      <c r="L125" s="103"/>
      <c r="M125" s="108"/>
      <c r="N125" s="9"/>
    </row>
    <row r="126" spans="1:14" ht="13.95" customHeight="1">
      <c r="A126" s="1">
        <f>A120+1</f>
        <v>22</v>
      </c>
      <c r="B126" s="1"/>
      <c r="C126" s="33" t="s">
        <v>72</v>
      </c>
      <c r="D126" s="1" t="s">
        <v>2</v>
      </c>
      <c r="E126" s="3">
        <f>SUM(I126:N126)</f>
        <v>6</v>
      </c>
      <c r="F126" s="3">
        <v>25750</v>
      </c>
      <c r="G126" s="5">
        <f t="shared" ref="G126" si="36">+E126*F126</f>
        <v>154500</v>
      </c>
      <c r="I126" s="4">
        <v>1</v>
      </c>
      <c r="J126" s="4"/>
      <c r="K126" s="4">
        <v>3.5</v>
      </c>
      <c r="L126" s="103">
        <v>1.5</v>
      </c>
      <c r="M126" s="108"/>
      <c r="N126" s="9"/>
    </row>
    <row r="127" spans="1:14" ht="13.95" customHeight="1">
      <c r="A127" s="1"/>
      <c r="B127" s="1"/>
      <c r="C127" s="33"/>
      <c r="D127" s="1"/>
      <c r="E127" s="3"/>
      <c r="F127" s="4"/>
      <c r="G127" s="5"/>
      <c r="I127" s="3"/>
      <c r="J127" s="3"/>
      <c r="K127" s="3"/>
      <c r="L127" s="103"/>
      <c r="M127" s="108"/>
      <c r="N127" s="9"/>
    </row>
    <row r="128" spans="1:14" ht="13.95" customHeight="1">
      <c r="A128" s="1"/>
      <c r="B128" s="1" t="s">
        <v>92</v>
      </c>
      <c r="C128" s="32" t="s">
        <v>3</v>
      </c>
      <c r="D128" s="1"/>
      <c r="E128" s="3"/>
      <c r="F128" s="4"/>
      <c r="G128" s="5"/>
      <c r="I128" s="3"/>
      <c r="J128" s="3"/>
      <c r="K128" s="3"/>
      <c r="L128" s="103"/>
      <c r="M128" s="108"/>
      <c r="N128" s="9"/>
    </row>
    <row r="129" spans="1:14" ht="13.95" customHeight="1">
      <c r="A129" s="1"/>
      <c r="B129" s="1"/>
      <c r="C129" s="33"/>
      <c r="D129" s="1"/>
      <c r="E129" s="3"/>
      <c r="F129" s="4"/>
      <c r="G129" s="5"/>
      <c r="I129" s="3"/>
      <c r="J129" s="3"/>
      <c r="K129" s="3"/>
      <c r="L129" s="103"/>
      <c r="M129" s="108"/>
      <c r="N129" s="9"/>
    </row>
    <row r="130" spans="1:14" ht="13.95" customHeight="1">
      <c r="A130" s="1">
        <f>A126+1</f>
        <v>23</v>
      </c>
      <c r="B130" s="1"/>
      <c r="C130" s="33" t="s">
        <v>73</v>
      </c>
      <c r="D130" s="1" t="s">
        <v>60</v>
      </c>
      <c r="E130" s="3">
        <f>SUM(I130:N130)</f>
        <v>92</v>
      </c>
      <c r="F130" s="13">
        <v>345</v>
      </c>
      <c r="G130" s="5">
        <f t="shared" ref="G130" si="37">+E130*F130</f>
        <v>31740</v>
      </c>
      <c r="I130" s="3"/>
      <c r="J130" s="3">
        <v>92</v>
      </c>
      <c r="K130" s="3"/>
      <c r="L130" s="103"/>
      <c r="M130" s="108"/>
      <c r="N130" s="9"/>
    </row>
    <row r="131" spans="1:14" ht="13.95" customHeight="1">
      <c r="A131" s="1"/>
      <c r="B131" s="1"/>
      <c r="C131" s="33"/>
      <c r="D131" s="1"/>
      <c r="E131" s="3"/>
      <c r="F131" s="4"/>
      <c r="G131" s="5"/>
      <c r="I131" s="3"/>
      <c r="J131" s="3"/>
      <c r="K131" s="3"/>
      <c r="L131" s="103"/>
      <c r="M131" s="108"/>
      <c r="N131" s="9"/>
    </row>
    <row r="132" spans="1:14" ht="13.95" customHeight="1">
      <c r="A132" s="1"/>
      <c r="B132" s="36" t="s">
        <v>93</v>
      </c>
      <c r="C132" s="34" t="s">
        <v>4</v>
      </c>
      <c r="D132" s="1"/>
      <c r="E132" s="3"/>
      <c r="F132" s="4"/>
      <c r="G132" s="5"/>
      <c r="I132" s="3"/>
      <c r="J132" s="3"/>
      <c r="K132" s="3"/>
      <c r="L132" s="103"/>
      <c r="M132" s="108"/>
      <c r="N132" s="9"/>
    </row>
    <row r="133" spans="1:14" ht="13.95" customHeight="1">
      <c r="A133" s="1"/>
      <c r="C133" s="33"/>
      <c r="D133" s="1"/>
      <c r="E133" s="3"/>
      <c r="F133" s="4"/>
      <c r="G133" s="5"/>
      <c r="I133" s="3"/>
      <c r="J133" s="3"/>
      <c r="K133" s="3"/>
      <c r="L133" s="103"/>
      <c r="M133" s="108"/>
      <c r="N133" s="9"/>
    </row>
    <row r="134" spans="1:14" ht="13.95" customHeight="1">
      <c r="A134" s="1"/>
      <c r="B134" s="20" t="s">
        <v>94</v>
      </c>
      <c r="C134" s="32" t="s">
        <v>5</v>
      </c>
      <c r="D134" s="1"/>
      <c r="E134" s="3"/>
      <c r="F134" s="4"/>
      <c r="G134" s="5"/>
      <c r="I134" s="3"/>
      <c r="J134" s="3"/>
      <c r="K134" s="3"/>
      <c r="L134" s="103"/>
      <c r="M134" s="108"/>
      <c r="N134" s="9"/>
    </row>
    <row r="135" spans="1:14" ht="13.95" customHeight="1">
      <c r="A135" s="1"/>
      <c r="C135" s="33"/>
      <c r="D135" s="1"/>
      <c r="E135" s="3"/>
      <c r="F135" s="4"/>
      <c r="G135" s="5"/>
      <c r="I135" s="3"/>
      <c r="J135" s="3"/>
      <c r="K135" s="3"/>
      <c r="L135" s="103"/>
      <c r="M135" s="108"/>
      <c r="N135" s="9"/>
    </row>
    <row r="136" spans="1:14" ht="13.95" customHeight="1">
      <c r="A136" s="1"/>
      <c r="C136" s="33" t="s">
        <v>74</v>
      </c>
      <c r="D136" s="1"/>
      <c r="E136" s="3"/>
      <c r="F136" s="4"/>
      <c r="G136" s="5"/>
      <c r="I136" s="3"/>
      <c r="J136" s="3"/>
      <c r="K136" s="3"/>
      <c r="L136" s="103"/>
      <c r="M136" s="108"/>
      <c r="N136" s="9"/>
    </row>
    <row r="137" spans="1:14" ht="13.95" customHeight="1">
      <c r="A137" s="1"/>
      <c r="C137" s="33"/>
      <c r="D137" s="1"/>
      <c r="E137" s="3"/>
      <c r="F137" s="4"/>
      <c r="G137" s="5"/>
      <c r="I137" s="3"/>
      <c r="J137" s="3"/>
      <c r="K137" s="3"/>
      <c r="L137" s="103"/>
      <c r="M137" s="108"/>
      <c r="N137" s="9"/>
    </row>
    <row r="138" spans="1:14" ht="13.95" customHeight="1">
      <c r="A138" s="1">
        <f>A130+1</f>
        <v>24</v>
      </c>
      <c r="C138" s="33" t="s">
        <v>24</v>
      </c>
      <c r="D138" s="1" t="s">
        <v>60</v>
      </c>
      <c r="E138" s="3">
        <f>SUM(I138:N138)</f>
        <v>80.900000000000006</v>
      </c>
      <c r="F138" s="3">
        <v>175</v>
      </c>
      <c r="G138" s="5">
        <f t="shared" ref="G138" si="38">+E138*F138</f>
        <v>14157.500000000002</v>
      </c>
      <c r="I138" s="3">
        <v>22.7</v>
      </c>
      <c r="J138" s="3"/>
      <c r="K138" s="3">
        <v>43</v>
      </c>
      <c r="L138" s="103">
        <v>15.2</v>
      </c>
      <c r="M138" s="108"/>
      <c r="N138" s="9"/>
    </row>
    <row r="139" spans="1:14" ht="13.95" customHeight="1">
      <c r="A139" s="1"/>
      <c r="C139" s="33"/>
      <c r="D139" s="1"/>
      <c r="E139" s="3"/>
      <c r="F139" s="3"/>
      <c r="G139" s="5"/>
      <c r="I139" s="3"/>
      <c r="J139" s="3"/>
      <c r="K139" s="3"/>
      <c r="L139" s="103"/>
      <c r="M139" s="108"/>
      <c r="N139" s="9"/>
    </row>
    <row r="140" spans="1:14" ht="13.95" customHeight="1">
      <c r="A140" s="1"/>
      <c r="C140" s="33"/>
      <c r="D140" s="1"/>
      <c r="E140" s="3"/>
      <c r="F140" s="3"/>
      <c r="G140" s="5"/>
      <c r="I140" s="3"/>
      <c r="J140" s="3"/>
      <c r="K140" s="3"/>
      <c r="L140" s="103"/>
      <c r="M140" s="108"/>
      <c r="N140" s="9"/>
    </row>
    <row r="141" spans="1:14" ht="13.95" customHeight="1">
      <c r="A141" s="1"/>
      <c r="C141" s="33"/>
      <c r="D141" s="1"/>
      <c r="E141" s="3"/>
      <c r="F141" s="3"/>
      <c r="G141" s="5"/>
      <c r="I141" s="3"/>
      <c r="J141" s="3"/>
      <c r="K141" s="3"/>
      <c r="L141" s="103"/>
      <c r="M141" s="108"/>
      <c r="N141" s="9"/>
    </row>
    <row r="142" spans="1:14" ht="13.95" customHeight="1">
      <c r="A142" s="1"/>
      <c r="C142" s="33"/>
      <c r="D142" s="1"/>
      <c r="E142" s="3"/>
      <c r="F142" s="3"/>
      <c r="G142" s="5"/>
      <c r="I142" s="3"/>
      <c r="J142" s="3"/>
      <c r="K142" s="3"/>
      <c r="L142" s="103"/>
      <c r="M142" s="108"/>
      <c r="N142" s="9"/>
    </row>
    <row r="143" spans="1:14" ht="13.95" customHeight="1">
      <c r="A143" s="1"/>
      <c r="C143" s="33"/>
      <c r="D143" s="1"/>
      <c r="E143" s="3"/>
      <c r="F143" s="3"/>
      <c r="G143" s="5"/>
      <c r="I143" s="3"/>
      <c r="J143" s="3"/>
      <c r="K143" s="3"/>
      <c r="L143" s="103"/>
      <c r="M143" s="108"/>
      <c r="N143" s="9"/>
    </row>
    <row r="144" spans="1:14" ht="13.95" customHeight="1">
      <c r="A144" s="1"/>
      <c r="C144" s="33"/>
      <c r="D144" s="1"/>
      <c r="E144" s="3"/>
      <c r="F144" s="3"/>
      <c r="G144" s="5"/>
      <c r="I144" s="3"/>
      <c r="J144" s="3"/>
      <c r="K144" s="3"/>
      <c r="L144" s="103"/>
      <c r="M144" s="108"/>
      <c r="N144" s="9"/>
    </row>
    <row r="145" spans="1:14" ht="13.95" customHeight="1">
      <c r="A145" s="1"/>
      <c r="B145" s="1"/>
      <c r="C145" s="33"/>
      <c r="D145" s="1"/>
      <c r="E145" s="3"/>
      <c r="F145" s="4"/>
      <c r="G145" s="5"/>
      <c r="I145" s="3"/>
      <c r="J145" s="3"/>
      <c r="K145" s="3"/>
      <c r="L145" s="103"/>
      <c r="M145" s="108"/>
      <c r="N145" s="9"/>
    </row>
    <row r="146" spans="1:14" ht="13.95" customHeight="1">
      <c r="A146" s="1"/>
      <c r="B146" s="1"/>
      <c r="C146" s="33"/>
      <c r="D146" s="1"/>
      <c r="E146" s="3"/>
      <c r="F146" s="4"/>
      <c r="G146" s="5"/>
      <c r="I146" s="3"/>
      <c r="J146" s="3"/>
      <c r="K146" s="3"/>
      <c r="L146" s="103"/>
      <c r="M146" s="108"/>
      <c r="N146" s="9"/>
    </row>
    <row r="147" spans="1:14" ht="13.95" customHeight="1">
      <c r="A147" s="1"/>
      <c r="B147" s="1"/>
      <c r="C147" s="33"/>
      <c r="D147" s="1"/>
      <c r="E147" s="3"/>
      <c r="F147" s="4"/>
      <c r="G147" s="5"/>
      <c r="I147" s="3"/>
      <c r="J147" s="3"/>
      <c r="K147" s="3"/>
      <c r="L147" s="103"/>
      <c r="M147" s="108"/>
      <c r="N147" s="9"/>
    </row>
    <row r="148" spans="1:14" ht="20.100000000000001" customHeight="1">
      <c r="A148" s="149" t="s">
        <v>66</v>
      </c>
      <c r="B148" s="150"/>
      <c r="C148" s="150"/>
      <c r="D148" s="150"/>
      <c r="E148" s="150"/>
      <c r="F148" s="151"/>
      <c r="G148" s="116">
        <f>SUM(G100:G147)</f>
        <v>424876.5</v>
      </c>
      <c r="I148" s="9"/>
      <c r="J148" s="9"/>
      <c r="K148" s="9"/>
      <c r="L148" s="103"/>
      <c r="M148" s="108"/>
      <c r="N148" s="9"/>
    </row>
    <row r="149" spans="1:14" ht="13.95" customHeight="1">
      <c r="A149" s="39"/>
      <c r="B149" s="39"/>
      <c r="C149" s="39"/>
      <c r="D149" s="39"/>
      <c r="E149" s="39"/>
      <c r="F149" s="39"/>
      <c r="G149" s="113"/>
      <c r="I149" s="9"/>
      <c r="J149" s="9"/>
      <c r="K149" s="9"/>
      <c r="L149" s="103"/>
      <c r="M149" s="108"/>
      <c r="N149" s="9"/>
    </row>
    <row r="150" spans="1:14" ht="13.95" customHeight="1">
      <c r="A150" s="39"/>
      <c r="B150" s="39"/>
      <c r="C150" s="39"/>
      <c r="D150" s="39"/>
      <c r="E150" s="39"/>
      <c r="F150" s="39"/>
      <c r="G150" s="113"/>
      <c r="I150" s="9"/>
      <c r="J150" s="9"/>
      <c r="K150" s="9"/>
      <c r="L150" s="103"/>
      <c r="M150" s="108"/>
      <c r="N150" s="9"/>
    </row>
    <row r="151" spans="1:14" ht="22.2" customHeight="1">
      <c r="A151" s="44" t="s">
        <v>8</v>
      </c>
      <c r="B151" s="48" t="s">
        <v>9</v>
      </c>
      <c r="C151" s="44" t="s">
        <v>10</v>
      </c>
      <c r="D151" s="48" t="s">
        <v>11</v>
      </c>
      <c r="E151" s="48" t="s">
        <v>59</v>
      </c>
      <c r="F151" s="49" t="s">
        <v>12</v>
      </c>
      <c r="G151" s="111" t="s">
        <v>13</v>
      </c>
      <c r="I151" s="9"/>
      <c r="J151" s="9"/>
      <c r="K151" s="9"/>
      <c r="L151" s="103"/>
      <c r="M151" s="108"/>
      <c r="N151" s="9"/>
    </row>
    <row r="152" spans="1:14" ht="20.100000000000001" customHeight="1">
      <c r="A152" s="149" t="s">
        <v>67</v>
      </c>
      <c r="B152" s="150"/>
      <c r="C152" s="150"/>
      <c r="D152" s="150"/>
      <c r="E152" s="150"/>
      <c r="F152" s="151"/>
      <c r="G152" s="116">
        <f>+G148</f>
        <v>424876.5</v>
      </c>
      <c r="I152" s="9"/>
      <c r="J152" s="9"/>
      <c r="K152" s="9"/>
      <c r="L152" s="103"/>
      <c r="M152" s="108"/>
      <c r="N152" s="9"/>
    </row>
    <row r="153" spans="1:14" ht="13.95" customHeight="1">
      <c r="A153" s="1"/>
      <c r="B153" s="1"/>
      <c r="C153" s="33"/>
      <c r="D153" s="1"/>
      <c r="E153" s="3"/>
      <c r="F153" s="4"/>
      <c r="G153" s="5"/>
      <c r="I153" s="3"/>
      <c r="J153" s="3"/>
      <c r="K153" s="3"/>
      <c r="L153" s="103"/>
      <c r="M153" s="108"/>
      <c r="N153" s="9"/>
    </row>
    <row r="154" spans="1:14" ht="13.95" customHeight="1">
      <c r="A154" s="1"/>
      <c r="B154" s="1"/>
      <c r="C154" s="32" t="s">
        <v>158</v>
      </c>
      <c r="D154" s="1"/>
      <c r="E154" s="3"/>
      <c r="F154" s="4"/>
      <c r="G154" s="5"/>
      <c r="I154" s="3"/>
      <c r="J154" s="3"/>
      <c r="K154" s="3"/>
      <c r="L154" s="103"/>
      <c r="M154" s="108"/>
      <c r="N154" s="9"/>
    </row>
    <row r="155" spans="1:14" ht="13.95" customHeight="1">
      <c r="A155" s="1"/>
      <c r="B155" s="1"/>
      <c r="C155" s="33"/>
      <c r="D155" s="1"/>
      <c r="E155" s="3"/>
      <c r="F155" s="4"/>
      <c r="G155" s="5"/>
      <c r="I155" s="3"/>
      <c r="J155" s="3"/>
      <c r="K155" s="3"/>
      <c r="L155" s="103"/>
      <c r="M155" s="108"/>
      <c r="N155" s="9"/>
    </row>
    <row r="156" spans="1:14" ht="13.95" customHeight="1">
      <c r="A156" s="1">
        <f>A138+1</f>
        <v>25</v>
      </c>
      <c r="B156" s="1"/>
      <c r="C156" s="33" t="s">
        <v>202</v>
      </c>
      <c r="D156" s="1" t="s">
        <v>51</v>
      </c>
      <c r="E156" s="3">
        <f>SUM(I156:N156)</f>
        <v>1.88</v>
      </c>
      <c r="F156" s="3">
        <v>3550</v>
      </c>
      <c r="G156" s="5">
        <f t="shared" ref="G156" si="39">+E156*F156</f>
        <v>6674</v>
      </c>
      <c r="I156" s="3">
        <v>1.88</v>
      </c>
      <c r="J156" s="3"/>
      <c r="K156" s="3"/>
      <c r="L156" s="103"/>
      <c r="M156" s="108"/>
      <c r="N156" s="9"/>
    </row>
    <row r="157" spans="1:14" ht="13.95" customHeight="1">
      <c r="A157" s="1"/>
      <c r="B157" s="1"/>
      <c r="C157" s="33"/>
      <c r="D157" s="1"/>
      <c r="E157" s="3"/>
      <c r="F157" s="3"/>
      <c r="G157" s="5"/>
      <c r="I157" s="3"/>
      <c r="J157" s="3"/>
      <c r="K157" s="3"/>
      <c r="L157" s="103"/>
      <c r="M157" s="108"/>
      <c r="N157" s="9"/>
    </row>
    <row r="158" spans="1:14" ht="13.95" customHeight="1">
      <c r="A158" s="1">
        <f>A156+1</f>
        <v>26</v>
      </c>
      <c r="B158" s="1"/>
      <c r="C158" s="33" t="s">
        <v>28</v>
      </c>
      <c r="D158" s="1" t="s">
        <v>51</v>
      </c>
      <c r="E158" s="3">
        <f>SUM(I158:N158)</f>
        <v>29.9</v>
      </c>
      <c r="F158" s="3">
        <v>3200</v>
      </c>
      <c r="G158" s="5">
        <f t="shared" ref="G158" si="40">+E158*F158</f>
        <v>95680</v>
      </c>
      <c r="I158" s="3">
        <v>6.8</v>
      </c>
      <c r="J158" s="3"/>
      <c r="K158" s="3">
        <v>17</v>
      </c>
      <c r="L158" s="103">
        <v>6.1</v>
      </c>
      <c r="M158" s="108"/>
      <c r="N158" s="9"/>
    </row>
    <row r="159" spans="1:14" ht="13.95" customHeight="1">
      <c r="A159" s="1"/>
      <c r="B159" s="1"/>
      <c r="C159" s="33"/>
      <c r="D159" s="1"/>
      <c r="E159" s="3"/>
      <c r="F159" s="3"/>
      <c r="G159" s="5"/>
      <c r="I159" s="3"/>
      <c r="J159" s="3"/>
      <c r="K159" s="3"/>
      <c r="L159" s="103"/>
      <c r="M159" s="108"/>
      <c r="N159" s="9"/>
    </row>
    <row r="160" spans="1:14" ht="13.95" customHeight="1">
      <c r="A160" s="1">
        <v>25</v>
      </c>
      <c r="B160" s="1"/>
      <c r="C160" s="33" t="s">
        <v>62</v>
      </c>
      <c r="D160" s="1" t="s">
        <v>51</v>
      </c>
      <c r="E160" s="3">
        <f>SUM(I160:N160)</f>
        <v>16.7</v>
      </c>
      <c r="F160" s="3">
        <v>3350</v>
      </c>
      <c r="G160" s="5">
        <f t="shared" ref="G160" si="41">+E160*F160</f>
        <v>55945</v>
      </c>
      <c r="I160" s="3"/>
      <c r="J160" s="3"/>
      <c r="K160" s="3">
        <v>11</v>
      </c>
      <c r="L160" s="103">
        <v>5.7</v>
      </c>
      <c r="M160" s="108"/>
      <c r="N160" s="9"/>
    </row>
    <row r="161" spans="1:14" ht="13.95" customHeight="1">
      <c r="A161" s="1"/>
      <c r="B161" s="1"/>
      <c r="C161" s="33"/>
      <c r="D161" s="1"/>
      <c r="E161" s="3"/>
      <c r="F161" s="3"/>
      <c r="G161" s="5"/>
      <c r="I161" s="3"/>
      <c r="J161" s="3"/>
      <c r="K161" s="3"/>
      <c r="L161" s="103"/>
      <c r="M161" s="108"/>
      <c r="N161" s="9"/>
    </row>
    <row r="162" spans="1:14" ht="13.95" customHeight="1">
      <c r="A162" s="1">
        <v>26</v>
      </c>
      <c r="B162" s="1"/>
      <c r="C162" s="33" t="s">
        <v>27</v>
      </c>
      <c r="D162" s="1" t="s">
        <v>51</v>
      </c>
      <c r="E162" s="3">
        <f>SUM(I162:N162)</f>
        <v>18</v>
      </c>
      <c r="F162" s="3">
        <v>3200</v>
      </c>
      <c r="G162" s="5">
        <f t="shared" ref="G162" si="42">+E162*F162</f>
        <v>57600</v>
      </c>
      <c r="I162" s="3"/>
      <c r="J162" s="3">
        <v>18</v>
      </c>
      <c r="K162" s="3"/>
      <c r="L162" s="103"/>
      <c r="M162" s="108"/>
      <c r="N162" s="9"/>
    </row>
    <row r="163" spans="1:14" ht="13.95" customHeight="1">
      <c r="A163" s="1"/>
      <c r="B163" s="1"/>
      <c r="C163" s="33"/>
      <c r="D163" s="1"/>
      <c r="E163" s="3"/>
      <c r="F163" s="3"/>
      <c r="G163" s="5"/>
      <c r="I163" s="3"/>
      <c r="J163" s="3"/>
      <c r="K163" s="3"/>
      <c r="L163" s="103"/>
      <c r="M163" s="108"/>
      <c r="N163" s="9"/>
    </row>
    <row r="164" spans="1:14" ht="13.95" customHeight="1">
      <c r="A164" s="1">
        <f>A162+1</f>
        <v>27</v>
      </c>
      <c r="B164" s="1"/>
      <c r="C164" s="33" t="s">
        <v>250</v>
      </c>
      <c r="D164" s="1" t="s">
        <v>51</v>
      </c>
      <c r="E164" s="3">
        <f>SUM(I164:N164)</f>
        <v>0</v>
      </c>
      <c r="F164" s="3">
        <v>3650</v>
      </c>
      <c r="G164" s="5">
        <f t="shared" ref="G164" si="43">+E164*F164</f>
        <v>0</v>
      </c>
      <c r="I164" s="3"/>
      <c r="J164" s="3"/>
      <c r="K164" s="3"/>
      <c r="L164" s="103"/>
      <c r="M164" s="108"/>
      <c r="N164" s="9"/>
    </row>
    <row r="165" spans="1:14" ht="13.95" customHeight="1">
      <c r="A165" s="1"/>
      <c r="B165" s="1"/>
      <c r="C165" s="33"/>
      <c r="D165" s="1"/>
      <c r="E165" s="3"/>
      <c r="F165" s="4"/>
      <c r="G165" s="5"/>
      <c r="I165" s="3"/>
      <c r="J165" s="3"/>
      <c r="K165" s="3"/>
      <c r="L165" s="103"/>
      <c r="M165" s="108"/>
      <c r="N165" s="9"/>
    </row>
    <row r="166" spans="1:14" ht="13.95" customHeight="1">
      <c r="A166" s="1"/>
      <c r="B166" s="1" t="s">
        <v>96</v>
      </c>
      <c r="C166" s="32" t="s">
        <v>159</v>
      </c>
      <c r="D166" s="1"/>
      <c r="E166" s="3"/>
      <c r="F166" s="4"/>
      <c r="G166" s="5"/>
      <c r="I166" s="9"/>
      <c r="J166" s="9"/>
      <c r="K166" s="9"/>
      <c r="L166" s="103"/>
      <c r="M166" s="108"/>
      <c r="N166" s="9"/>
    </row>
    <row r="167" spans="1:14" ht="13.95" customHeight="1">
      <c r="A167" s="1"/>
      <c r="B167" s="1"/>
      <c r="C167" s="33"/>
      <c r="D167" s="1"/>
      <c r="E167" s="3"/>
      <c r="F167" s="4"/>
      <c r="G167" s="5"/>
      <c r="I167" s="9"/>
      <c r="J167" s="9"/>
      <c r="K167" s="9"/>
      <c r="L167" s="103"/>
      <c r="M167" s="108"/>
      <c r="N167" s="9"/>
    </row>
    <row r="168" spans="1:14" ht="13.95" customHeight="1">
      <c r="A168" s="1"/>
      <c r="B168" s="1"/>
      <c r="C168" s="33" t="s">
        <v>160</v>
      </c>
      <c r="D168" s="1"/>
      <c r="E168" s="3"/>
      <c r="F168" s="4"/>
      <c r="G168" s="5"/>
      <c r="I168" s="9"/>
      <c r="J168" s="9"/>
      <c r="K168" s="9"/>
      <c r="L168" s="103"/>
      <c r="M168" s="108"/>
      <c r="N168" s="9"/>
    </row>
    <row r="169" spans="1:14" ht="13.95" customHeight="1">
      <c r="A169" s="1"/>
      <c r="B169" s="1"/>
      <c r="C169" s="33"/>
      <c r="D169" s="1"/>
      <c r="E169" s="3"/>
      <c r="F169" s="4"/>
      <c r="G169" s="5"/>
      <c r="I169" s="9"/>
      <c r="J169" s="9"/>
      <c r="K169" s="9"/>
      <c r="L169" s="103"/>
      <c r="M169" s="108"/>
      <c r="N169" s="9"/>
    </row>
    <row r="170" spans="1:14" ht="13.95" customHeight="1">
      <c r="A170" s="1">
        <f>A164+1</f>
        <v>28</v>
      </c>
      <c r="B170" s="1"/>
      <c r="C170" s="33" t="s">
        <v>28</v>
      </c>
      <c r="D170" s="1" t="s">
        <v>60</v>
      </c>
      <c r="E170" s="3">
        <f>SUM(I170:N170)</f>
        <v>71.7</v>
      </c>
      <c r="F170" s="3">
        <v>46</v>
      </c>
      <c r="G170" s="5">
        <f t="shared" ref="G170" si="44">+E170*F170</f>
        <v>3298.2000000000003</v>
      </c>
      <c r="I170" s="3">
        <v>13.5</v>
      </c>
      <c r="J170" s="3"/>
      <c r="K170" s="3">
        <v>43</v>
      </c>
      <c r="L170" s="103">
        <v>15.2</v>
      </c>
      <c r="M170" s="108"/>
      <c r="N170" s="9"/>
    </row>
    <row r="171" spans="1:14" ht="13.95" customHeight="1">
      <c r="A171" s="1"/>
      <c r="B171" s="1"/>
      <c r="C171" s="33"/>
      <c r="D171" s="1"/>
      <c r="E171" s="3"/>
      <c r="F171" s="3"/>
      <c r="G171" s="5"/>
      <c r="I171" s="3"/>
      <c r="J171" s="3"/>
      <c r="K171" s="3"/>
      <c r="L171" s="103"/>
      <c r="M171" s="108"/>
      <c r="N171" s="9"/>
    </row>
    <row r="172" spans="1:14" ht="13.95" customHeight="1">
      <c r="A172" s="1"/>
      <c r="B172" s="1"/>
      <c r="C172" s="33" t="s">
        <v>196</v>
      </c>
      <c r="D172" s="1"/>
      <c r="E172" s="3"/>
      <c r="F172" s="3"/>
      <c r="G172" s="5"/>
      <c r="I172" s="3"/>
      <c r="J172" s="3"/>
      <c r="K172" s="3"/>
      <c r="L172" s="103"/>
      <c r="M172" s="108"/>
      <c r="N172" s="9"/>
    </row>
    <row r="173" spans="1:14" ht="13.95" customHeight="1">
      <c r="A173" s="1"/>
      <c r="B173" s="1"/>
      <c r="C173" s="33"/>
      <c r="D173" s="1"/>
      <c r="E173" s="3"/>
      <c r="F173" s="3"/>
      <c r="G173" s="5"/>
      <c r="I173" s="3"/>
      <c r="J173" s="3"/>
      <c r="K173" s="3"/>
      <c r="L173" s="103"/>
      <c r="M173" s="108"/>
      <c r="N173" s="9"/>
    </row>
    <row r="174" spans="1:14" ht="13.95" customHeight="1">
      <c r="A174" s="1">
        <f>A170+1</f>
        <v>29</v>
      </c>
      <c r="B174" s="1"/>
      <c r="C174" s="33" t="s">
        <v>29</v>
      </c>
      <c r="D174" s="1" t="s">
        <v>60</v>
      </c>
      <c r="E174" s="3">
        <f>SUM(I174:N174)</f>
        <v>92</v>
      </c>
      <c r="F174" s="3">
        <v>75</v>
      </c>
      <c r="G174" s="5">
        <f t="shared" ref="G174" si="45">+E174*F174</f>
        <v>6900</v>
      </c>
      <c r="I174" s="3"/>
      <c r="J174" s="3">
        <v>92</v>
      </c>
      <c r="K174" s="3"/>
      <c r="L174" s="103"/>
      <c r="M174" s="108"/>
      <c r="N174" s="9"/>
    </row>
    <row r="175" spans="1:14" ht="13.95" customHeight="1">
      <c r="A175" s="1"/>
      <c r="B175" s="1"/>
      <c r="C175" s="33"/>
      <c r="D175" s="1"/>
      <c r="E175" s="3"/>
      <c r="F175" s="4"/>
      <c r="G175" s="5"/>
      <c r="I175" s="3"/>
      <c r="J175" s="3"/>
      <c r="K175" s="3"/>
      <c r="L175" s="103"/>
      <c r="M175" s="108"/>
      <c r="N175" s="9"/>
    </row>
    <row r="176" spans="1:14" ht="13.95" customHeight="1">
      <c r="A176" s="1"/>
      <c r="B176" s="1" t="s">
        <v>97</v>
      </c>
      <c r="C176" s="34" t="s">
        <v>20</v>
      </c>
      <c r="D176" s="1"/>
      <c r="E176" s="3"/>
      <c r="F176" s="4"/>
      <c r="G176" s="5"/>
      <c r="I176" s="3"/>
      <c r="J176" s="3"/>
      <c r="K176" s="3"/>
      <c r="L176" s="103"/>
      <c r="M176" s="108"/>
      <c r="N176" s="9"/>
    </row>
    <row r="177" spans="1:14" ht="13.95" customHeight="1">
      <c r="A177" s="1"/>
      <c r="B177" s="1"/>
      <c r="C177" s="34"/>
      <c r="D177" s="1"/>
      <c r="E177" s="3"/>
      <c r="F177" s="4"/>
      <c r="G177" s="5"/>
      <c r="I177" s="3"/>
      <c r="J177" s="3"/>
      <c r="K177" s="3"/>
      <c r="L177" s="103"/>
      <c r="M177" s="108"/>
      <c r="N177" s="9"/>
    </row>
    <row r="178" spans="1:14" ht="13.95" customHeight="1">
      <c r="A178" s="1"/>
      <c r="B178" s="1"/>
      <c r="C178" s="32" t="s">
        <v>213</v>
      </c>
      <c r="D178" s="1"/>
      <c r="E178" s="3"/>
      <c r="F178" s="4"/>
      <c r="G178" s="5"/>
      <c r="I178" s="3"/>
      <c r="J178" s="3"/>
      <c r="K178" s="3"/>
      <c r="L178" s="103"/>
      <c r="M178" s="108"/>
      <c r="N178" s="9"/>
    </row>
    <row r="179" spans="1:14" ht="13.95" customHeight="1">
      <c r="A179" s="1"/>
      <c r="B179" s="1"/>
      <c r="C179" s="34"/>
      <c r="D179" s="1"/>
      <c r="E179" s="3"/>
      <c r="F179" s="4"/>
      <c r="G179" s="5"/>
      <c r="I179" s="3"/>
      <c r="J179" s="3"/>
      <c r="K179" s="3"/>
      <c r="L179" s="103"/>
      <c r="M179" s="108"/>
      <c r="N179" s="9"/>
    </row>
    <row r="180" spans="1:14" ht="27" customHeight="1">
      <c r="A180" s="1">
        <f>A174+1</f>
        <v>30</v>
      </c>
      <c r="B180" s="1"/>
      <c r="C180" s="33" t="s">
        <v>237</v>
      </c>
      <c r="D180" s="1" t="s">
        <v>1</v>
      </c>
      <c r="E180" s="3">
        <f>SUM(I180:N180)</f>
        <v>0</v>
      </c>
      <c r="F180" s="3">
        <v>375</v>
      </c>
      <c r="G180" s="5">
        <f t="shared" ref="G180" si="46">+E180*F180</f>
        <v>0</v>
      </c>
      <c r="I180" s="3"/>
      <c r="J180" s="3"/>
      <c r="K180" s="3"/>
      <c r="L180" s="103"/>
      <c r="M180" s="108"/>
      <c r="N180" s="9"/>
    </row>
    <row r="181" spans="1:14" ht="13.95" customHeight="1">
      <c r="A181" s="1"/>
      <c r="B181" s="1"/>
      <c r="C181" s="33"/>
      <c r="D181" s="1"/>
      <c r="E181" s="3"/>
      <c r="F181" s="3"/>
      <c r="G181" s="5"/>
      <c r="I181" s="3"/>
      <c r="J181" s="3"/>
      <c r="K181" s="3"/>
      <c r="L181" s="103"/>
      <c r="M181" s="108"/>
      <c r="N181" s="9"/>
    </row>
    <row r="182" spans="1:14" ht="24.6" customHeight="1">
      <c r="A182" s="1">
        <f>A180+1</f>
        <v>31</v>
      </c>
      <c r="B182" s="1"/>
      <c r="C182" s="33" t="s">
        <v>285</v>
      </c>
      <c r="D182" s="1" t="s">
        <v>1</v>
      </c>
      <c r="E182" s="3">
        <f>SUM(I182:N182)</f>
        <v>46</v>
      </c>
      <c r="F182" s="3">
        <v>355</v>
      </c>
      <c r="G182" s="5">
        <f t="shared" ref="G182" si="47">+E182*F182</f>
        <v>16330</v>
      </c>
      <c r="I182" s="3"/>
      <c r="J182" s="3">
        <v>46</v>
      </c>
      <c r="K182" s="3"/>
      <c r="L182" s="104"/>
      <c r="M182" s="108"/>
      <c r="N182" s="9"/>
    </row>
    <row r="183" spans="1:14" ht="13.95" customHeight="1">
      <c r="A183" s="1"/>
      <c r="B183" s="1"/>
      <c r="C183" s="33"/>
      <c r="D183" s="1"/>
      <c r="E183" s="3"/>
      <c r="F183" s="3"/>
      <c r="G183" s="5"/>
      <c r="I183" s="3"/>
      <c r="J183" s="3"/>
      <c r="K183" s="3"/>
      <c r="L183" s="103"/>
      <c r="M183" s="108"/>
      <c r="N183" s="9"/>
    </row>
    <row r="184" spans="1:14" ht="23.4" customHeight="1">
      <c r="A184" s="1">
        <f>A182+1</f>
        <v>32</v>
      </c>
      <c r="B184" s="1"/>
      <c r="C184" s="33" t="s">
        <v>243</v>
      </c>
      <c r="D184" s="1" t="s">
        <v>1</v>
      </c>
      <c r="E184" s="3">
        <f>SUM(I184:N184)</f>
        <v>61</v>
      </c>
      <c r="F184" s="3">
        <v>195</v>
      </c>
      <c r="G184" s="5">
        <f t="shared" ref="G184" si="48">+E184*F184</f>
        <v>11895</v>
      </c>
      <c r="I184" s="3">
        <v>18</v>
      </c>
      <c r="J184" s="3">
        <v>43</v>
      </c>
      <c r="K184" s="3"/>
      <c r="L184" s="103"/>
      <c r="M184" s="108"/>
      <c r="N184" s="9"/>
    </row>
    <row r="185" spans="1:14" ht="13.95" customHeight="1">
      <c r="A185" s="1"/>
      <c r="B185" s="1"/>
      <c r="C185" s="33"/>
      <c r="D185" s="1"/>
      <c r="E185" s="3"/>
      <c r="F185" s="3"/>
      <c r="G185" s="5"/>
      <c r="I185" s="3"/>
      <c r="J185" s="3"/>
      <c r="K185" s="3"/>
      <c r="L185" s="103"/>
      <c r="M185" s="108"/>
      <c r="N185" s="9"/>
    </row>
    <row r="186" spans="1:14" ht="13.95" customHeight="1">
      <c r="A186" s="1"/>
      <c r="B186" s="1"/>
      <c r="C186" s="33" t="s">
        <v>239</v>
      </c>
      <c r="D186" s="1" t="s">
        <v>1</v>
      </c>
      <c r="E186" s="3">
        <f>SUM(I186:N186)</f>
        <v>24</v>
      </c>
      <c r="F186" s="3">
        <v>155</v>
      </c>
      <c r="G186" s="5">
        <f t="shared" ref="G186" si="49">+E186*F186</f>
        <v>3720</v>
      </c>
      <c r="I186" s="3"/>
      <c r="J186" s="3">
        <v>24</v>
      </c>
      <c r="K186" s="3"/>
      <c r="L186" s="103"/>
      <c r="M186" s="108"/>
      <c r="N186" s="9"/>
    </row>
    <row r="187" spans="1:14" ht="13.95" customHeight="1">
      <c r="A187" s="1"/>
      <c r="B187" s="1"/>
      <c r="C187" s="33"/>
      <c r="D187" s="1"/>
      <c r="E187" s="3"/>
      <c r="F187" s="4"/>
      <c r="G187" s="5"/>
      <c r="I187" s="3"/>
      <c r="J187" s="3"/>
      <c r="K187" s="3"/>
      <c r="L187" s="103"/>
      <c r="M187" s="108"/>
      <c r="N187" s="9"/>
    </row>
    <row r="188" spans="1:14" ht="13.95" customHeight="1">
      <c r="A188" s="1"/>
      <c r="B188" s="1"/>
      <c r="C188" s="32" t="s">
        <v>198</v>
      </c>
      <c r="D188" s="1"/>
      <c r="E188" s="3"/>
      <c r="F188" s="4"/>
      <c r="G188" s="5"/>
      <c r="I188" s="3"/>
      <c r="J188" s="3"/>
      <c r="K188" s="3"/>
      <c r="L188" s="103"/>
      <c r="M188" s="108"/>
      <c r="N188" s="9"/>
    </row>
    <row r="189" spans="1:14" ht="13.95" customHeight="1">
      <c r="A189" s="1"/>
      <c r="B189" s="1"/>
      <c r="C189" s="33"/>
      <c r="D189" s="1"/>
      <c r="E189" s="3"/>
      <c r="F189" s="4"/>
      <c r="G189" s="5"/>
      <c r="I189" s="3"/>
      <c r="J189" s="3"/>
      <c r="K189" s="3"/>
      <c r="L189" s="103"/>
      <c r="M189" s="108"/>
      <c r="N189" s="9"/>
    </row>
    <row r="190" spans="1:14" ht="13.95" customHeight="1">
      <c r="A190" s="1">
        <f>A184+1</f>
        <v>33</v>
      </c>
      <c r="B190" s="1"/>
      <c r="C190" s="33" t="s">
        <v>199</v>
      </c>
      <c r="D190" s="1" t="s">
        <v>1</v>
      </c>
      <c r="E190" s="3">
        <f>SUM(I190:N190)</f>
        <v>10</v>
      </c>
      <c r="F190" s="3">
        <f>F180</f>
        <v>375</v>
      </c>
      <c r="G190" s="5">
        <f t="shared" ref="G190" si="50">+E190*F190</f>
        <v>3750</v>
      </c>
      <c r="I190" s="3"/>
      <c r="J190" s="3"/>
      <c r="K190" s="3">
        <v>10</v>
      </c>
      <c r="L190" s="103"/>
      <c r="M190" s="108"/>
      <c r="N190" s="9"/>
    </row>
    <row r="191" spans="1:14" ht="13.95" customHeight="1">
      <c r="A191" s="1"/>
      <c r="B191" s="1"/>
      <c r="C191" s="33"/>
      <c r="D191" s="1"/>
      <c r="E191" s="3"/>
      <c r="F191" s="3"/>
      <c r="G191" s="5"/>
      <c r="I191" s="3"/>
      <c r="J191" s="3"/>
      <c r="K191" s="3"/>
      <c r="L191" s="103"/>
      <c r="M191" s="108"/>
      <c r="N191" s="9"/>
    </row>
    <row r="192" spans="1:14" ht="13.95" customHeight="1">
      <c r="A192" s="1">
        <f>A190+1</f>
        <v>34</v>
      </c>
      <c r="B192" s="1"/>
      <c r="C192" s="33" t="s">
        <v>200</v>
      </c>
      <c r="D192" s="1" t="s">
        <v>1</v>
      </c>
      <c r="E192" s="3">
        <f>SUM(I192:N192)</f>
        <v>8</v>
      </c>
      <c r="F192" s="3">
        <v>395</v>
      </c>
      <c r="G192" s="5">
        <f t="shared" ref="G192" si="51">+E192*F192</f>
        <v>3160</v>
      </c>
      <c r="I192" s="3"/>
      <c r="J192" s="3"/>
      <c r="K192" s="3">
        <v>8</v>
      </c>
      <c r="L192" s="103"/>
      <c r="M192" s="108"/>
      <c r="N192" s="9"/>
    </row>
    <row r="193" spans="1:14" ht="13.95" customHeight="1">
      <c r="A193" s="1"/>
      <c r="B193" s="1"/>
      <c r="C193" s="33"/>
      <c r="D193" s="1"/>
      <c r="E193" s="3"/>
      <c r="F193" s="3"/>
      <c r="G193" s="5"/>
      <c r="I193" s="3"/>
      <c r="J193" s="3"/>
      <c r="K193" s="3"/>
      <c r="L193" s="103"/>
      <c r="M193" s="108"/>
      <c r="N193" s="9"/>
    </row>
    <row r="194" spans="1:14" ht="13.95" customHeight="1">
      <c r="A194" s="1">
        <f>A192+1</f>
        <v>35</v>
      </c>
      <c r="B194" s="1"/>
      <c r="C194" s="33" t="s">
        <v>214</v>
      </c>
      <c r="D194" s="1" t="s">
        <v>1</v>
      </c>
      <c r="E194" s="3">
        <f>SUM(I194:N194)</f>
        <v>5</v>
      </c>
      <c r="F194" s="3">
        <v>395</v>
      </c>
      <c r="G194" s="5">
        <f t="shared" ref="G194" si="52">+E194*F194</f>
        <v>1975</v>
      </c>
      <c r="I194" s="3"/>
      <c r="J194" s="3"/>
      <c r="K194" s="3">
        <v>5</v>
      </c>
      <c r="L194" s="103"/>
      <c r="M194" s="108"/>
      <c r="N194" s="9"/>
    </row>
    <row r="195" spans="1:14" ht="13.95" customHeight="1">
      <c r="A195" s="1"/>
      <c r="B195" s="1"/>
      <c r="C195" s="33"/>
      <c r="D195" s="1"/>
      <c r="E195" s="3"/>
      <c r="F195" s="3"/>
      <c r="G195" s="5"/>
      <c r="I195" s="3"/>
      <c r="J195" s="3"/>
      <c r="K195" s="3"/>
      <c r="L195" s="103"/>
      <c r="M195" s="108"/>
      <c r="N195" s="9"/>
    </row>
    <row r="196" spans="1:14" ht="13.95" customHeight="1">
      <c r="A196" s="1"/>
      <c r="B196" s="1"/>
      <c r="C196" s="33"/>
      <c r="D196" s="1"/>
      <c r="E196" s="3"/>
      <c r="F196" s="4"/>
      <c r="G196" s="5"/>
      <c r="I196" s="3"/>
      <c r="J196" s="3"/>
      <c r="K196" s="3"/>
      <c r="L196" s="103"/>
      <c r="M196" s="108"/>
      <c r="N196" s="9"/>
    </row>
    <row r="197" spans="1:14" ht="13.95" customHeight="1">
      <c r="A197" s="1"/>
      <c r="B197" s="1"/>
      <c r="C197" s="33"/>
      <c r="D197" s="1"/>
      <c r="E197" s="3"/>
      <c r="F197" s="4"/>
      <c r="G197" s="5"/>
      <c r="I197" s="3"/>
      <c r="J197" s="3"/>
      <c r="K197" s="3"/>
      <c r="L197" s="103"/>
      <c r="M197" s="108"/>
      <c r="N197" s="9"/>
    </row>
    <row r="198" spans="1:14" ht="20.100000000000001" customHeight="1">
      <c r="A198" s="149" t="s">
        <v>66</v>
      </c>
      <c r="B198" s="150"/>
      <c r="C198" s="150"/>
      <c r="D198" s="150"/>
      <c r="E198" s="150"/>
      <c r="F198" s="151"/>
      <c r="G198" s="116">
        <f>SUM(G152:G197)</f>
        <v>691803.7</v>
      </c>
      <c r="I198" s="9"/>
      <c r="J198" s="9"/>
      <c r="K198" s="9"/>
      <c r="L198" s="103"/>
      <c r="M198" s="108"/>
      <c r="N198" s="9"/>
    </row>
    <row r="199" spans="1:14" ht="13.95" customHeight="1">
      <c r="A199" s="39"/>
      <c r="B199" s="39"/>
      <c r="C199" s="39"/>
      <c r="D199" s="39"/>
      <c r="E199" s="39"/>
      <c r="F199" s="39"/>
      <c r="G199" s="113"/>
      <c r="I199" s="9"/>
      <c r="J199" s="9"/>
      <c r="K199" s="9"/>
      <c r="L199" s="103"/>
      <c r="M199" s="108"/>
      <c r="N199" s="9"/>
    </row>
    <row r="200" spans="1:14" ht="13.95" customHeight="1">
      <c r="A200" s="39"/>
      <c r="B200" s="39"/>
      <c r="C200" s="39"/>
      <c r="D200" s="39"/>
      <c r="E200" s="39"/>
      <c r="F200" s="39"/>
      <c r="G200" s="113"/>
      <c r="I200" s="9"/>
      <c r="J200" s="9"/>
      <c r="K200" s="9"/>
      <c r="L200" s="103"/>
      <c r="M200" s="108"/>
      <c r="N200" s="9"/>
    </row>
    <row r="201" spans="1:14" ht="22.2" customHeight="1">
      <c r="A201" s="44" t="s">
        <v>8</v>
      </c>
      <c r="B201" s="48" t="s">
        <v>9</v>
      </c>
      <c r="C201" s="44" t="s">
        <v>10</v>
      </c>
      <c r="D201" s="48" t="s">
        <v>11</v>
      </c>
      <c r="E201" s="48" t="s">
        <v>59</v>
      </c>
      <c r="F201" s="49" t="s">
        <v>12</v>
      </c>
      <c r="G201" s="111" t="s">
        <v>13</v>
      </c>
      <c r="I201" s="9"/>
      <c r="J201" s="9"/>
      <c r="K201" s="9"/>
      <c r="L201" s="103"/>
      <c r="M201" s="108"/>
      <c r="N201" s="9"/>
    </row>
    <row r="202" spans="1:14" ht="20.100000000000001" customHeight="1">
      <c r="A202" s="149" t="s">
        <v>67</v>
      </c>
      <c r="B202" s="150"/>
      <c r="C202" s="150"/>
      <c r="D202" s="150"/>
      <c r="E202" s="150"/>
      <c r="F202" s="151"/>
      <c r="G202" s="116">
        <f>+G198</f>
        <v>691803.7</v>
      </c>
      <c r="I202" s="9"/>
      <c r="J202" s="9"/>
      <c r="K202" s="9"/>
      <c r="L202" s="103"/>
      <c r="M202" s="108"/>
      <c r="N202" s="9"/>
    </row>
    <row r="203" spans="1:14" ht="13.95" customHeight="1">
      <c r="A203" s="1"/>
      <c r="B203" s="1"/>
      <c r="C203" s="33"/>
      <c r="D203" s="1"/>
      <c r="E203" s="3"/>
      <c r="F203" s="4"/>
      <c r="G203" s="5"/>
      <c r="I203" s="3"/>
      <c r="J203" s="3"/>
      <c r="K203" s="3"/>
      <c r="L203" s="103"/>
      <c r="M203" s="108"/>
      <c r="N203" s="9"/>
    </row>
    <row r="204" spans="1:14" ht="13.95" customHeight="1">
      <c r="A204" s="9"/>
      <c r="B204" s="1" t="s">
        <v>98</v>
      </c>
      <c r="C204" s="34" t="s">
        <v>30</v>
      </c>
      <c r="D204" s="1"/>
      <c r="E204" s="3"/>
      <c r="F204" s="4"/>
      <c r="G204" s="5"/>
      <c r="I204" s="3"/>
      <c r="J204" s="3"/>
      <c r="K204" s="3"/>
      <c r="L204" s="103"/>
      <c r="M204" s="108"/>
      <c r="N204" s="9"/>
    </row>
    <row r="205" spans="1:14" ht="13.95" customHeight="1">
      <c r="A205" s="9"/>
      <c r="B205" s="1"/>
      <c r="C205" s="33"/>
      <c r="D205" s="1"/>
      <c r="E205" s="3"/>
      <c r="F205" s="4"/>
      <c r="G205" s="5"/>
      <c r="I205" s="3"/>
      <c r="J205" s="3"/>
      <c r="K205" s="3"/>
      <c r="L205" s="103"/>
      <c r="M205" s="108"/>
      <c r="N205" s="9"/>
    </row>
    <row r="206" spans="1:14" ht="13.95" customHeight="1">
      <c r="A206" s="9"/>
      <c r="B206" s="1"/>
      <c r="C206" s="33" t="s">
        <v>31</v>
      </c>
      <c r="D206" s="1"/>
      <c r="E206" s="3"/>
      <c r="F206" s="4"/>
      <c r="G206" s="5"/>
      <c r="I206" s="3"/>
      <c r="J206" s="3"/>
      <c r="K206" s="3"/>
      <c r="L206" s="103"/>
      <c r="M206" s="108"/>
      <c r="N206" s="9"/>
    </row>
    <row r="207" spans="1:14" ht="13.95" customHeight="1">
      <c r="A207" s="9"/>
      <c r="B207" s="1"/>
      <c r="C207" s="33"/>
      <c r="D207" s="1"/>
      <c r="E207" s="3"/>
      <c r="F207" s="4"/>
      <c r="G207" s="5"/>
      <c r="I207" s="3"/>
      <c r="J207" s="3"/>
      <c r="K207" s="3"/>
      <c r="L207" s="103"/>
      <c r="M207" s="108"/>
      <c r="N207" s="9"/>
    </row>
    <row r="208" spans="1:14" ht="13.95" customHeight="1">
      <c r="A208" s="9">
        <f>A194+1</f>
        <v>36</v>
      </c>
      <c r="B208" s="1"/>
      <c r="C208" s="33" t="s">
        <v>32</v>
      </c>
      <c r="D208" s="1" t="s">
        <v>51</v>
      </c>
      <c r="E208" s="3">
        <f>SUM(I208:N208)</f>
        <v>0.28000000000000003</v>
      </c>
      <c r="F208" s="3">
        <v>35000</v>
      </c>
      <c r="G208" s="5">
        <f t="shared" ref="G208" si="53">+E208*F208</f>
        <v>9800.0000000000018</v>
      </c>
      <c r="I208" s="4">
        <v>0.28000000000000003</v>
      </c>
      <c r="J208" s="4"/>
      <c r="K208" s="4"/>
      <c r="L208" s="103"/>
      <c r="M208" s="108"/>
      <c r="N208" s="9"/>
    </row>
    <row r="209" spans="1:14" ht="13.95" customHeight="1">
      <c r="A209" s="9"/>
      <c r="B209" s="1"/>
      <c r="C209" s="33"/>
      <c r="D209" s="1"/>
      <c r="E209" s="4"/>
      <c r="F209" s="3"/>
      <c r="G209" s="5"/>
      <c r="I209" s="4"/>
      <c r="J209" s="4"/>
      <c r="K209" s="4"/>
      <c r="L209" s="103"/>
      <c r="M209" s="108"/>
      <c r="N209" s="9"/>
    </row>
    <row r="210" spans="1:14" ht="13.95" customHeight="1">
      <c r="A210" s="9"/>
      <c r="B210" s="1"/>
      <c r="C210" s="37" t="s">
        <v>40</v>
      </c>
      <c r="D210" s="1"/>
      <c r="E210" s="4"/>
      <c r="F210" s="3"/>
      <c r="G210" s="5"/>
      <c r="I210" s="4"/>
      <c r="J210" s="4"/>
      <c r="K210" s="4"/>
      <c r="L210" s="103"/>
      <c r="M210" s="108"/>
      <c r="N210" s="9"/>
    </row>
    <row r="211" spans="1:14" ht="13.95" customHeight="1">
      <c r="A211" s="9"/>
      <c r="B211" s="1"/>
      <c r="C211" s="33"/>
      <c r="D211" s="1"/>
      <c r="E211" s="4"/>
      <c r="F211" s="3"/>
      <c r="G211" s="5"/>
      <c r="I211" s="4"/>
      <c r="J211" s="4"/>
      <c r="K211" s="4"/>
      <c r="L211" s="103"/>
      <c r="M211" s="108"/>
      <c r="N211" s="9"/>
    </row>
    <row r="212" spans="1:14" ht="13.95" customHeight="1">
      <c r="A212" s="9">
        <f>A208+1</f>
        <v>37</v>
      </c>
      <c r="B212" s="1"/>
      <c r="C212" s="33" t="s">
        <v>32</v>
      </c>
      <c r="D212" s="1" t="s">
        <v>51</v>
      </c>
      <c r="E212" s="3">
        <f>SUM(I212:N212)</f>
        <v>0.03</v>
      </c>
      <c r="F212" s="3">
        <f>F208</f>
        <v>35000</v>
      </c>
      <c r="G212" s="5">
        <f t="shared" ref="G212" si="54">+E212*F212</f>
        <v>1050</v>
      </c>
      <c r="I212" s="4">
        <v>0.03</v>
      </c>
      <c r="J212" s="4"/>
      <c r="K212" s="4"/>
      <c r="L212" s="103"/>
      <c r="M212" s="108"/>
      <c r="N212" s="9"/>
    </row>
    <row r="213" spans="1:14" ht="13.95" customHeight="1">
      <c r="A213" s="1"/>
      <c r="B213" s="1"/>
      <c r="C213" s="33"/>
      <c r="D213" s="1"/>
      <c r="E213" s="3"/>
      <c r="F213" s="4"/>
      <c r="G213" s="5"/>
      <c r="I213" s="3"/>
      <c r="J213" s="3"/>
      <c r="K213" s="3"/>
      <c r="L213" s="103"/>
      <c r="M213" s="108"/>
      <c r="N213" s="9"/>
    </row>
    <row r="214" spans="1:14" ht="24.6" customHeight="1">
      <c r="A214" s="9"/>
      <c r="B214" s="1" t="s">
        <v>99</v>
      </c>
      <c r="C214" s="34" t="s">
        <v>63</v>
      </c>
      <c r="D214" s="1"/>
      <c r="E214" s="3"/>
      <c r="F214" s="4"/>
      <c r="G214" s="5"/>
      <c r="I214" s="9"/>
      <c r="J214" s="9"/>
      <c r="K214" s="9"/>
      <c r="L214" s="103"/>
      <c r="M214" s="108"/>
      <c r="N214" s="9"/>
    </row>
    <row r="215" spans="1:14" ht="13.95" customHeight="1">
      <c r="A215" s="9"/>
      <c r="B215" s="1"/>
      <c r="C215" s="34"/>
      <c r="D215" s="1"/>
      <c r="E215" s="3"/>
      <c r="F215" s="4"/>
      <c r="G215" s="5"/>
      <c r="I215" s="9"/>
      <c r="J215" s="9"/>
      <c r="K215" s="9"/>
      <c r="L215" s="103"/>
      <c r="M215" s="108"/>
      <c r="N215" s="9"/>
    </row>
    <row r="216" spans="1:14" ht="22.95" customHeight="1">
      <c r="A216" s="9"/>
      <c r="B216" s="1"/>
      <c r="C216" s="34" t="s">
        <v>58</v>
      </c>
      <c r="D216" s="1"/>
      <c r="E216" s="3"/>
      <c r="F216" s="4"/>
      <c r="G216" s="5"/>
      <c r="I216" s="9"/>
      <c r="J216" s="9"/>
      <c r="K216" s="9"/>
      <c r="L216" s="103"/>
      <c r="M216" s="108"/>
      <c r="N216" s="9"/>
    </row>
    <row r="217" spans="1:14" ht="13.95" customHeight="1">
      <c r="A217" s="9"/>
      <c r="B217" s="1"/>
      <c r="C217" s="33"/>
      <c r="D217" s="1"/>
      <c r="E217" s="3"/>
      <c r="F217" s="4"/>
      <c r="G217" s="5"/>
      <c r="I217" s="9"/>
      <c r="J217" s="9"/>
      <c r="K217" s="9"/>
      <c r="L217" s="103"/>
      <c r="M217" s="108"/>
      <c r="N217" s="9"/>
    </row>
    <row r="218" spans="1:14" ht="46.2" customHeight="1">
      <c r="A218" s="9">
        <f>A212+1</f>
        <v>38</v>
      </c>
      <c r="B218" s="1"/>
      <c r="C218" s="33" t="s">
        <v>240</v>
      </c>
      <c r="D218" s="1" t="s">
        <v>6</v>
      </c>
      <c r="E218" s="3">
        <f>SUM(I218:N218)</f>
        <v>6</v>
      </c>
      <c r="F218" s="3">
        <v>275</v>
      </c>
      <c r="G218" s="5">
        <f t="shared" ref="G218" si="55">+E218*F218</f>
        <v>1650</v>
      </c>
      <c r="I218" s="9">
        <v>6</v>
      </c>
      <c r="J218" s="9"/>
      <c r="K218" s="9"/>
      <c r="L218" s="103"/>
      <c r="M218" s="108"/>
      <c r="N218" s="9"/>
    </row>
    <row r="219" spans="1:14" ht="13.95" customHeight="1">
      <c r="A219" s="9"/>
      <c r="B219" s="1"/>
      <c r="C219" s="33"/>
      <c r="D219" s="1"/>
      <c r="E219" s="3"/>
      <c r="F219" s="3"/>
      <c r="G219" s="5"/>
      <c r="I219" s="9"/>
      <c r="J219" s="9"/>
      <c r="K219" s="9"/>
      <c r="L219" s="103"/>
      <c r="M219" s="108"/>
      <c r="N219" s="9"/>
    </row>
    <row r="220" spans="1:14" ht="48" customHeight="1">
      <c r="A220" s="9">
        <f>A218+1</f>
        <v>39</v>
      </c>
      <c r="B220" s="1"/>
      <c r="C220" s="33" t="s">
        <v>227</v>
      </c>
      <c r="D220" s="1" t="s">
        <v>6</v>
      </c>
      <c r="E220" s="3">
        <f>SUM(I220:N220)</f>
        <v>0</v>
      </c>
      <c r="F220" s="3">
        <v>975</v>
      </c>
      <c r="G220" s="5">
        <f t="shared" ref="G220" si="56">+E220*F220</f>
        <v>0</v>
      </c>
      <c r="I220" s="45"/>
      <c r="J220" s="45"/>
      <c r="K220" s="45"/>
      <c r="L220" s="103"/>
      <c r="M220" s="108"/>
      <c r="N220" s="9"/>
    </row>
    <row r="221" spans="1:14" ht="12.6" customHeight="1">
      <c r="A221" s="9"/>
      <c r="B221" s="1"/>
      <c r="C221" s="33"/>
      <c r="D221" s="1"/>
      <c r="E221" s="3"/>
      <c r="F221" s="4"/>
      <c r="G221" s="5"/>
      <c r="I221" s="9"/>
      <c r="J221" s="9"/>
      <c r="K221" s="9"/>
      <c r="L221" s="103"/>
      <c r="M221" s="108"/>
      <c r="N221" s="9"/>
    </row>
    <row r="222" spans="1:14" ht="13.95" customHeight="1">
      <c r="A222" s="1"/>
      <c r="B222" s="1" t="s">
        <v>103</v>
      </c>
      <c r="C222" s="34" t="s">
        <v>7</v>
      </c>
      <c r="D222" s="1"/>
      <c r="E222" s="3"/>
      <c r="F222" s="4"/>
      <c r="G222" s="5"/>
      <c r="I222" s="9"/>
      <c r="J222" s="9"/>
      <c r="K222" s="9"/>
      <c r="L222" s="103"/>
      <c r="M222" s="108"/>
      <c r="N222" s="9"/>
    </row>
    <row r="223" spans="1:14" ht="13.95" customHeight="1">
      <c r="A223" s="1"/>
      <c r="B223" s="1"/>
      <c r="C223" s="33"/>
      <c r="D223" s="1"/>
      <c r="E223" s="3"/>
      <c r="F223" s="4"/>
      <c r="G223" s="5"/>
      <c r="I223" s="9"/>
      <c r="J223" s="9"/>
      <c r="K223" s="9"/>
      <c r="L223" s="103"/>
      <c r="M223" s="108"/>
      <c r="N223" s="9"/>
    </row>
    <row r="224" spans="1:14" ht="13.95" customHeight="1">
      <c r="A224" s="1"/>
      <c r="B224" s="1"/>
      <c r="C224" s="33" t="s">
        <v>68</v>
      </c>
      <c r="D224" s="1"/>
      <c r="E224" s="3"/>
      <c r="F224" s="4"/>
      <c r="G224" s="5"/>
      <c r="I224" s="9"/>
      <c r="J224" s="9"/>
      <c r="K224" s="9"/>
      <c r="L224" s="103"/>
      <c r="M224" s="108"/>
      <c r="N224" s="9"/>
    </row>
    <row r="225" spans="1:14" ht="13.95" customHeight="1">
      <c r="A225" s="1"/>
      <c r="B225" s="1"/>
      <c r="C225" s="33"/>
      <c r="D225" s="1"/>
      <c r="E225" s="3"/>
      <c r="F225" s="4"/>
      <c r="G225" s="5"/>
      <c r="I225" s="9"/>
      <c r="J225" s="9"/>
      <c r="K225" s="9"/>
      <c r="L225" s="103"/>
      <c r="M225" s="108"/>
      <c r="N225" s="9"/>
    </row>
    <row r="226" spans="1:14" ht="22.95" customHeight="1">
      <c r="A226" s="1">
        <f>A220+1</f>
        <v>40</v>
      </c>
      <c r="B226" s="1"/>
      <c r="C226" s="33" t="s">
        <v>197</v>
      </c>
      <c r="D226" s="1" t="s">
        <v>60</v>
      </c>
      <c r="E226" s="3">
        <f>SUM(I226:N226)</f>
        <v>92</v>
      </c>
      <c r="F226" s="13">
        <v>165</v>
      </c>
      <c r="G226" s="5">
        <f t="shared" ref="G226" si="57">+E226*F226</f>
        <v>15180</v>
      </c>
      <c r="I226" s="9"/>
      <c r="J226" s="9">
        <v>92</v>
      </c>
      <c r="K226" s="9"/>
      <c r="L226" s="103"/>
      <c r="M226" s="108"/>
      <c r="N226" s="9"/>
    </row>
    <row r="227" spans="1:14" ht="13.95" customHeight="1">
      <c r="A227" s="1"/>
      <c r="B227" s="1"/>
      <c r="C227" s="33"/>
      <c r="D227" s="35"/>
      <c r="E227" s="3"/>
      <c r="F227" s="4"/>
      <c r="G227" s="5"/>
      <c r="I227" s="9"/>
      <c r="J227" s="9"/>
      <c r="K227" s="9"/>
      <c r="L227" s="103"/>
      <c r="M227" s="108"/>
      <c r="N227" s="9"/>
    </row>
    <row r="228" spans="1:14" ht="13.95" customHeight="1">
      <c r="A228" s="1"/>
      <c r="B228" s="1"/>
      <c r="C228" s="46" t="s">
        <v>231</v>
      </c>
      <c r="D228" s="1"/>
      <c r="E228" s="3"/>
      <c r="F228" s="4"/>
      <c r="G228" s="5"/>
      <c r="I228" s="9"/>
      <c r="J228" s="9"/>
      <c r="K228" s="9"/>
      <c r="L228" s="103"/>
      <c r="M228" s="108"/>
      <c r="N228" s="9"/>
    </row>
    <row r="229" spans="1:14" ht="13.95" customHeight="1">
      <c r="A229" s="1"/>
      <c r="B229" s="1"/>
      <c r="C229" s="47"/>
      <c r="D229" s="35"/>
      <c r="E229" s="3"/>
      <c r="F229" s="4"/>
      <c r="G229" s="5"/>
      <c r="I229" s="9"/>
      <c r="J229" s="9"/>
      <c r="K229" s="9"/>
      <c r="L229" s="103"/>
      <c r="M229" s="108"/>
      <c r="N229" s="9"/>
    </row>
    <row r="230" spans="1:14" ht="48.6" customHeight="1">
      <c r="A230" s="1">
        <f>A226+1</f>
        <v>41</v>
      </c>
      <c r="B230" s="1"/>
      <c r="C230" s="55" t="s">
        <v>75</v>
      </c>
      <c r="D230" s="1" t="s">
        <v>51</v>
      </c>
      <c r="E230" s="3">
        <f>SUM(I230:N230)</f>
        <v>0</v>
      </c>
      <c r="F230" s="3">
        <v>1185</v>
      </c>
      <c r="G230" s="5">
        <f t="shared" ref="G230" si="58">+E230*F230</f>
        <v>0</v>
      </c>
      <c r="I230" s="9"/>
      <c r="J230" s="9"/>
      <c r="K230" s="9"/>
      <c r="L230" s="103"/>
      <c r="M230" s="108"/>
      <c r="N230" s="9"/>
    </row>
    <row r="231" spans="1:14">
      <c r="A231" s="1"/>
      <c r="B231" s="1"/>
      <c r="C231" s="55"/>
      <c r="D231" s="35"/>
      <c r="E231" s="3"/>
      <c r="F231" s="3"/>
      <c r="G231" s="5"/>
      <c r="I231" s="9"/>
      <c r="J231" s="9"/>
      <c r="K231" s="9"/>
      <c r="L231" s="103"/>
      <c r="M231" s="108"/>
      <c r="N231" s="9"/>
    </row>
    <row r="232" spans="1:14">
      <c r="A232" s="1"/>
      <c r="B232" s="1"/>
      <c r="C232" s="55"/>
      <c r="D232" s="35"/>
      <c r="E232" s="3"/>
      <c r="F232" s="3"/>
      <c r="G232" s="5"/>
      <c r="I232" s="9"/>
      <c r="J232" s="9"/>
      <c r="K232" s="9"/>
      <c r="L232" s="103"/>
      <c r="M232" s="108"/>
      <c r="N232" s="9"/>
    </row>
    <row r="233" spans="1:14">
      <c r="A233" s="1"/>
      <c r="B233" s="1"/>
      <c r="C233" s="55"/>
      <c r="D233" s="35"/>
      <c r="E233" s="3"/>
      <c r="F233" s="3"/>
      <c r="G233" s="5"/>
      <c r="I233" s="9"/>
      <c r="J233" s="9"/>
      <c r="K233" s="9"/>
      <c r="L233" s="103"/>
      <c r="M233" s="108"/>
      <c r="N233" s="9"/>
    </row>
    <row r="234" spans="1:14">
      <c r="A234" s="1"/>
      <c r="B234" s="1"/>
      <c r="C234" s="55"/>
      <c r="D234" s="35"/>
      <c r="E234" s="3"/>
      <c r="F234" s="3"/>
      <c r="G234" s="5"/>
      <c r="I234" s="9"/>
      <c r="J234" s="9"/>
      <c r="K234" s="9"/>
      <c r="L234" s="103"/>
      <c r="M234" s="108"/>
      <c r="N234" s="9"/>
    </row>
    <row r="235" spans="1:14">
      <c r="A235" s="1"/>
      <c r="B235" s="1"/>
      <c r="C235" s="55"/>
      <c r="D235" s="35"/>
      <c r="E235" s="3"/>
      <c r="F235" s="3"/>
      <c r="G235" s="5"/>
      <c r="I235" s="9"/>
      <c r="J235" s="9"/>
      <c r="K235" s="9"/>
      <c r="L235" s="103"/>
      <c r="M235" s="108"/>
      <c r="N235" s="9"/>
    </row>
    <row r="236" spans="1:14">
      <c r="A236" s="1"/>
      <c r="B236" s="1"/>
      <c r="C236" s="55"/>
      <c r="D236" s="35"/>
      <c r="E236" s="3"/>
      <c r="F236" s="3"/>
      <c r="G236" s="5"/>
      <c r="I236" s="9"/>
      <c r="J236" s="9"/>
      <c r="K236" s="9"/>
      <c r="L236" s="103"/>
      <c r="M236" s="108"/>
      <c r="N236" s="9"/>
    </row>
    <row r="237" spans="1:14" ht="13.95" customHeight="1">
      <c r="A237" s="1"/>
      <c r="B237" s="1"/>
      <c r="C237" s="55"/>
      <c r="D237" s="35"/>
      <c r="E237" s="3"/>
      <c r="F237" s="4"/>
      <c r="G237" s="5"/>
      <c r="I237" s="9"/>
      <c r="J237" s="9"/>
      <c r="K237" s="9"/>
      <c r="L237" s="103"/>
      <c r="M237" s="108"/>
      <c r="N237" s="9"/>
    </row>
    <row r="238" spans="1:14" ht="13.95" customHeight="1">
      <c r="A238" s="1"/>
      <c r="B238" s="1"/>
      <c r="C238" s="55"/>
      <c r="D238" s="35"/>
      <c r="E238" s="3"/>
      <c r="F238" s="4"/>
      <c r="G238" s="5"/>
      <c r="I238" s="9"/>
      <c r="J238" s="9"/>
      <c r="K238" s="9"/>
      <c r="L238" s="103"/>
      <c r="M238" s="108"/>
      <c r="N238" s="9"/>
    </row>
    <row r="239" spans="1:14" ht="13.95" customHeight="1">
      <c r="A239" s="1"/>
      <c r="B239" s="1"/>
      <c r="C239" s="55"/>
      <c r="D239" s="35"/>
      <c r="E239" s="3"/>
      <c r="F239" s="4"/>
      <c r="G239" s="5"/>
      <c r="I239" s="9"/>
      <c r="J239" s="9"/>
      <c r="K239" s="9"/>
      <c r="L239" s="103"/>
      <c r="M239" s="108"/>
      <c r="N239" s="9"/>
    </row>
    <row r="240" spans="1:14" ht="13.95" customHeight="1">
      <c r="A240" s="1"/>
      <c r="B240" s="1"/>
      <c r="C240" s="55"/>
      <c r="D240" s="35"/>
      <c r="E240" s="3"/>
      <c r="F240" s="4"/>
      <c r="G240" s="5"/>
      <c r="I240" s="9"/>
      <c r="J240" s="9"/>
      <c r="K240" s="9"/>
      <c r="L240" s="103"/>
      <c r="M240" s="108"/>
      <c r="N240" s="9"/>
    </row>
    <row r="241" spans="1:14" ht="13.95" customHeight="1">
      <c r="A241" s="1"/>
      <c r="B241" s="1"/>
      <c r="C241" s="55"/>
      <c r="D241" s="35"/>
      <c r="E241" s="3"/>
      <c r="F241" s="4"/>
      <c r="G241" s="5"/>
      <c r="I241" s="9"/>
      <c r="J241" s="9"/>
      <c r="K241" s="9"/>
      <c r="L241" s="103"/>
      <c r="M241" s="108"/>
      <c r="N241" s="9"/>
    </row>
    <row r="242" spans="1:14" ht="20.100000000000001" customHeight="1">
      <c r="A242" s="149" t="s">
        <v>66</v>
      </c>
      <c r="B242" s="150"/>
      <c r="C242" s="150"/>
      <c r="D242" s="150"/>
      <c r="E242" s="150"/>
      <c r="F242" s="151"/>
      <c r="G242" s="116">
        <f>SUM(G202:G241)</f>
        <v>719483.7</v>
      </c>
      <c r="I242" s="9"/>
      <c r="J242" s="9"/>
      <c r="K242" s="9"/>
      <c r="L242" s="103"/>
      <c r="M242" s="108"/>
      <c r="N242" s="9"/>
    </row>
    <row r="243" spans="1:14" ht="13.95" customHeight="1">
      <c r="A243" s="39"/>
      <c r="B243" s="39"/>
      <c r="C243" s="39"/>
      <c r="D243" s="39"/>
      <c r="E243" s="39"/>
      <c r="F243" s="39"/>
      <c r="G243" s="113"/>
      <c r="I243" s="9"/>
      <c r="J243" s="9"/>
      <c r="K243" s="9"/>
      <c r="L243" s="103"/>
      <c r="M243" s="108"/>
      <c r="N243" s="9"/>
    </row>
    <row r="244" spans="1:14" ht="13.95" customHeight="1">
      <c r="A244" s="39"/>
      <c r="B244" s="39"/>
      <c r="C244" s="39"/>
      <c r="D244" s="39"/>
      <c r="E244" s="39"/>
      <c r="F244" s="39"/>
      <c r="G244" s="113"/>
      <c r="I244" s="9"/>
      <c r="J244" s="9"/>
      <c r="K244" s="9"/>
      <c r="L244" s="103"/>
      <c r="M244" s="108"/>
      <c r="N244" s="9"/>
    </row>
    <row r="245" spans="1:14" ht="22.2" customHeight="1">
      <c r="A245" s="44" t="s">
        <v>8</v>
      </c>
      <c r="B245" s="48" t="s">
        <v>9</v>
      </c>
      <c r="C245" s="44" t="s">
        <v>10</v>
      </c>
      <c r="D245" s="48" t="s">
        <v>11</v>
      </c>
      <c r="E245" s="48" t="s">
        <v>59</v>
      </c>
      <c r="F245" s="49" t="s">
        <v>12</v>
      </c>
      <c r="G245" s="111" t="s">
        <v>13</v>
      </c>
      <c r="I245" s="9"/>
      <c r="J245" s="9"/>
      <c r="K245" s="9"/>
      <c r="L245" s="103"/>
      <c r="M245" s="108"/>
      <c r="N245" s="9"/>
    </row>
    <row r="246" spans="1:14" ht="20.100000000000001" customHeight="1">
      <c r="A246" s="149" t="s">
        <v>67</v>
      </c>
      <c r="B246" s="150"/>
      <c r="C246" s="150"/>
      <c r="D246" s="150"/>
      <c r="E246" s="150"/>
      <c r="F246" s="151"/>
      <c r="G246" s="116">
        <f>+G242</f>
        <v>719483.7</v>
      </c>
      <c r="I246" s="9"/>
      <c r="J246" s="9"/>
      <c r="K246" s="9"/>
      <c r="L246" s="103"/>
      <c r="M246" s="108"/>
      <c r="N246" s="9"/>
    </row>
    <row r="247" spans="1:14" ht="13.95" customHeight="1">
      <c r="A247" s="1"/>
      <c r="B247" s="1"/>
      <c r="C247" s="55"/>
      <c r="D247" s="35"/>
      <c r="E247" s="3"/>
      <c r="F247" s="4"/>
      <c r="G247" s="5"/>
      <c r="I247" s="9"/>
      <c r="J247" s="9"/>
      <c r="K247" s="9"/>
      <c r="L247" s="103"/>
      <c r="M247" s="108"/>
      <c r="N247" s="9"/>
    </row>
    <row r="248" spans="1:14" ht="13.95" customHeight="1">
      <c r="A248" s="1"/>
      <c r="B248" s="1"/>
      <c r="C248" s="56" t="s">
        <v>230</v>
      </c>
      <c r="D248" s="9"/>
      <c r="E248" s="9"/>
      <c r="F248" s="122"/>
      <c r="G248" s="5"/>
      <c r="I248" s="9"/>
      <c r="J248" s="9"/>
      <c r="K248" s="9"/>
      <c r="L248" s="103"/>
      <c r="M248" s="108"/>
      <c r="N248" s="9"/>
    </row>
    <row r="249" spans="1:14" ht="13.95" customHeight="1">
      <c r="A249" s="1"/>
      <c r="B249" s="1"/>
      <c r="C249" s="57"/>
      <c r="D249" s="9"/>
      <c r="E249" s="9"/>
      <c r="F249" s="122"/>
      <c r="G249" s="5"/>
      <c r="I249" s="9"/>
      <c r="J249" s="9"/>
      <c r="K249" s="9"/>
      <c r="L249" s="103"/>
      <c r="M249" s="108"/>
      <c r="N249" s="9"/>
    </row>
    <row r="250" spans="1:14" ht="48" customHeight="1">
      <c r="A250" s="1"/>
      <c r="B250" s="1"/>
      <c r="C250" s="33" t="s">
        <v>242</v>
      </c>
      <c r="D250" s="57"/>
      <c r="E250" s="57"/>
      <c r="F250" s="57"/>
      <c r="G250" s="5"/>
      <c r="I250" s="9"/>
      <c r="J250" s="9"/>
      <c r="K250" s="9"/>
      <c r="L250" s="103"/>
      <c r="M250" s="108"/>
      <c r="N250" s="9"/>
    </row>
    <row r="251" spans="1:14" ht="13.95" customHeight="1">
      <c r="A251" s="1"/>
      <c r="B251" s="1"/>
      <c r="C251" s="33"/>
      <c r="D251" s="9"/>
      <c r="E251" s="9"/>
      <c r="F251" s="122"/>
      <c r="G251" s="5"/>
      <c r="I251" s="9"/>
      <c r="J251" s="9"/>
      <c r="K251" s="9"/>
      <c r="L251" s="103"/>
      <c r="M251" s="108"/>
      <c r="N251" s="9"/>
    </row>
    <row r="252" spans="1:14" ht="25.95" customHeight="1">
      <c r="A252" s="1"/>
      <c r="B252" s="1"/>
      <c r="C252" s="33" t="s">
        <v>232</v>
      </c>
      <c r="D252" s="9"/>
      <c r="E252" s="9"/>
      <c r="F252" s="122"/>
      <c r="G252" s="5"/>
      <c r="I252" s="9"/>
      <c r="J252" s="9"/>
      <c r="K252" s="9"/>
      <c r="L252" s="103"/>
      <c r="M252" s="108"/>
      <c r="N252" s="9"/>
    </row>
    <row r="253" spans="1:14" ht="13.95" customHeight="1">
      <c r="A253" s="1"/>
      <c r="B253" s="1"/>
      <c r="C253" s="33"/>
      <c r="D253" s="9"/>
      <c r="E253" s="9"/>
      <c r="F253" s="122"/>
      <c r="G253" s="5"/>
      <c r="I253" s="9"/>
      <c r="J253" s="9"/>
      <c r="K253" s="9"/>
      <c r="L253" s="103"/>
      <c r="M253" s="108"/>
      <c r="N253" s="9"/>
    </row>
    <row r="254" spans="1:14" ht="38.4" customHeight="1">
      <c r="A254" s="1">
        <f>A230+1</f>
        <v>42</v>
      </c>
      <c r="B254" s="1"/>
      <c r="C254" s="33" t="s">
        <v>233</v>
      </c>
      <c r="D254" s="9" t="s">
        <v>1</v>
      </c>
      <c r="E254" s="3">
        <f>SUM(I254:N254)</f>
        <v>10.4</v>
      </c>
      <c r="F254" s="144">
        <v>775</v>
      </c>
      <c r="G254" s="5">
        <f t="shared" ref="G254" si="59">+E254*F254</f>
        <v>8060</v>
      </c>
      <c r="I254" s="9"/>
      <c r="J254" s="9"/>
      <c r="K254" s="9"/>
      <c r="L254" s="103">
        <v>10.4</v>
      </c>
      <c r="M254" s="108"/>
      <c r="N254" s="9"/>
    </row>
    <row r="255" spans="1:14" ht="13.95" customHeight="1">
      <c r="A255" s="1"/>
      <c r="B255" s="1"/>
      <c r="C255" s="33"/>
      <c r="D255" s="9"/>
      <c r="E255" s="9"/>
      <c r="F255" s="144"/>
      <c r="G255" s="5"/>
      <c r="I255" s="9"/>
      <c r="J255" s="9"/>
      <c r="K255" s="9"/>
      <c r="L255" s="103"/>
      <c r="M255" s="108"/>
      <c r="N255" s="9"/>
    </row>
    <row r="256" spans="1:14" ht="25.95" customHeight="1">
      <c r="A256" s="1">
        <f>A254+1</f>
        <v>43</v>
      </c>
      <c r="B256" s="1"/>
      <c r="C256" s="33" t="s">
        <v>228</v>
      </c>
      <c r="D256" s="9" t="s">
        <v>6</v>
      </c>
      <c r="E256" s="3">
        <f>SUM(I256:N256)</f>
        <v>0</v>
      </c>
      <c r="F256" s="144">
        <v>275</v>
      </c>
      <c r="G256" s="5">
        <f t="shared" ref="G256" si="60">+E256*F256</f>
        <v>0</v>
      </c>
      <c r="I256" s="9"/>
      <c r="J256" s="9"/>
      <c r="K256" s="9"/>
      <c r="L256" s="103"/>
      <c r="M256" s="108"/>
      <c r="N256" s="9"/>
    </row>
    <row r="257" spans="1:14" ht="13.95" customHeight="1">
      <c r="A257" s="1"/>
      <c r="B257" s="1"/>
      <c r="C257" s="33"/>
      <c r="D257" s="9"/>
      <c r="E257" s="9"/>
      <c r="F257" s="144"/>
      <c r="G257" s="5"/>
      <c r="I257" s="9"/>
      <c r="J257" s="9"/>
      <c r="K257" s="9"/>
      <c r="L257" s="103"/>
      <c r="M257" s="108"/>
      <c r="N257" s="9"/>
    </row>
    <row r="258" spans="1:14" ht="13.95" customHeight="1">
      <c r="A258" s="1">
        <f>A256+1</f>
        <v>44</v>
      </c>
      <c r="B258" s="1"/>
      <c r="C258" s="33" t="s">
        <v>229</v>
      </c>
      <c r="D258" s="9" t="s">
        <v>6</v>
      </c>
      <c r="E258" s="3">
        <f>SUM(I258:N258)</f>
        <v>0</v>
      </c>
      <c r="F258" s="144">
        <v>650</v>
      </c>
      <c r="G258" s="5">
        <f t="shared" ref="G258" si="61">+E258*F258</f>
        <v>0</v>
      </c>
      <c r="I258" s="9"/>
      <c r="J258" s="9"/>
      <c r="K258" s="9"/>
      <c r="L258" s="103"/>
      <c r="M258" s="108"/>
      <c r="N258" s="9"/>
    </row>
    <row r="259" spans="1:14" ht="13.95" customHeight="1">
      <c r="A259" s="1"/>
      <c r="B259" s="1"/>
      <c r="C259" s="17"/>
      <c r="D259" s="35"/>
      <c r="E259" s="3"/>
      <c r="F259" s="14"/>
      <c r="G259" s="5"/>
      <c r="I259" s="9"/>
      <c r="J259" s="9"/>
      <c r="K259" s="9"/>
      <c r="L259" s="103"/>
      <c r="M259" s="108"/>
      <c r="N259" s="9"/>
    </row>
    <row r="260" spans="1:14">
      <c r="A260" s="16">
        <f>+A258+1</f>
        <v>45</v>
      </c>
      <c r="B260" s="16"/>
      <c r="C260" s="47" t="s">
        <v>241</v>
      </c>
      <c r="D260" s="58" t="s">
        <v>1</v>
      </c>
      <c r="E260" s="3">
        <f>SUM(I260:N260)</f>
        <v>0</v>
      </c>
      <c r="F260" s="13">
        <v>425</v>
      </c>
      <c r="G260" s="15">
        <f t="shared" ref="G260" si="62">+E260*F260</f>
        <v>0</v>
      </c>
      <c r="I260" s="9"/>
      <c r="J260" s="9"/>
      <c r="K260" s="9"/>
      <c r="L260" s="103"/>
      <c r="M260" s="108"/>
      <c r="N260" s="9"/>
    </row>
    <row r="261" spans="1:14" ht="13.95" customHeight="1">
      <c r="A261" s="1"/>
      <c r="B261" s="1"/>
      <c r="C261" s="17"/>
      <c r="D261" s="35"/>
      <c r="E261" s="3"/>
      <c r="F261" s="4"/>
      <c r="G261" s="5"/>
      <c r="I261" s="9"/>
      <c r="J261" s="9"/>
      <c r="K261" s="9"/>
      <c r="L261" s="103"/>
      <c r="M261" s="108"/>
      <c r="N261" s="9"/>
    </row>
    <row r="262" spans="1:14" ht="22.2" customHeight="1">
      <c r="A262" s="1"/>
      <c r="B262" s="51" t="s">
        <v>105</v>
      </c>
      <c r="C262" s="11" t="s">
        <v>204</v>
      </c>
      <c r="D262" s="40"/>
      <c r="E262" s="3"/>
      <c r="F262" s="4"/>
      <c r="G262" s="5"/>
      <c r="I262" s="9"/>
      <c r="J262" s="9"/>
      <c r="K262" s="9"/>
      <c r="L262" s="103"/>
      <c r="M262" s="108"/>
      <c r="N262" s="9"/>
    </row>
    <row r="263" spans="1:14" ht="13.95" customHeight="1">
      <c r="A263" s="1"/>
      <c r="B263" s="51"/>
      <c r="C263" s="6"/>
      <c r="D263" s="9"/>
      <c r="E263" s="3"/>
      <c r="F263" s="4"/>
      <c r="G263" s="5"/>
      <c r="I263" s="9"/>
      <c r="J263" s="9"/>
      <c r="K263" s="9"/>
      <c r="L263" s="103"/>
      <c r="M263" s="108"/>
      <c r="N263" s="9"/>
    </row>
    <row r="264" spans="1:14" ht="13.95" customHeight="1">
      <c r="A264" s="1"/>
      <c r="B264" s="51" t="s">
        <v>92</v>
      </c>
      <c r="C264" s="52" t="s">
        <v>205</v>
      </c>
      <c r="D264" s="9"/>
      <c r="E264" s="3"/>
      <c r="F264" s="4"/>
      <c r="G264" s="5"/>
      <c r="I264" s="9"/>
      <c r="J264" s="9"/>
      <c r="K264" s="9"/>
      <c r="L264" s="103"/>
      <c r="M264" s="108"/>
      <c r="N264" s="9"/>
    </row>
    <row r="265" spans="1:14" ht="13.95" customHeight="1">
      <c r="A265" s="1"/>
      <c r="B265" s="51"/>
      <c r="C265" s="6"/>
      <c r="D265" s="9"/>
      <c r="E265" s="3"/>
      <c r="F265" s="4"/>
      <c r="G265" s="5"/>
      <c r="I265" s="9"/>
      <c r="J265" s="9"/>
      <c r="K265" s="9"/>
      <c r="L265" s="103"/>
      <c r="M265" s="108"/>
      <c r="N265" s="9"/>
    </row>
    <row r="266" spans="1:14" ht="24" customHeight="1">
      <c r="A266" s="1"/>
      <c r="B266" s="51" t="s">
        <v>206</v>
      </c>
      <c r="C266" s="21" t="s">
        <v>207</v>
      </c>
      <c r="D266" s="9"/>
      <c r="E266" s="3"/>
      <c r="F266" s="4"/>
      <c r="G266" s="5"/>
      <c r="I266" s="9"/>
      <c r="J266" s="9"/>
      <c r="K266" s="9"/>
      <c r="L266" s="103"/>
      <c r="M266" s="108"/>
      <c r="N266" s="9"/>
    </row>
    <row r="267" spans="1:14" ht="13.95" customHeight="1">
      <c r="A267" s="1"/>
      <c r="B267" s="51"/>
      <c r="C267" s="6"/>
      <c r="D267" s="9"/>
      <c r="E267" s="3"/>
      <c r="F267" s="4"/>
      <c r="G267" s="5"/>
      <c r="I267" s="9"/>
      <c r="J267" s="9"/>
      <c r="K267" s="9"/>
      <c r="L267" s="103"/>
      <c r="M267" s="108"/>
      <c r="N267" s="9"/>
    </row>
    <row r="268" spans="1:14" ht="13.95" customHeight="1">
      <c r="A268" s="1">
        <f>A260+1</f>
        <v>46</v>
      </c>
      <c r="B268" s="51" t="s">
        <v>208</v>
      </c>
      <c r="C268" s="6" t="s">
        <v>21</v>
      </c>
      <c r="D268" s="9" t="s">
        <v>1</v>
      </c>
      <c r="E268" s="3">
        <f>SUM(I268:N268)</f>
        <v>0</v>
      </c>
      <c r="F268" s="13">
        <v>1950</v>
      </c>
      <c r="G268" s="5">
        <f t="shared" ref="G268" si="63">+E268*F268</f>
        <v>0</v>
      </c>
      <c r="I268" s="9"/>
      <c r="J268" s="9"/>
      <c r="K268" s="9"/>
      <c r="L268" s="103"/>
      <c r="M268" s="108"/>
      <c r="N268" s="9"/>
    </row>
    <row r="269" spans="1:14" ht="13.95" customHeight="1">
      <c r="A269" s="1"/>
      <c r="B269" s="51"/>
      <c r="C269" s="6"/>
      <c r="D269" s="9"/>
      <c r="E269" s="3"/>
      <c r="F269" s="13"/>
      <c r="G269" s="5"/>
      <c r="I269" s="9"/>
      <c r="J269" s="9"/>
      <c r="K269" s="9"/>
      <c r="L269" s="103"/>
      <c r="M269" s="108"/>
      <c r="N269" s="9"/>
    </row>
    <row r="270" spans="1:14" ht="12.6" customHeight="1">
      <c r="A270" s="1">
        <f>A268+1</f>
        <v>47</v>
      </c>
      <c r="B270" s="51" t="s">
        <v>209</v>
      </c>
      <c r="C270" s="18" t="s">
        <v>210</v>
      </c>
      <c r="D270" s="9" t="s">
        <v>6</v>
      </c>
      <c r="E270" s="3">
        <f>SUM(I270:N270)</f>
        <v>0</v>
      </c>
      <c r="F270" s="13">
        <v>350</v>
      </c>
      <c r="G270" s="5">
        <f t="shared" ref="G270" si="64">+E270*F270</f>
        <v>0</v>
      </c>
      <c r="I270" s="9"/>
      <c r="J270" s="9"/>
      <c r="K270" s="9"/>
      <c r="L270" s="103"/>
      <c r="M270" s="108"/>
      <c r="N270" s="9"/>
    </row>
    <row r="271" spans="1:14" ht="12.6" customHeight="1">
      <c r="A271" s="1"/>
      <c r="B271" s="1"/>
      <c r="C271" s="33"/>
      <c r="D271" s="35"/>
      <c r="E271" s="3"/>
      <c r="F271" s="13"/>
      <c r="G271" s="5"/>
      <c r="I271" s="9"/>
      <c r="J271" s="9"/>
      <c r="K271" s="9"/>
      <c r="L271" s="103"/>
      <c r="M271" s="108"/>
      <c r="N271" s="9"/>
    </row>
    <row r="272" spans="1:14" ht="12.6" customHeight="1">
      <c r="A272" s="1"/>
      <c r="B272" s="1"/>
      <c r="C272" s="123" t="s">
        <v>236</v>
      </c>
      <c r="D272" s="35"/>
      <c r="E272" s="3"/>
      <c r="F272" s="13"/>
      <c r="G272" s="5"/>
      <c r="I272" s="9"/>
      <c r="J272" s="9"/>
      <c r="K272" s="9"/>
      <c r="L272" s="103"/>
      <c r="M272" s="108"/>
      <c r="N272" s="9"/>
    </row>
    <row r="273" spans="1:14" ht="12.6" customHeight="1">
      <c r="A273" s="1"/>
      <c r="B273" s="1"/>
      <c r="C273" s="6"/>
      <c r="D273" s="35"/>
      <c r="E273" s="3"/>
      <c r="F273" s="13"/>
      <c r="G273" s="5"/>
      <c r="I273" s="9"/>
      <c r="J273" s="9"/>
      <c r="K273" s="9"/>
      <c r="L273" s="103"/>
      <c r="M273" s="108"/>
      <c r="N273" s="9"/>
    </row>
    <row r="274" spans="1:14" ht="12.6" customHeight="1">
      <c r="A274" s="1"/>
      <c r="B274" s="1"/>
      <c r="C274" s="124" t="s">
        <v>234</v>
      </c>
      <c r="D274" s="35"/>
      <c r="E274" s="3"/>
      <c r="F274" s="13"/>
      <c r="G274" s="5"/>
      <c r="I274" s="9"/>
      <c r="J274" s="9"/>
      <c r="K274" s="9"/>
      <c r="L274" s="103"/>
      <c r="M274" s="108"/>
      <c r="N274" s="9"/>
    </row>
    <row r="275" spans="1:14" ht="12.6" customHeight="1">
      <c r="A275" s="1"/>
      <c r="B275" s="1"/>
      <c r="C275" s="33"/>
      <c r="D275" s="35"/>
      <c r="E275" s="3"/>
      <c r="F275" s="13"/>
      <c r="G275" s="5"/>
      <c r="I275" s="9"/>
      <c r="J275" s="9"/>
      <c r="K275" s="9"/>
      <c r="L275" s="103"/>
      <c r="M275" s="108"/>
      <c r="N275" s="9"/>
    </row>
    <row r="276" spans="1:14" ht="38.4" customHeight="1">
      <c r="A276" s="1">
        <f>A270+1</f>
        <v>48</v>
      </c>
      <c r="B276" s="1"/>
      <c r="C276" s="125" t="s">
        <v>235</v>
      </c>
      <c r="D276" s="1" t="s">
        <v>60</v>
      </c>
      <c r="E276" s="3">
        <f>SUM(I276:N276)</f>
        <v>6.7</v>
      </c>
      <c r="F276" s="13">
        <v>3750</v>
      </c>
      <c r="G276" s="5">
        <f t="shared" ref="G276" si="65">+E276*F276</f>
        <v>25125</v>
      </c>
      <c r="I276" s="9"/>
      <c r="J276" s="9"/>
      <c r="K276" s="9"/>
      <c r="L276" s="103">
        <v>6.7</v>
      </c>
      <c r="M276" s="108"/>
      <c r="N276" s="9"/>
    </row>
    <row r="277" spans="1:14" ht="12.6" customHeight="1">
      <c r="A277" s="1"/>
      <c r="B277" s="1"/>
      <c r="C277" s="33"/>
      <c r="D277" s="35"/>
      <c r="E277" s="3"/>
      <c r="F277" s="13"/>
      <c r="G277" s="5"/>
      <c r="I277" s="9"/>
      <c r="J277" s="9"/>
      <c r="K277" s="9"/>
      <c r="L277" s="103"/>
      <c r="M277" s="108"/>
      <c r="N277" s="9"/>
    </row>
    <row r="278" spans="1:14" ht="13.95" customHeight="1">
      <c r="A278" s="1"/>
      <c r="B278" s="1"/>
      <c r="C278" s="34" t="s">
        <v>212</v>
      </c>
      <c r="D278" s="1" t="s">
        <v>64</v>
      </c>
      <c r="E278" s="3"/>
      <c r="F278" s="14"/>
      <c r="G278" s="5"/>
      <c r="I278" s="9"/>
      <c r="J278" s="9"/>
      <c r="K278" s="9"/>
      <c r="L278" s="103"/>
      <c r="M278" s="108"/>
      <c r="N278" s="9"/>
    </row>
    <row r="279" spans="1:14" ht="13.95" customHeight="1">
      <c r="A279" s="1"/>
      <c r="B279" s="1"/>
      <c r="C279" s="33" t="s">
        <v>64</v>
      </c>
      <c r="D279" s="1" t="s">
        <v>64</v>
      </c>
      <c r="E279" s="3"/>
      <c r="F279" s="4"/>
      <c r="G279" s="5"/>
      <c r="I279" s="9"/>
      <c r="J279" s="9"/>
      <c r="K279" s="9"/>
      <c r="L279" s="103"/>
      <c r="M279" s="108"/>
      <c r="N279" s="9"/>
    </row>
    <row r="280" spans="1:14" ht="22.2" customHeight="1">
      <c r="A280" s="1">
        <f>A276+1</f>
        <v>49</v>
      </c>
      <c r="B280" s="1"/>
      <c r="C280" s="33" t="s">
        <v>217</v>
      </c>
      <c r="D280" s="1" t="s">
        <v>60</v>
      </c>
      <c r="E280" s="3">
        <f>SUM(I280:N280)</f>
        <v>185</v>
      </c>
      <c r="F280" s="3">
        <v>885</v>
      </c>
      <c r="G280" s="5">
        <f t="shared" ref="G280" si="66">+E280*F280</f>
        <v>163725</v>
      </c>
      <c r="I280" s="9"/>
      <c r="J280" s="9">
        <v>92</v>
      </c>
      <c r="K280" s="9">
        <v>85</v>
      </c>
      <c r="L280" s="103">
        <v>8</v>
      </c>
      <c r="M280" s="108"/>
      <c r="N280" s="9"/>
    </row>
    <row r="281" spans="1:14">
      <c r="A281" s="1"/>
      <c r="B281" s="1"/>
      <c r="C281" s="33"/>
      <c r="D281" s="35"/>
      <c r="E281" s="3"/>
      <c r="F281" s="3"/>
      <c r="G281" s="5"/>
      <c r="I281" s="9"/>
      <c r="J281" s="9"/>
      <c r="K281" s="9"/>
      <c r="L281" s="103"/>
      <c r="M281" s="108"/>
      <c r="N281" s="9"/>
    </row>
    <row r="282" spans="1:14" ht="13.95" customHeight="1">
      <c r="A282" s="1"/>
      <c r="B282" s="1"/>
      <c r="C282" s="33"/>
      <c r="D282" s="35"/>
      <c r="E282" s="3"/>
      <c r="F282" s="4"/>
      <c r="G282" s="5"/>
      <c r="I282" s="9"/>
      <c r="J282" s="9"/>
      <c r="K282" s="9"/>
      <c r="L282" s="103"/>
      <c r="M282" s="108"/>
      <c r="N282" s="9"/>
    </row>
    <row r="283" spans="1:14" ht="13.95" customHeight="1">
      <c r="A283" s="1"/>
      <c r="B283" s="1"/>
      <c r="C283" s="33"/>
      <c r="D283" s="35"/>
      <c r="E283" s="3"/>
      <c r="F283" s="4"/>
      <c r="G283" s="5"/>
      <c r="I283" s="9"/>
      <c r="J283" s="9"/>
      <c r="K283" s="9"/>
      <c r="L283" s="103"/>
      <c r="M283" s="108"/>
      <c r="N283" s="9"/>
    </row>
    <row r="284" spans="1:14" ht="13.95" customHeight="1">
      <c r="A284" s="1"/>
      <c r="B284" s="1"/>
      <c r="C284" s="33"/>
      <c r="D284" s="35"/>
      <c r="E284" s="3"/>
      <c r="F284" s="4"/>
      <c r="G284" s="5"/>
      <c r="I284" s="9"/>
      <c r="J284" s="9"/>
      <c r="K284" s="9"/>
      <c r="L284" s="103"/>
      <c r="M284" s="108"/>
      <c r="N284" s="9"/>
    </row>
    <row r="285" spans="1:14" ht="20.100000000000001" customHeight="1">
      <c r="A285" s="149" t="s">
        <v>66</v>
      </c>
      <c r="B285" s="150"/>
      <c r="C285" s="150"/>
      <c r="D285" s="150"/>
      <c r="E285" s="150"/>
      <c r="F285" s="151"/>
      <c r="G285" s="116">
        <f>SUM(G246:G284)</f>
        <v>916393.7</v>
      </c>
      <c r="I285" s="9"/>
      <c r="J285" s="9"/>
      <c r="K285" s="9"/>
      <c r="L285" s="103"/>
      <c r="M285" s="108"/>
      <c r="N285" s="9"/>
    </row>
    <row r="286" spans="1:14" ht="13.95" customHeight="1">
      <c r="A286" s="39"/>
      <c r="B286" s="39"/>
      <c r="C286" s="39"/>
      <c r="D286" s="39"/>
      <c r="E286" s="39"/>
      <c r="F286" s="39"/>
      <c r="G286" s="113"/>
      <c r="I286" s="9"/>
      <c r="J286" s="9"/>
      <c r="K286" s="9"/>
      <c r="L286" s="103"/>
      <c r="M286" s="108"/>
      <c r="N286" s="9"/>
    </row>
    <row r="287" spans="1:14" ht="13.95" customHeight="1">
      <c r="A287" s="39"/>
      <c r="B287" s="39"/>
      <c r="C287" s="39"/>
      <c r="D287" s="39"/>
      <c r="E287" s="39"/>
      <c r="F287" s="39"/>
      <c r="G287" s="113"/>
      <c r="I287" s="9"/>
      <c r="J287" s="9"/>
      <c r="K287" s="9"/>
      <c r="L287" s="103"/>
      <c r="M287" s="108"/>
      <c r="N287" s="9"/>
    </row>
    <row r="288" spans="1:14" ht="22.2" customHeight="1">
      <c r="A288" s="44" t="s">
        <v>8</v>
      </c>
      <c r="B288" s="48" t="s">
        <v>9</v>
      </c>
      <c r="C288" s="44" t="s">
        <v>10</v>
      </c>
      <c r="D288" s="48" t="s">
        <v>11</v>
      </c>
      <c r="E288" s="48" t="s">
        <v>59</v>
      </c>
      <c r="F288" s="49" t="s">
        <v>12</v>
      </c>
      <c r="G288" s="111" t="s">
        <v>13</v>
      </c>
      <c r="I288" s="9"/>
      <c r="J288" s="9"/>
      <c r="K288" s="9"/>
      <c r="L288" s="103"/>
      <c r="M288" s="108"/>
      <c r="N288" s="9"/>
    </row>
    <row r="289" spans="1:14" ht="20.100000000000001" customHeight="1">
      <c r="A289" s="149" t="s">
        <v>67</v>
      </c>
      <c r="B289" s="150"/>
      <c r="C289" s="150"/>
      <c r="D289" s="150"/>
      <c r="E289" s="150"/>
      <c r="F289" s="151"/>
      <c r="G289" s="116">
        <f>+G285</f>
        <v>916393.7</v>
      </c>
      <c r="I289" s="9"/>
      <c r="J289" s="9"/>
      <c r="K289" s="9"/>
      <c r="L289" s="103"/>
      <c r="M289" s="108"/>
      <c r="N289" s="9"/>
    </row>
    <row r="290" spans="1:14" ht="13.95" customHeight="1">
      <c r="A290" s="1"/>
      <c r="B290" s="1"/>
      <c r="C290" s="33"/>
      <c r="D290" s="35"/>
      <c r="E290" s="3"/>
      <c r="F290" s="4"/>
      <c r="G290" s="5"/>
      <c r="I290" s="9"/>
      <c r="J290" s="9"/>
      <c r="K290" s="9"/>
      <c r="L290" s="103"/>
      <c r="M290" s="108"/>
      <c r="N290" s="9"/>
    </row>
    <row r="291" spans="1:14" ht="13.95" customHeight="1">
      <c r="A291" s="16"/>
      <c r="B291" s="76" t="s">
        <v>167</v>
      </c>
      <c r="C291" s="74" t="s">
        <v>168</v>
      </c>
      <c r="D291" s="93"/>
      <c r="E291" s="94"/>
      <c r="F291" s="14"/>
      <c r="G291" s="15"/>
      <c r="I291" s="9"/>
      <c r="J291" s="9"/>
      <c r="K291" s="9"/>
      <c r="L291" s="103"/>
      <c r="M291" s="108"/>
      <c r="N291" s="9"/>
    </row>
    <row r="292" spans="1:14" ht="13.95" customHeight="1">
      <c r="A292" s="16"/>
      <c r="B292" s="12"/>
      <c r="C292" s="75"/>
      <c r="D292" s="93"/>
      <c r="E292" s="94"/>
      <c r="F292" s="14"/>
      <c r="G292" s="15"/>
      <c r="I292" s="9"/>
      <c r="J292" s="9"/>
      <c r="K292" s="9"/>
      <c r="L292" s="103"/>
      <c r="M292" s="108"/>
      <c r="N292" s="9"/>
    </row>
    <row r="293" spans="1:14" ht="13.95" customHeight="1">
      <c r="A293" s="16"/>
      <c r="B293" s="12" t="s">
        <v>193</v>
      </c>
      <c r="C293" s="70" t="s">
        <v>164</v>
      </c>
      <c r="D293" s="12"/>
      <c r="E293" s="94"/>
      <c r="F293" s="14"/>
      <c r="G293" s="15"/>
      <c r="I293" s="9"/>
      <c r="J293" s="9"/>
      <c r="K293" s="9"/>
      <c r="L293" s="103"/>
      <c r="M293" s="108"/>
      <c r="N293" s="9"/>
    </row>
    <row r="294" spans="1:14" ht="13.95" customHeight="1">
      <c r="A294" s="16"/>
      <c r="B294" s="73"/>
      <c r="C294" s="62"/>
      <c r="D294" s="12"/>
      <c r="E294" s="94"/>
      <c r="F294" s="14"/>
      <c r="G294" s="15"/>
      <c r="I294" s="9"/>
      <c r="J294" s="9"/>
      <c r="K294" s="9"/>
      <c r="L294" s="103"/>
      <c r="M294" s="108"/>
      <c r="N294" s="9"/>
    </row>
    <row r="295" spans="1:14" ht="13.95" customHeight="1">
      <c r="A295" s="16">
        <v>50</v>
      </c>
      <c r="B295" s="73"/>
      <c r="C295" s="75" t="s">
        <v>112</v>
      </c>
      <c r="D295" s="12" t="s">
        <v>60</v>
      </c>
      <c r="E295" s="3">
        <f>SUM(I295:N295)</f>
        <v>0</v>
      </c>
      <c r="F295" s="13">
        <v>890</v>
      </c>
      <c r="G295" s="15">
        <f>+E295*F295</f>
        <v>0</v>
      </c>
      <c r="I295" s="9"/>
      <c r="J295" s="9"/>
      <c r="K295" s="9"/>
      <c r="L295" s="103"/>
      <c r="M295" s="108"/>
      <c r="N295" s="9"/>
    </row>
    <row r="296" spans="1:14" ht="13.95" customHeight="1">
      <c r="A296" s="16"/>
      <c r="B296" s="73"/>
      <c r="C296" s="62"/>
      <c r="D296" s="12"/>
      <c r="E296" s="94"/>
      <c r="F296" s="14"/>
      <c r="G296" s="15"/>
      <c r="I296" s="9"/>
      <c r="J296" s="9"/>
      <c r="K296" s="9"/>
      <c r="L296" s="103"/>
      <c r="M296" s="108"/>
      <c r="N296" s="9"/>
    </row>
    <row r="297" spans="1:14" ht="13.95" customHeight="1">
      <c r="A297" s="16"/>
      <c r="B297" s="12" t="s">
        <v>195</v>
      </c>
      <c r="C297" s="70" t="s">
        <v>194</v>
      </c>
      <c r="D297" s="12"/>
      <c r="E297" s="94"/>
      <c r="F297" s="14"/>
      <c r="G297" s="15"/>
      <c r="I297" s="9"/>
      <c r="J297" s="9"/>
      <c r="K297" s="9"/>
      <c r="L297" s="103"/>
      <c r="M297" s="108"/>
      <c r="N297" s="9"/>
    </row>
    <row r="298" spans="1:14" ht="13.95" customHeight="1">
      <c r="A298" s="16"/>
      <c r="B298" s="73"/>
      <c r="C298" s="62"/>
      <c r="D298" s="12"/>
      <c r="E298" s="94"/>
      <c r="F298" s="14"/>
      <c r="G298" s="15"/>
      <c r="I298" s="9"/>
      <c r="J298" s="9"/>
      <c r="K298" s="9"/>
      <c r="L298" s="103"/>
      <c r="M298" s="108"/>
      <c r="N298" s="9"/>
    </row>
    <row r="299" spans="1:14" ht="13.95" customHeight="1">
      <c r="A299" s="16">
        <v>51</v>
      </c>
      <c r="B299" s="73"/>
      <c r="C299" s="75" t="s">
        <v>165</v>
      </c>
      <c r="D299" s="12" t="s">
        <v>60</v>
      </c>
      <c r="E299" s="3">
        <f>SUM(I299:N299)</f>
        <v>0</v>
      </c>
      <c r="F299" s="14">
        <v>325</v>
      </c>
      <c r="G299" s="15">
        <f t="shared" ref="G299" si="67">+E299*F299</f>
        <v>0</v>
      </c>
      <c r="I299" s="9"/>
      <c r="J299" s="9"/>
      <c r="K299" s="9"/>
      <c r="L299" s="103"/>
      <c r="M299" s="108"/>
      <c r="N299" s="9"/>
    </row>
    <row r="300" spans="1:14" ht="13.95" customHeight="1">
      <c r="A300" s="16"/>
      <c r="B300" s="12"/>
      <c r="C300" s="75"/>
      <c r="D300" s="93"/>
      <c r="E300" s="94"/>
      <c r="F300" s="14"/>
      <c r="G300" s="15"/>
      <c r="I300" s="9"/>
      <c r="J300" s="9"/>
      <c r="K300" s="9"/>
      <c r="L300" s="103"/>
      <c r="M300" s="108"/>
      <c r="N300" s="9"/>
    </row>
    <row r="301" spans="1:14" ht="24">
      <c r="A301" s="16"/>
      <c r="B301" s="76" t="s">
        <v>169</v>
      </c>
      <c r="C301" s="46" t="s">
        <v>216</v>
      </c>
      <c r="D301" s="12"/>
      <c r="E301" s="12"/>
      <c r="F301" s="145"/>
      <c r="G301" s="15"/>
      <c r="I301" s="9"/>
      <c r="J301" s="9"/>
      <c r="K301" s="9"/>
      <c r="L301" s="103"/>
      <c r="M301" s="108"/>
      <c r="N301" s="9"/>
    </row>
    <row r="302" spans="1:14" ht="13.95" customHeight="1">
      <c r="A302" s="16"/>
      <c r="B302" s="76"/>
      <c r="C302" s="75"/>
      <c r="D302" s="12"/>
      <c r="E302" s="12"/>
      <c r="F302" s="145"/>
      <c r="G302" s="15"/>
      <c r="I302" s="9"/>
      <c r="J302" s="9"/>
      <c r="K302" s="9"/>
      <c r="L302" s="103"/>
      <c r="M302" s="108"/>
      <c r="N302" s="9"/>
    </row>
    <row r="303" spans="1:14" ht="13.95" customHeight="1">
      <c r="A303" s="16"/>
      <c r="B303" s="76" t="s">
        <v>169</v>
      </c>
      <c r="C303" s="75" t="s">
        <v>170</v>
      </c>
      <c r="D303" s="12"/>
      <c r="E303" s="12"/>
      <c r="F303" s="145"/>
      <c r="G303" s="15"/>
      <c r="I303" s="9"/>
      <c r="J303" s="9"/>
      <c r="K303" s="9"/>
      <c r="L303" s="103"/>
      <c r="M303" s="108"/>
      <c r="N303" s="9"/>
    </row>
    <row r="304" spans="1:14" ht="13.95" customHeight="1">
      <c r="A304" s="16"/>
      <c r="B304" s="76"/>
      <c r="C304" s="75"/>
      <c r="D304" s="12"/>
      <c r="E304" s="12"/>
      <c r="F304" s="145"/>
      <c r="G304" s="15"/>
      <c r="I304" s="9"/>
      <c r="J304" s="9"/>
      <c r="K304" s="9"/>
      <c r="L304" s="103"/>
      <c r="M304" s="108"/>
      <c r="N304" s="9"/>
    </row>
    <row r="305" spans="1:15" ht="13.95" customHeight="1">
      <c r="A305" s="16">
        <v>52</v>
      </c>
      <c r="B305" s="76" t="s">
        <v>171</v>
      </c>
      <c r="C305" s="75" t="s">
        <v>172</v>
      </c>
      <c r="D305" s="12" t="s">
        <v>60</v>
      </c>
      <c r="E305" s="3">
        <f>SUM(I305:N305)</f>
        <v>0</v>
      </c>
      <c r="F305" s="94">
        <v>275</v>
      </c>
      <c r="G305" s="15">
        <f t="shared" ref="G305:G313" si="68">+E305*F305</f>
        <v>0</v>
      </c>
      <c r="I305" s="9"/>
      <c r="J305" s="9"/>
      <c r="K305" s="9"/>
      <c r="L305" s="103"/>
      <c r="M305" s="108"/>
      <c r="N305" s="9"/>
    </row>
    <row r="306" spans="1:15" ht="13.95" customHeight="1">
      <c r="A306" s="16"/>
      <c r="B306" s="12"/>
      <c r="C306" s="75"/>
      <c r="D306" s="93"/>
      <c r="E306" s="94"/>
      <c r="F306" s="14"/>
      <c r="G306" s="15"/>
      <c r="I306" s="9"/>
      <c r="J306" s="9"/>
      <c r="K306" s="9"/>
      <c r="L306" s="103"/>
      <c r="M306" s="108"/>
      <c r="N306" s="9"/>
    </row>
    <row r="307" spans="1:15" ht="13.95" customHeight="1">
      <c r="A307" s="16"/>
      <c r="B307" s="12" t="s">
        <v>102</v>
      </c>
      <c r="C307" s="74" t="s">
        <v>166</v>
      </c>
      <c r="D307" s="12"/>
      <c r="E307" s="94"/>
      <c r="F307" s="14"/>
      <c r="G307" s="15"/>
      <c r="I307" s="9"/>
      <c r="J307" s="9"/>
      <c r="K307" s="9"/>
      <c r="L307" s="103"/>
      <c r="M307" s="108"/>
      <c r="N307" s="9"/>
    </row>
    <row r="308" spans="1:15" ht="13.95" customHeight="1">
      <c r="A308" s="16"/>
      <c r="B308" s="12"/>
      <c r="C308" s="95"/>
      <c r="D308" s="12"/>
      <c r="E308" s="94"/>
      <c r="F308" s="14"/>
      <c r="G308" s="15"/>
      <c r="I308" s="9"/>
      <c r="J308" s="9"/>
      <c r="K308" s="9"/>
      <c r="L308" s="103"/>
      <c r="M308" s="108"/>
      <c r="N308" s="9"/>
    </row>
    <row r="309" spans="1:15" ht="13.95" customHeight="1">
      <c r="A309" s="16"/>
      <c r="B309" s="12"/>
      <c r="C309" s="75" t="s">
        <v>78</v>
      </c>
      <c r="D309" s="12"/>
      <c r="E309" s="94"/>
      <c r="F309" s="14"/>
      <c r="G309" s="15"/>
      <c r="I309" s="103"/>
      <c r="J309" s="103"/>
      <c r="K309" s="103"/>
      <c r="L309" s="103"/>
      <c r="M309" s="134"/>
      <c r="N309" s="9"/>
    </row>
    <row r="310" spans="1:15" ht="13.95" customHeight="1">
      <c r="A310" s="16"/>
      <c r="B310" s="12"/>
      <c r="C310" s="75"/>
      <c r="D310" s="12"/>
      <c r="E310" s="94"/>
      <c r="F310" s="14"/>
      <c r="G310" s="15"/>
      <c r="I310" s="103"/>
      <c r="J310" s="103"/>
      <c r="K310" s="103"/>
      <c r="L310" s="103"/>
      <c r="M310" s="134"/>
      <c r="N310" s="9"/>
    </row>
    <row r="311" spans="1:15" ht="36">
      <c r="A311" s="16">
        <v>53</v>
      </c>
      <c r="B311" s="12"/>
      <c r="C311" s="47" t="s">
        <v>203</v>
      </c>
      <c r="D311" s="12" t="s">
        <v>6</v>
      </c>
      <c r="E311" s="3">
        <f>SUM(I311:N311)</f>
        <v>0</v>
      </c>
      <c r="F311" s="13">
        <v>16000</v>
      </c>
      <c r="G311" s="15">
        <f t="shared" si="68"/>
        <v>0</v>
      </c>
      <c r="I311" s="103"/>
      <c r="J311" s="103"/>
      <c r="K311" s="103"/>
      <c r="L311" s="103"/>
      <c r="M311" s="134"/>
      <c r="N311" s="103"/>
      <c r="O311" s="41"/>
    </row>
    <row r="312" spans="1:15" ht="13.95" customHeight="1">
      <c r="A312" s="16"/>
      <c r="B312" s="12"/>
      <c r="C312" s="75"/>
      <c r="D312" s="93"/>
      <c r="E312" s="94"/>
      <c r="F312" s="13"/>
      <c r="G312" s="15"/>
      <c r="I312" s="103"/>
      <c r="J312" s="103"/>
      <c r="K312" s="103"/>
      <c r="L312" s="103"/>
      <c r="M312" s="134"/>
      <c r="N312" s="103"/>
      <c r="O312" s="41"/>
    </row>
    <row r="313" spans="1:15" ht="36">
      <c r="A313" s="16">
        <v>54</v>
      </c>
      <c r="B313" s="12"/>
      <c r="C313" s="47" t="s">
        <v>286</v>
      </c>
      <c r="D313" s="12" t="s">
        <v>6</v>
      </c>
      <c r="E313" s="3">
        <f>SUM(I313:N313)</f>
        <v>0</v>
      </c>
      <c r="F313" s="13">
        <v>65000</v>
      </c>
      <c r="G313" s="15">
        <f t="shared" si="68"/>
        <v>0</v>
      </c>
      <c r="I313" s="103"/>
      <c r="J313" s="103"/>
      <c r="K313" s="103"/>
      <c r="L313" s="103"/>
      <c r="M313" s="134"/>
      <c r="N313" s="103"/>
      <c r="O313" s="41"/>
    </row>
    <row r="314" spans="1:15" ht="13.95" customHeight="1">
      <c r="A314" s="16"/>
      <c r="B314" s="12"/>
      <c r="C314" s="75"/>
      <c r="D314" s="93"/>
      <c r="E314" s="3"/>
      <c r="F314" s="13"/>
      <c r="G314" s="15"/>
      <c r="I314" s="103"/>
      <c r="J314" s="103"/>
      <c r="K314" s="103"/>
      <c r="L314" s="103"/>
      <c r="M314" s="134"/>
      <c r="N314" s="103"/>
      <c r="O314" s="41"/>
    </row>
    <row r="315" spans="1:15" ht="13.95" customHeight="1">
      <c r="A315" s="16"/>
      <c r="B315" s="12"/>
      <c r="C315" s="75"/>
      <c r="D315" s="93"/>
      <c r="E315" s="3"/>
      <c r="F315" s="13"/>
      <c r="G315" s="15"/>
      <c r="I315" s="103"/>
      <c r="J315" s="103"/>
      <c r="K315" s="103"/>
      <c r="L315" s="103"/>
      <c r="M315" s="134"/>
      <c r="N315" s="103"/>
      <c r="O315" s="41"/>
    </row>
    <row r="316" spans="1:15" ht="13.95" customHeight="1">
      <c r="A316" s="16"/>
      <c r="B316" s="12"/>
      <c r="C316" s="75"/>
      <c r="D316" s="93"/>
      <c r="E316" s="3"/>
      <c r="F316" s="13"/>
      <c r="G316" s="15"/>
      <c r="I316" s="103"/>
      <c r="J316" s="103"/>
      <c r="K316" s="103"/>
      <c r="L316" s="103"/>
      <c r="M316" s="134"/>
      <c r="N316" s="103"/>
      <c r="O316" s="41"/>
    </row>
    <row r="317" spans="1:15" ht="13.95" customHeight="1">
      <c r="A317" s="16"/>
      <c r="B317" s="12"/>
      <c r="C317" s="75"/>
      <c r="D317" s="93"/>
      <c r="E317" s="3"/>
      <c r="F317" s="13"/>
      <c r="G317" s="15"/>
      <c r="I317" s="103"/>
      <c r="J317" s="103"/>
      <c r="K317" s="103"/>
      <c r="L317" s="103"/>
      <c r="M317" s="134"/>
      <c r="N317" s="103"/>
      <c r="O317" s="41"/>
    </row>
    <row r="318" spans="1:15" ht="13.95" customHeight="1">
      <c r="A318" s="16"/>
      <c r="B318" s="12"/>
      <c r="C318" s="75"/>
      <c r="D318" s="93"/>
      <c r="E318" s="3"/>
      <c r="F318" s="13"/>
      <c r="G318" s="15"/>
      <c r="I318" s="103"/>
      <c r="J318" s="103"/>
      <c r="K318" s="103"/>
      <c r="L318" s="103"/>
      <c r="M318" s="134"/>
      <c r="N318" s="103"/>
      <c r="O318" s="41"/>
    </row>
    <row r="319" spans="1:15" ht="13.95" customHeight="1">
      <c r="A319" s="16"/>
      <c r="B319" s="12"/>
      <c r="C319" s="75"/>
      <c r="D319" s="93"/>
      <c r="E319" s="3"/>
      <c r="F319" s="13"/>
      <c r="G319" s="15"/>
      <c r="I319" s="103"/>
      <c r="J319" s="103"/>
      <c r="K319" s="103"/>
      <c r="L319" s="103"/>
      <c r="M319" s="134"/>
      <c r="N319" s="103"/>
      <c r="O319" s="41"/>
    </row>
    <row r="320" spans="1:15" ht="13.95" customHeight="1">
      <c r="A320" s="16"/>
      <c r="B320" s="12"/>
      <c r="C320" s="75"/>
      <c r="D320" s="93"/>
      <c r="E320" s="3"/>
      <c r="F320" s="13"/>
      <c r="G320" s="15"/>
      <c r="I320" s="103"/>
      <c r="J320" s="103"/>
      <c r="K320" s="103"/>
      <c r="L320" s="103"/>
      <c r="M320" s="134"/>
      <c r="N320" s="103"/>
      <c r="O320" s="41"/>
    </row>
    <row r="321" spans="1:15" ht="13.95" customHeight="1">
      <c r="A321" s="16"/>
      <c r="B321" s="12"/>
      <c r="C321" s="75"/>
      <c r="D321" s="93"/>
      <c r="E321" s="3"/>
      <c r="F321" s="13"/>
      <c r="G321" s="15"/>
      <c r="I321" s="103"/>
      <c r="J321" s="103"/>
      <c r="K321" s="103"/>
      <c r="L321" s="103"/>
      <c r="M321" s="134"/>
      <c r="N321" s="103"/>
      <c r="O321" s="41"/>
    </row>
    <row r="322" spans="1:15" ht="13.95" customHeight="1">
      <c r="A322" s="16"/>
      <c r="B322" s="12"/>
      <c r="C322" s="75"/>
      <c r="D322" s="93"/>
      <c r="E322" s="3"/>
      <c r="F322" s="13"/>
      <c r="G322" s="15"/>
      <c r="I322" s="103"/>
      <c r="J322" s="103"/>
      <c r="K322" s="103"/>
      <c r="L322" s="103"/>
      <c r="M322" s="134"/>
      <c r="N322" s="103"/>
      <c r="O322" s="41"/>
    </row>
    <row r="323" spans="1:15" ht="13.95" customHeight="1">
      <c r="A323" s="16"/>
      <c r="B323" s="12"/>
      <c r="C323" s="75"/>
      <c r="D323" s="93"/>
      <c r="E323" s="3"/>
      <c r="F323" s="13"/>
      <c r="G323" s="15"/>
      <c r="I323" s="103"/>
      <c r="J323" s="103"/>
      <c r="K323" s="103"/>
      <c r="L323" s="103"/>
      <c r="M323" s="134"/>
      <c r="N323" s="103"/>
      <c r="O323" s="41"/>
    </row>
    <row r="324" spans="1:15" ht="13.95" customHeight="1">
      <c r="A324" s="16"/>
      <c r="B324" s="12"/>
      <c r="C324" s="75"/>
      <c r="D324" s="93"/>
      <c r="E324" s="3"/>
      <c r="F324" s="13"/>
      <c r="G324" s="15"/>
      <c r="I324" s="103"/>
      <c r="J324" s="103"/>
      <c r="K324" s="103"/>
      <c r="L324" s="103"/>
      <c r="M324" s="134"/>
      <c r="N324" s="103"/>
      <c r="O324" s="41"/>
    </row>
    <row r="325" spans="1:15" ht="13.95" customHeight="1">
      <c r="A325" s="16"/>
      <c r="B325" s="12"/>
      <c r="C325" s="75"/>
      <c r="D325" s="93"/>
      <c r="E325" s="3"/>
      <c r="F325" s="13"/>
      <c r="G325" s="15"/>
      <c r="I325" s="103"/>
      <c r="J325" s="103"/>
      <c r="K325" s="103"/>
      <c r="L325" s="103"/>
      <c r="M325" s="134"/>
      <c r="N325" s="103"/>
      <c r="O325" s="41"/>
    </row>
    <row r="326" spans="1:15" ht="13.95" customHeight="1">
      <c r="A326" s="16"/>
      <c r="B326" s="12"/>
      <c r="C326" s="75"/>
      <c r="D326" s="93"/>
      <c r="E326" s="3"/>
      <c r="F326" s="13"/>
      <c r="G326" s="15"/>
      <c r="I326" s="103"/>
      <c r="J326" s="103"/>
      <c r="K326" s="103"/>
      <c r="L326" s="103"/>
      <c r="M326" s="134"/>
      <c r="N326" s="103"/>
      <c r="O326" s="41"/>
    </row>
    <row r="327" spans="1:15" ht="13.95" customHeight="1">
      <c r="A327" s="16"/>
      <c r="B327" s="12"/>
      <c r="C327" s="75"/>
      <c r="D327" s="93"/>
      <c r="E327" s="3"/>
      <c r="F327" s="13"/>
      <c r="G327" s="15"/>
      <c r="I327" s="103"/>
      <c r="J327" s="103"/>
      <c r="K327" s="103"/>
      <c r="L327" s="103"/>
      <c r="M327" s="134"/>
      <c r="N327" s="103"/>
      <c r="O327" s="41"/>
    </row>
    <row r="328" spans="1:15" ht="13.95" customHeight="1">
      <c r="A328" s="16"/>
      <c r="B328" s="12"/>
      <c r="C328" s="75"/>
      <c r="D328" s="93"/>
      <c r="E328" s="3"/>
      <c r="F328" s="13"/>
      <c r="G328" s="15"/>
      <c r="I328" s="103"/>
      <c r="J328" s="103"/>
      <c r="K328" s="103"/>
      <c r="L328" s="103"/>
      <c r="M328" s="134"/>
      <c r="N328" s="103"/>
      <c r="O328" s="41"/>
    </row>
    <row r="329" spans="1:15" ht="13.95" customHeight="1">
      <c r="A329" s="16"/>
      <c r="B329" s="12"/>
      <c r="C329" s="75"/>
      <c r="D329" s="93"/>
      <c r="E329" s="3"/>
      <c r="F329" s="13"/>
      <c r="G329" s="15"/>
      <c r="I329" s="103"/>
      <c r="J329" s="103"/>
      <c r="K329" s="103"/>
      <c r="L329" s="103"/>
      <c r="M329" s="134"/>
      <c r="N329" s="103"/>
      <c r="O329" s="41"/>
    </row>
    <row r="330" spans="1:15" ht="13.95" customHeight="1">
      <c r="A330" s="16"/>
      <c r="B330" s="12"/>
      <c r="C330" s="75"/>
      <c r="D330" s="93"/>
      <c r="E330" s="3"/>
      <c r="F330" s="13"/>
      <c r="G330" s="15"/>
      <c r="I330" s="103"/>
      <c r="J330" s="103"/>
      <c r="K330" s="103"/>
      <c r="L330" s="103"/>
      <c r="M330" s="134"/>
      <c r="N330" s="103"/>
      <c r="O330" s="41"/>
    </row>
    <row r="331" spans="1:15" ht="13.95" customHeight="1">
      <c r="A331" s="16"/>
      <c r="B331" s="16"/>
      <c r="C331" s="47"/>
      <c r="D331" s="58"/>
      <c r="E331" s="13"/>
      <c r="F331" s="14"/>
      <c r="G331" s="15"/>
      <c r="I331" s="105"/>
      <c r="J331" s="105"/>
      <c r="K331" s="105"/>
      <c r="L331" s="105"/>
      <c r="M331" s="135"/>
      <c r="N331" s="53"/>
      <c r="O331" s="41"/>
    </row>
    <row r="332" spans="1:15">
      <c r="A332" s="16"/>
      <c r="B332" s="16"/>
      <c r="C332" s="47"/>
      <c r="D332" s="58"/>
      <c r="E332" s="13"/>
      <c r="F332" s="14"/>
      <c r="G332" s="15"/>
    </row>
    <row r="333" spans="1:15">
      <c r="A333" s="16"/>
      <c r="B333" s="16"/>
      <c r="C333" s="47"/>
      <c r="D333" s="58"/>
      <c r="E333" s="13"/>
      <c r="F333" s="14"/>
      <c r="G333" s="15"/>
    </row>
    <row r="334" spans="1:15">
      <c r="A334" s="16"/>
      <c r="B334" s="16"/>
      <c r="C334" s="47"/>
      <c r="D334" s="58"/>
      <c r="E334" s="13"/>
      <c r="F334" s="14"/>
      <c r="G334" s="15"/>
    </row>
    <row r="335" spans="1:15" ht="20.399999999999999" customHeight="1">
      <c r="A335" s="156" t="s">
        <v>161</v>
      </c>
      <c r="B335" s="157"/>
      <c r="C335" s="157"/>
      <c r="D335" s="157"/>
      <c r="E335" s="157"/>
      <c r="F335" s="158"/>
      <c r="G335" s="78">
        <f>SUM(G289:G334)</f>
        <v>916393.7</v>
      </c>
    </row>
  </sheetData>
  <mergeCells count="13">
    <mergeCell ref="A152:F152"/>
    <mergeCell ref="A48:F48"/>
    <mergeCell ref="A52:F52"/>
    <mergeCell ref="A96:F96"/>
    <mergeCell ref="A100:F100"/>
    <mergeCell ref="A148:F148"/>
    <mergeCell ref="A335:F335"/>
    <mergeCell ref="A198:F198"/>
    <mergeCell ref="A202:F202"/>
    <mergeCell ref="A242:F242"/>
    <mergeCell ref="A246:F246"/>
    <mergeCell ref="A285:F285"/>
    <mergeCell ref="A289:F289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3EF49-09A2-4E41-921B-72E3CD0FAE61}">
  <dimension ref="A1:O335"/>
  <sheetViews>
    <sheetView showGridLines="0" view="pageBreakPreview" topLeftCell="A2" zoomScaleNormal="100" zoomScaleSheetLayoutView="100" workbookViewId="0">
      <selection activeCell="I2" sqref="I1:O1048576"/>
    </sheetView>
  </sheetViews>
  <sheetFormatPr defaultColWidth="13.109375" defaultRowHeight="12"/>
  <cols>
    <col min="1" max="1" width="4.88671875" style="22" customWidth="1"/>
    <col min="2" max="2" width="8.33203125" style="20" customWidth="1"/>
    <col min="3" max="3" width="40.6640625" style="21" customWidth="1"/>
    <col min="4" max="4" width="5.109375" style="22" customWidth="1"/>
    <col min="5" max="5" width="7.6640625" style="22" customWidth="1"/>
    <col min="6" max="6" width="8.6640625" style="23" customWidth="1"/>
    <col min="7" max="7" width="11.6640625" style="24" customWidth="1"/>
    <col min="8" max="8" width="4.33203125" style="6" customWidth="1"/>
    <col min="9" max="9" width="11.33203125" style="22" hidden="1" customWidth="1"/>
    <col min="10" max="10" width="11.109375" style="22" hidden="1" customWidth="1"/>
    <col min="11" max="11" width="10.88671875" style="22" hidden="1" customWidth="1"/>
    <col min="12" max="12" width="11.6640625" style="22" hidden="1" customWidth="1"/>
    <col min="13" max="13" width="13.109375" style="106" hidden="1" customWidth="1"/>
    <col min="14" max="14" width="0" style="22" hidden="1" customWidth="1"/>
    <col min="15" max="15" width="0" style="6" hidden="1" customWidth="1"/>
    <col min="16" max="16384" width="13.109375" style="6"/>
  </cols>
  <sheetData>
    <row r="1" spans="1:14" ht="20.399999999999999" hidden="1" customHeight="1">
      <c r="A1" s="19" t="s">
        <v>80</v>
      </c>
    </row>
    <row r="2" spans="1:14" ht="15" customHeight="1">
      <c r="A2" s="142" t="str">
        <f>Summary!A2</f>
        <v>NAFASI WATER - ARNOT WASTE TREATMENT PLANT</v>
      </c>
      <c r="G2" s="25" t="str">
        <f>Summary!C2</f>
        <v>Revision T1</v>
      </c>
    </row>
    <row r="3" spans="1:14" ht="15" customHeight="1">
      <c r="A3" s="19" t="str">
        <f>Summary!A3</f>
        <v>PILING AND CIVIL WORK</v>
      </c>
      <c r="G3" s="26"/>
    </row>
    <row r="4" spans="1:14" ht="15" customHeight="1">
      <c r="A4" s="19" t="s">
        <v>291</v>
      </c>
      <c r="G4" s="143">
        <f>Summary!C4</f>
        <v>45183</v>
      </c>
    </row>
    <row r="5" spans="1:14" ht="15" customHeight="1">
      <c r="A5" s="27"/>
      <c r="B5" s="28"/>
      <c r="C5" s="28"/>
      <c r="E5" s="29"/>
      <c r="G5" s="30"/>
    </row>
    <row r="6" spans="1:14" s="42" customFormat="1" ht="37.200000000000003" customHeight="1">
      <c r="A6" s="44" t="s">
        <v>8</v>
      </c>
      <c r="B6" s="48" t="s">
        <v>9</v>
      </c>
      <c r="C6" s="44" t="s">
        <v>10</v>
      </c>
      <c r="D6" s="48" t="s">
        <v>11</v>
      </c>
      <c r="E6" s="48" t="s">
        <v>59</v>
      </c>
      <c r="F6" s="49" t="s">
        <v>12</v>
      </c>
      <c r="G6" s="49" t="s">
        <v>13</v>
      </c>
      <c r="I6" s="100" t="s">
        <v>245</v>
      </c>
      <c r="J6" s="100" t="s">
        <v>275</v>
      </c>
      <c r="K6" s="100"/>
      <c r="L6" s="101"/>
      <c r="M6" s="100"/>
      <c r="N6" s="48"/>
    </row>
    <row r="7" spans="1:14" s="42" customFormat="1" ht="4.95" customHeight="1">
      <c r="A7" s="2"/>
      <c r="B7" s="40"/>
      <c r="C7" s="50"/>
      <c r="D7" s="40"/>
      <c r="E7" s="40"/>
      <c r="F7" s="54"/>
      <c r="G7" s="54"/>
      <c r="I7" s="40"/>
      <c r="J7" s="40"/>
      <c r="K7" s="40"/>
      <c r="L7" s="102"/>
      <c r="M7" s="107"/>
      <c r="N7" s="109"/>
    </row>
    <row r="8" spans="1:14" ht="19.2" customHeight="1">
      <c r="A8" s="1"/>
      <c r="B8" s="2"/>
      <c r="C8" s="11" t="s">
        <v>292</v>
      </c>
      <c r="D8" s="1"/>
      <c r="E8" s="1"/>
      <c r="F8" s="4"/>
      <c r="G8" s="5"/>
      <c r="I8" s="9"/>
      <c r="J8" s="9"/>
      <c r="K8" s="9"/>
      <c r="L8" s="103"/>
      <c r="M8" s="108"/>
      <c r="N8" s="9"/>
    </row>
    <row r="9" spans="1:14" ht="10.95" customHeight="1">
      <c r="A9" s="1"/>
      <c r="B9" s="2"/>
      <c r="C9" s="11"/>
      <c r="D9" s="1"/>
      <c r="E9" s="1"/>
      <c r="F9" s="4"/>
      <c r="G9" s="5"/>
      <c r="I9" s="9"/>
      <c r="J9" s="9"/>
      <c r="K9" s="9"/>
      <c r="L9" s="103"/>
      <c r="M9" s="108"/>
      <c r="N9" s="9"/>
    </row>
    <row r="10" spans="1:14" ht="22.2" customHeight="1">
      <c r="A10" s="1"/>
      <c r="B10" s="1" t="s">
        <v>22</v>
      </c>
      <c r="C10" s="34" t="s">
        <v>69</v>
      </c>
      <c r="D10" s="1"/>
      <c r="E10" s="3" t="str">
        <f>IF(SUM(H10:M10)&gt;0,SUM(H10:M10),"")</f>
        <v/>
      </c>
      <c r="F10" s="4"/>
      <c r="G10" s="5"/>
      <c r="I10" s="9"/>
      <c r="J10" s="9"/>
      <c r="K10" s="9"/>
      <c r="L10" s="103"/>
      <c r="M10" s="108"/>
      <c r="N10" s="9"/>
    </row>
    <row r="11" spans="1:14" ht="13.95" customHeight="1">
      <c r="A11" s="1"/>
      <c r="B11" s="1"/>
      <c r="C11" s="34"/>
      <c r="D11" s="1"/>
      <c r="E11" s="3" t="str">
        <f>IF(SUM(H11:M11)&gt;0,SUM(H11:M11),"")</f>
        <v/>
      </c>
      <c r="F11" s="4"/>
      <c r="G11" s="5"/>
      <c r="I11" s="9"/>
      <c r="J11" s="9"/>
      <c r="K11" s="9"/>
      <c r="L11" s="103"/>
      <c r="M11" s="108"/>
      <c r="N11" s="9"/>
    </row>
    <row r="12" spans="1:14" ht="13.95" customHeight="1">
      <c r="A12" s="1"/>
      <c r="B12" s="1"/>
      <c r="C12" s="32" t="s">
        <v>55</v>
      </c>
      <c r="D12" s="1"/>
      <c r="E12" s="3" t="str">
        <f>IF(SUM(H12:M12)&gt;0,SUM(H12:M12),"")</f>
        <v/>
      </c>
      <c r="F12" s="4"/>
      <c r="G12" s="5"/>
      <c r="I12" s="9"/>
      <c r="J12" s="9"/>
      <c r="K12" s="9"/>
      <c r="L12" s="103"/>
      <c r="M12" s="108"/>
      <c r="N12" s="9"/>
    </row>
    <row r="13" spans="1:14" ht="13.95" customHeight="1">
      <c r="A13" s="1"/>
      <c r="B13" s="1"/>
      <c r="C13" s="32"/>
      <c r="D13" s="1"/>
      <c r="E13" s="3" t="str">
        <f>IF(SUM(H13:M13)&gt;0,SUM(H13:M13),"")</f>
        <v/>
      </c>
      <c r="F13" s="4"/>
      <c r="G13" s="5"/>
      <c r="I13" s="9"/>
      <c r="J13" s="9"/>
      <c r="K13" s="9"/>
      <c r="L13" s="103"/>
      <c r="M13" s="108"/>
      <c r="N13" s="9"/>
    </row>
    <row r="14" spans="1:14" ht="22.2" customHeight="1">
      <c r="A14" s="1">
        <v>1</v>
      </c>
      <c r="B14" s="1"/>
      <c r="C14" s="33" t="s">
        <v>218</v>
      </c>
      <c r="D14" s="1" t="s">
        <v>6</v>
      </c>
      <c r="E14" s="3">
        <f>SUM(I14:N14)</f>
        <v>0</v>
      </c>
      <c r="F14" s="13">
        <v>1150</v>
      </c>
      <c r="G14" s="5">
        <f t="shared" ref="G14" si="0">+E14*F14</f>
        <v>0</v>
      </c>
      <c r="I14" s="137">
        <v>0</v>
      </c>
      <c r="J14" s="137">
        <v>0</v>
      </c>
      <c r="K14" s="137"/>
      <c r="L14" s="137"/>
      <c r="M14" s="137"/>
      <c r="N14" s="137"/>
    </row>
    <row r="15" spans="1:14" ht="13.95" customHeight="1">
      <c r="A15" s="1"/>
      <c r="B15" s="1"/>
      <c r="C15" s="32"/>
      <c r="D15" s="1"/>
      <c r="E15" s="3"/>
      <c r="F15" s="14"/>
      <c r="G15" s="5"/>
      <c r="I15" s="13"/>
      <c r="J15" s="13"/>
      <c r="K15" s="13"/>
      <c r="L15" s="13"/>
      <c r="M15" s="13"/>
      <c r="N15" s="13"/>
    </row>
    <row r="16" spans="1:14" ht="13.95" customHeight="1">
      <c r="A16" s="1"/>
      <c r="B16" s="1"/>
      <c r="C16" s="32" t="s">
        <v>221</v>
      </c>
      <c r="D16" s="1"/>
      <c r="E16" s="3"/>
      <c r="F16" s="14"/>
      <c r="G16" s="5"/>
      <c r="I16" s="13"/>
      <c r="J16" s="13"/>
      <c r="K16" s="13"/>
      <c r="L16" s="13"/>
      <c r="M16" s="13"/>
      <c r="N16" s="13"/>
    </row>
    <row r="17" spans="1:14" ht="34.950000000000003" customHeight="1">
      <c r="A17" s="1"/>
      <c r="B17" s="1"/>
      <c r="C17" s="33" t="s">
        <v>219</v>
      </c>
      <c r="D17" s="1"/>
      <c r="E17" s="3"/>
      <c r="F17" s="14"/>
      <c r="G17" s="5"/>
      <c r="I17" s="13"/>
      <c r="J17" s="13"/>
      <c r="K17" s="13"/>
      <c r="L17" s="13"/>
      <c r="M17" s="13"/>
      <c r="N17" s="13"/>
    </row>
    <row r="18" spans="1:14" ht="10.95" customHeight="1">
      <c r="A18" s="1"/>
      <c r="B18" s="1"/>
      <c r="C18" s="32"/>
      <c r="D18" s="1"/>
      <c r="E18" s="3"/>
      <c r="F18" s="13"/>
      <c r="G18" s="5"/>
      <c r="I18" s="13"/>
      <c r="J18" s="13"/>
      <c r="K18" s="13"/>
      <c r="L18" s="13"/>
      <c r="M18" s="13"/>
      <c r="N18" s="13"/>
    </row>
    <row r="19" spans="1:14" ht="13.2" customHeight="1">
      <c r="A19" s="1">
        <v>2</v>
      </c>
      <c r="B19" s="1"/>
      <c r="C19" s="33" t="s">
        <v>33</v>
      </c>
      <c r="D19" s="1" t="s">
        <v>1</v>
      </c>
      <c r="E19" s="3">
        <f>SUM(I19:N19)</f>
        <v>0</v>
      </c>
      <c r="F19" s="13">
        <v>1850</v>
      </c>
      <c r="G19" s="5">
        <f t="shared" ref="G19" si="1">+E19*F19</f>
        <v>0</v>
      </c>
      <c r="I19" s="138">
        <f t="shared" ref="I19:J19" si="2">I14*10</f>
        <v>0</v>
      </c>
      <c r="J19" s="138">
        <f t="shared" si="2"/>
        <v>0</v>
      </c>
      <c r="K19" s="138"/>
      <c r="L19" s="138"/>
      <c r="M19" s="138"/>
      <c r="N19" s="138"/>
    </row>
    <row r="20" spans="1:14" ht="13.2" customHeight="1">
      <c r="A20" s="1"/>
      <c r="B20" s="1"/>
      <c r="C20" s="32"/>
      <c r="D20" s="1"/>
      <c r="E20" s="3"/>
      <c r="F20" s="13"/>
      <c r="G20" s="5"/>
      <c r="I20" s="138"/>
      <c r="J20" s="138"/>
      <c r="K20" s="138"/>
      <c r="L20" s="138"/>
      <c r="M20" s="138"/>
      <c r="N20" s="138"/>
    </row>
    <row r="21" spans="1:14" ht="13.2" customHeight="1">
      <c r="A21" s="1">
        <v>3</v>
      </c>
      <c r="B21" s="1"/>
      <c r="C21" s="33" t="s">
        <v>34</v>
      </c>
      <c r="D21" s="1" t="s">
        <v>1</v>
      </c>
      <c r="E21" s="3">
        <f>SUM(I21:N21)</f>
        <v>0</v>
      </c>
      <c r="F21" s="13">
        <f>F19</f>
        <v>1850</v>
      </c>
      <c r="G21" s="5">
        <f t="shared" ref="G21" si="3">+E21*F21</f>
        <v>0</v>
      </c>
      <c r="I21" s="138">
        <f t="shared" ref="I21:J21" si="4">I14*5</f>
        <v>0</v>
      </c>
      <c r="J21" s="138">
        <f t="shared" si="4"/>
        <v>0</v>
      </c>
      <c r="K21" s="138"/>
      <c r="L21" s="138"/>
      <c r="M21" s="138"/>
      <c r="N21" s="138"/>
    </row>
    <row r="22" spans="1:14" ht="13.2" customHeight="1">
      <c r="A22" s="1"/>
      <c r="B22" s="1"/>
      <c r="C22" s="32"/>
      <c r="D22" s="1"/>
      <c r="E22" s="3"/>
      <c r="F22" s="13"/>
      <c r="G22" s="5"/>
      <c r="I22" s="138"/>
      <c r="J22" s="138"/>
      <c r="K22" s="138"/>
      <c r="L22" s="138"/>
      <c r="M22" s="138"/>
      <c r="N22" s="138"/>
    </row>
    <row r="23" spans="1:14" ht="13.2" customHeight="1">
      <c r="A23" s="1"/>
      <c r="B23" s="1"/>
      <c r="C23" s="32" t="s">
        <v>76</v>
      </c>
      <c r="D23" s="1"/>
      <c r="E23" s="3"/>
      <c r="F23" s="13"/>
      <c r="G23" s="5"/>
      <c r="I23" s="138"/>
      <c r="J23" s="138"/>
      <c r="K23" s="138"/>
      <c r="L23" s="138"/>
      <c r="M23" s="138"/>
      <c r="N23" s="138"/>
    </row>
    <row r="24" spans="1:14" ht="13.2" customHeight="1">
      <c r="A24" s="1"/>
      <c r="B24" s="1"/>
      <c r="C24" s="32"/>
      <c r="D24" s="1"/>
      <c r="E24" s="3"/>
      <c r="F24" s="13"/>
      <c r="G24" s="5"/>
      <c r="I24" s="138"/>
      <c r="J24" s="138"/>
      <c r="K24" s="138"/>
      <c r="L24" s="138"/>
      <c r="M24" s="138"/>
      <c r="N24" s="138"/>
    </row>
    <row r="25" spans="1:14" ht="13.2" customHeight="1">
      <c r="A25" s="1">
        <v>4</v>
      </c>
      <c r="B25" s="1"/>
      <c r="C25" s="47" t="s">
        <v>77</v>
      </c>
      <c r="D25" s="1" t="s">
        <v>6</v>
      </c>
      <c r="E25" s="3">
        <f>SUM(I25:N25)</f>
        <v>0</v>
      </c>
      <c r="F25" s="13">
        <v>1250</v>
      </c>
      <c r="G25" s="5">
        <f t="shared" ref="G25" si="5">+E25*F25</f>
        <v>0</v>
      </c>
      <c r="I25" s="138">
        <f t="shared" ref="I25:J25" si="6">I14</f>
        <v>0</v>
      </c>
      <c r="J25" s="138">
        <f t="shared" si="6"/>
        <v>0</v>
      </c>
      <c r="K25" s="138"/>
      <c r="L25" s="138"/>
      <c r="M25" s="138"/>
      <c r="N25" s="138"/>
    </row>
    <row r="26" spans="1:14" ht="13.2" customHeight="1">
      <c r="A26" s="1"/>
      <c r="B26" s="1"/>
      <c r="C26" s="32"/>
      <c r="D26" s="1"/>
      <c r="E26" s="3"/>
      <c r="F26" s="13"/>
      <c r="G26" s="5"/>
      <c r="I26" s="138"/>
      <c r="J26" s="138"/>
      <c r="K26" s="138"/>
      <c r="L26" s="138"/>
      <c r="M26" s="138"/>
      <c r="N26" s="138"/>
    </row>
    <row r="27" spans="1:14" ht="12.6" customHeight="1">
      <c r="A27" s="1"/>
      <c r="B27" s="1"/>
      <c r="C27" s="32" t="s">
        <v>71</v>
      </c>
      <c r="D27" s="1"/>
      <c r="E27" s="3"/>
      <c r="F27" s="13"/>
      <c r="G27" s="5"/>
      <c r="I27" s="138"/>
      <c r="J27" s="138"/>
      <c r="K27" s="138"/>
      <c r="L27" s="138"/>
      <c r="M27" s="138"/>
      <c r="N27" s="138"/>
    </row>
    <row r="28" spans="1:14" ht="12.6" customHeight="1">
      <c r="A28" s="1"/>
      <c r="B28" s="1"/>
      <c r="C28" s="33"/>
      <c r="D28" s="1"/>
      <c r="E28" s="3"/>
      <c r="F28" s="13"/>
      <c r="G28" s="5"/>
      <c r="I28" s="138"/>
      <c r="J28" s="138"/>
      <c r="K28" s="138"/>
      <c r="L28" s="138"/>
      <c r="M28" s="138"/>
      <c r="N28" s="138"/>
    </row>
    <row r="29" spans="1:14" ht="12.6" customHeight="1">
      <c r="A29" s="1">
        <v>5</v>
      </c>
      <c r="B29" s="1"/>
      <c r="C29" s="33" t="s">
        <v>223</v>
      </c>
      <c r="D29" s="1" t="s">
        <v>2</v>
      </c>
      <c r="E29" s="3">
        <f>SUM(I29:N29)</f>
        <v>0</v>
      </c>
      <c r="F29" s="13">
        <v>29500</v>
      </c>
      <c r="G29" s="5">
        <f t="shared" ref="G29" si="7">+E29*F29</f>
        <v>0</v>
      </c>
      <c r="I29" s="139">
        <f t="shared" ref="I29:J29" si="8">(I19+I21)*0.00325</f>
        <v>0</v>
      </c>
      <c r="J29" s="139">
        <f t="shared" si="8"/>
        <v>0</v>
      </c>
      <c r="K29" s="139"/>
      <c r="L29" s="139"/>
      <c r="M29" s="139"/>
      <c r="N29" s="139"/>
    </row>
    <row r="30" spans="1:14" ht="12.6" customHeight="1">
      <c r="A30" s="1"/>
      <c r="B30" s="1"/>
      <c r="C30" s="33"/>
      <c r="D30" s="1"/>
      <c r="E30" s="3"/>
      <c r="F30" s="13"/>
      <c r="G30" s="5"/>
      <c r="I30" s="138"/>
      <c r="J30" s="138"/>
      <c r="K30" s="138"/>
      <c r="L30" s="138"/>
      <c r="M30" s="138"/>
      <c r="N30" s="138"/>
    </row>
    <row r="31" spans="1:14" ht="12.6" customHeight="1">
      <c r="A31" s="1">
        <v>6</v>
      </c>
      <c r="B31" s="1"/>
      <c r="C31" s="33" t="s">
        <v>222</v>
      </c>
      <c r="D31" s="1" t="s">
        <v>2</v>
      </c>
      <c r="E31" s="3">
        <f>SUM(I31:AG31)</f>
        <v>0</v>
      </c>
      <c r="F31" s="13">
        <v>28000</v>
      </c>
      <c r="G31" s="5">
        <f t="shared" ref="G31" si="9">+E31*F31</f>
        <v>0</v>
      </c>
      <c r="I31" s="139">
        <f t="shared" ref="I31:J31" si="10">(I19+I21)*0.0215</f>
        <v>0</v>
      </c>
      <c r="J31" s="139">
        <f t="shared" si="10"/>
        <v>0</v>
      </c>
      <c r="K31" s="139"/>
      <c r="L31" s="139"/>
      <c r="M31" s="139"/>
      <c r="N31" s="139"/>
    </row>
    <row r="32" spans="1:14" ht="12.6" customHeight="1">
      <c r="A32" s="1"/>
      <c r="B32" s="1"/>
      <c r="C32" s="33"/>
      <c r="D32" s="1"/>
      <c r="E32" s="3"/>
      <c r="F32" s="13"/>
      <c r="G32" s="5"/>
      <c r="I32" s="138"/>
      <c r="J32" s="138"/>
      <c r="K32" s="138"/>
      <c r="L32" s="138"/>
      <c r="M32" s="138"/>
      <c r="N32" s="138"/>
    </row>
    <row r="33" spans="1:14" ht="12.6" customHeight="1">
      <c r="A33" s="1"/>
      <c r="B33" s="1"/>
      <c r="C33" s="32" t="s">
        <v>56</v>
      </c>
      <c r="D33" s="1"/>
      <c r="E33" s="3"/>
      <c r="F33" s="13"/>
      <c r="G33" s="5"/>
      <c r="I33" s="138"/>
      <c r="J33" s="138"/>
      <c r="K33" s="138"/>
      <c r="L33" s="138"/>
      <c r="M33" s="138"/>
      <c r="N33" s="138"/>
    </row>
    <row r="34" spans="1:14" ht="13.2" customHeight="1">
      <c r="A34" s="1"/>
      <c r="B34" s="1"/>
      <c r="C34" s="33"/>
      <c r="D34" s="1"/>
      <c r="E34" s="3"/>
      <c r="F34" s="13"/>
      <c r="G34" s="5"/>
      <c r="I34" s="138"/>
      <c r="J34" s="138"/>
      <c r="K34" s="138"/>
      <c r="L34" s="138"/>
      <c r="M34" s="138"/>
      <c r="N34" s="138"/>
    </row>
    <row r="35" spans="1:14" ht="13.2" customHeight="1">
      <c r="A35" s="1">
        <v>7</v>
      </c>
      <c r="B35" s="1"/>
      <c r="C35" s="33" t="s">
        <v>220</v>
      </c>
      <c r="D35" s="1"/>
      <c r="E35" s="3"/>
      <c r="F35" s="13"/>
      <c r="G35" s="5"/>
      <c r="I35" s="138"/>
      <c r="J35" s="138"/>
      <c r="K35" s="138"/>
      <c r="L35" s="138"/>
      <c r="M35" s="138"/>
      <c r="N35" s="138"/>
    </row>
    <row r="36" spans="1:14" ht="13.2" customHeight="1">
      <c r="A36" s="1"/>
      <c r="B36" s="1"/>
      <c r="C36" s="1"/>
      <c r="D36" s="1"/>
      <c r="E36" s="3"/>
      <c r="F36" s="13"/>
      <c r="G36" s="5"/>
      <c r="I36" s="138"/>
      <c r="J36" s="138"/>
      <c r="K36" s="138"/>
      <c r="L36" s="138"/>
      <c r="M36" s="138"/>
      <c r="N36" s="138"/>
    </row>
    <row r="37" spans="1:14" ht="13.2" customHeight="1">
      <c r="A37" s="1"/>
      <c r="B37" s="1"/>
      <c r="C37" s="33" t="s">
        <v>38</v>
      </c>
      <c r="D37" s="1" t="s">
        <v>51</v>
      </c>
      <c r="E37" s="3">
        <f>SUM(I37:N37)</f>
        <v>0</v>
      </c>
      <c r="F37" s="13">
        <v>3500</v>
      </c>
      <c r="G37" s="5">
        <f t="shared" ref="G37" si="11">+E37*F37</f>
        <v>0</v>
      </c>
      <c r="I37" s="139">
        <f t="shared" ref="I37:J37" si="12">((I19+I21)*0.292)+(I14*0.75)</f>
        <v>0</v>
      </c>
      <c r="J37" s="139">
        <f t="shared" si="12"/>
        <v>0</v>
      </c>
      <c r="K37" s="139"/>
      <c r="L37" s="139"/>
      <c r="M37" s="139"/>
      <c r="N37" s="139"/>
    </row>
    <row r="38" spans="1:14" ht="13.2" customHeight="1">
      <c r="A38" s="1"/>
      <c r="B38" s="1"/>
      <c r="C38" s="33"/>
      <c r="D38" s="1"/>
      <c r="E38" s="3"/>
      <c r="F38" s="13"/>
      <c r="G38" s="5"/>
      <c r="I38" s="138"/>
      <c r="J38" s="138"/>
      <c r="K38" s="138"/>
      <c r="L38" s="138"/>
      <c r="M38" s="138"/>
      <c r="N38" s="138"/>
    </row>
    <row r="39" spans="1:14" ht="13.2" customHeight="1">
      <c r="A39" s="1"/>
      <c r="B39" s="1" t="s">
        <v>23</v>
      </c>
      <c r="C39" s="32" t="s">
        <v>35</v>
      </c>
      <c r="D39" s="1"/>
      <c r="E39" s="3"/>
      <c r="F39" s="13"/>
      <c r="G39" s="5"/>
      <c r="I39" s="138"/>
      <c r="J39" s="138"/>
      <c r="K39" s="138"/>
      <c r="L39" s="138"/>
      <c r="M39" s="138"/>
      <c r="N39" s="138"/>
    </row>
    <row r="40" spans="1:14" ht="13.2" customHeight="1">
      <c r="A40" s="1"/>
      <c r="B40" s="1"/>
      <c r="C40" s="32"/>
      <c r="D40" s="1"/>
      <c r="E40" s="3"/>
      <c r="F40" s="13"/>
      <c r="G40" s="5"/>
      <c r="I40" s="138"/>
      <c r="J40" s="138"/>
      <c r="K40" s="138"/>
      <c r="L40" s="138"/>
      <c r="M40" s="138"/>
      <c r="N40" s="138"/>
    </row>
    <row r="41" spans="1:14" ht="13.2" customHeight="1">
      <c r="A41" s="1">
        <v>8</v>
      </c>
      <c r="B41" s="1"/>
      <c r="C41" s="33" t="s">
        <v>259</v>
      </c>
      <c r="D41" s="1" t="s">
        <v>6</v>
      </c>
      <c r="E41" s="3">
        <f>SUM(I41:N41)</f>
        <v>0</v>
      </c>
      <c r="F41" s="13">
        <v>875</v>
      </c>
      <c r="G41" s="5">
        <f t="shared" ref="G41" si="13">+E41*F41</f>
        <v>0</v>
      </c>
      <c r="I41" s="138">
        <f t="shared" ref="I41:J41" si="14">I14</f>
        <v>0</v>
      </c>
      <c r="J41" s="138">
        <f t="shared" si="14"/>
        <v>0</v>
      </c>
      <c r="K41" s="138"/>
      <c r="L41" s="138"/>
      <c r="M41" s="138"/>
      <c r="N41" s="138"/>
    </row>
    <row r="42" spans="1:14" ht="13.2" customHeight="1">
      <c r="A42" s="1"/>
      <c r="B42" s="2"/>
      <c r="C42" s="11"/>
      <c r="D42" s="1"/>
      <c r="E42" s="1"/>
      <c r="F42" s="13"/>
      <c r="G42" s="5"/>
      <c r="I42" s="1"/>
      <c r="J42" s="1"/>
      <c r="K42" s="1"/>
      <c r="L42" s="103"/>
      <c r="M42" s="108"/>
      <c r="N42" s="9"/>
    </row>
    <row r="43" spans="1:14" ht="24">
      <c r="A43" s="1"/>
      <c r="B43" s="2" t="s">
        <v>100</v>
      </c>
      <c r="C43" s="31" t="s">
        <v>79</v>
      </c>
      <c r="D43" s="1"/>
      <c r="E43" s="3"/>
      <c r="F43" s="14"/>
      <c r="G43" s="5"/>
      <c r="I43" s="3"/>
      <c r="J43" s="3"/>
      <c r="K43" s="3"/>
      <c r="L43" s="103"/>
      <c r="M43" s="108"/>
      <c r="N43" s="9"/>
    </row>
    <row r="44" spans="1:14" ht="13.95" customHeight="1">
      <c r="A44" s="1"/>
      <c r="B44" s="2"/>
      <c r="C44" s="8" t="s">
        <v>81</v>
      </c>
      <c r="D44" s="1"/>
      <c r="E44" s="3"/>
      <c r="F44" s="14"/>
      <c r="G44" s="5"/>
      <c r="I44" s="3"/>
      <c r="J44" s="3"/>
      <c r="K44" s="3"/>
      <c r="L44" s="103"/>
      <c r="M44" s="108"/>
      <c r="N44" s="9"/>
    </row>
    <row r="45" spans="1:14" ht="50.4" customHeight="1">
      <c r="A45" s="16">
        <v>9</v>
      </c>
      <c r="B45" s="33" t="s">
        <v>162</v>
      </c>
      <c r="C45" s="33" t="s">
        <v>163</v>
      </c>
      <c r="D45" s="9" t="s">
        <v>60</v>
      </c>
      <c r="E45" s="3">
        <f>SUM(I45:N45)</f>
        <v>809</v>
      </c>
      <c r="F45" s="13">
        <v>225</v>
      </c>
      <c r="G45" s="5">
        <f t="shared" ref="G45" si="15">+E45*F45</f>
        <v>182025</v>
      </c>
      <c r="I45" s="9">
        <v>809</v>
      </c>
      <c r="J45" s="9"/>
      <c r="K45" s="9"/>
      <c r="L45" s="103"/>
      <c r="M45" s="108"/>
      <c r="N45" s="9"/>
    </row>
    <row r="46" spans="1:14">
      <c r="A46" s="16"/>
      <c r="B46" s="33"/>
      <c r="D46" s="9"/>
      <c r="E46" s="3"/>
      <c r="F46" s="13"/>
      <c r="G46" s="5"/>
      <c r="I46" s="9"/>
      <c r="J46" s="9"/>
      <c r="K46" s="9"/>
      <c r="L46" s="103"/>
      <c r="M46" s="108"/>
      <c r="N46" s="9"/>
    </row>
    <row r="47" spans="1:14" ht="13.95" customHeight="1">
      <c r="A47" s="1"/>
      <c r="B47" s="2"/>
      <c r="C47" s="8"/>
      <c r="D47" s="9"/>
      <c r="E47" s="3"/>
      <c r="F47" s="4"/>
      <c r="G47" s="5"/>
      <c r="I47" s="9"/>
      <c r="J47" s="9"/>
      <c r="K47" s="9"/>
      <c r="L47" s="103"/>
      <c r="M47" s="108"/>
      <c r="N47" s="9"/>
    </row>
    <row r="48" spans="1:14" ht="20.100000000000001" customHeight="1">
      <c r="A48" s="149" t="s">
        <v>66</v>
      </c>
      <c r="B48" s="150"/>
      <c r="C48" s="150"/>
      <c r="D48" s="150"/>
      <c r="E48" s="150"/>
      <c r="F48" s="151"/>
      <c r="G48" s="116">
        <f>SUM(G8:G47)</f>
        <v>182025</v>
      </c>
      <c r="I48" s="9"/>
      <c r="J48" s="9"/>
      <c r="K48" s="9"/>
      <c r="L48" s="103"/>
      <c r="M48" s="108"/>
      <c r="N48" s="9"/>
    </row>
    <row r="49" spans="1:14">
      <c r="A49" s="39"/>
      <c r="B49" s="39"/>
      <c r="C49" s="39"/>
      <c r="D49" s="39"/>
      <c r="E49" s="39"/>
      <c r="F49" s="39"/>
      <c r="G49" s="113"/>
      <c r="I49" s="9"/>
      <c r="J49" s="9"/>
      <c r="K49" s="9"/>
      <c r="L49" s="103"/>
      <c r="M49" s="108"/>
      <c r="N49" s="9"/>
    </row>
    <row r="50" spans="1:14" ht="13.95" customHeight="1">
      <c r="A50" s="39"/>
      <c r="B50" s="39"/>
      <c r="C50" s="39"/>
      <c r="D50" s="39"/>
      <c r="E50" s="39"/>
      <c r="F50" s="39"/>
      <c r="G50" s="113"/>
      <c r="I50" s="9"/>
      <c r="J50" s="9"/>
      <c r="K50" s="9"/>
      <c r="L50" s="103"/>
      <c r="M50" s="108"/>
      <c r="N50" s="9"/>
    </row>
    <row r="51" spans="1:14" ht="24" customHeight="1">
      <c r="A51" s="44" t="s">
        <v>8</v>
      </c>
      <c r="B51" s="48" t="s">
        <v>9</v>
      </c>
      <c r="C51" s="44" t="s">
        <v>10</v>
      </c>
      <c r="D51" s="48" t="s">
        <v>11</v>
      </c>
      <c r="E51" s="48" t="s">
        <v>59</v>
      </c>
      <c r="F51" s="49" t="s">
        <v>12</v>
      </c>
      <c r="G51" s="111" t="s">
        <v>13</v>
      </c>
      <c r="I51" s="9"/>
      <c r="J51" s="9"/>
      <c r="K51" s="9"/>
      <c r="L51" s="103"/>
      <c r="M51" s="108"/>
      <c r="N51" s="9"/>
    </row>
    <row r="52" spans="1:14" ht="20.100000000000001" customHeight="1">
      <c r="A52" s="149" t="s">
        <v>67</v>
      </c>
      <c r="B52" s="150"/>
      <c r="C52" s="150"/>
      <c r="D52" s="150"/>
      <c r="E52" s="150"/>
      <c r="F52" s="151"/>
      <c r="G52" s="116">
        <f>+G48</f>
        <v>182025</v>
      </c>
      <c r="I52" s="9"/>
      <c r="J52" s="9"/>
      <c r="K52" s="9"/>
      <c r="L52" s="103"/>
      <c r="M52" s="108"/>
      <c r="N52" s="9"/>
    </row>
    <row r="53" spans="1:14" ht="9" customHeight="1">
      <c r="A53" s="1"/>
      <c r="B53" s="2"/>
      <c r="C53" s="8"/>
      <c r="D53" s="9"/>
      <c r="E53" s="3"/>
      <c r="F53" s="4"/>
      <c r="G53" s="5"/>
      <c r="I53" s="3"/>
      <c r="J53" s="3"/>
      <c r="K53" s="3"/>
      <c r="L53" s="103"/>
      <c r="M53" s="108"/>
      <c r="N53" s="9"/>
    </row>
    <row r="54" spans="1:14" ht="13.95" customHeight="1">
      <c r="A54" s="1"/>
      <c r="B54" s="2" t="s">
        <v>173</v>
      </c>
      <c r="C54" s="31" t="s">
        <v>79</v>
      </c>
      <c r="D54" s="1"/>
      <c r="E54" s="3"/>
      <c r="F54" s="4"/>
      <c r="G54" s="5"/>
      <c r="I54" s="3"/>
      <c r="J54" s="3"/>
      <c r="K54" s="3"/>
      <c r="L54" s="103"/>
      <c r="M54" s="108"/>
      <c r="N54" s="9"/>
    </row>
    <row r="55" spans="1:14" ht="13.95" customHeight="1">
      <c r="A55" s="1"/>
      <c r="B55" s="2"/>
      <c r="C55" s="8" t="s">
        <v>81</v>
      </c>
      <c r="D55" s="1"/>
      <c r="E55" s="3"/>
      <c r="F55" s="4"/>
      <c r="G55" s="5"/>
      <c r="I55" s="3"/>
      <c r="J55" s="3"/>
      <c r="K55" s="3"/>
      <c r="L55" s="103"/>
      <c r="M55" s="108"/>
      <c r="N55" s="9"/>
    </row>
    <row r="56" spans="1:14" ht="13.95" customHeight="1">
      <c r="A56" s="1"/>
      <c r="B56" s="1" t="s">
        <v>87</v>
      </c>
      <c r="C56" s="37" t="s">
        <v>0</v>
      </c>
      <c r="D56" s="1"/>
      <c r="E56" s="3"/>
      <c r="F56" s="4"/>
      <c r="G56" s="5"/>
      <c r="I56" s="3"/>
      <c r="J56" s="3"/>
      <c r="K56" s="3"/>
      <c r="L56" s="103"/>
      <c r="M56" s="108"/>
      <c r="N56" s="9"/>
    </row>
    <row r="57" spans="1:14" ht="13.95" customHeight="1">
      <c r="A57" s="1"/>
      <c r="B57" s="1"/>
      <c r="C57" s="33"/>
      <c r="D57" s="1"/>
      <c r="E57" s="3"/>
      <c r="F57" s="4"/>
      <c r="G57" s="5"/>
      <c r="I57" s="3"/>
      <c r="J57" s="3"/>
      <c r="K57" s="3"/>
      <c r="L57" s="103"/>
      <c r="M57" s="108"/>
      <c r="N57" s="9"/>
    </row>
    <row r="58" spans="1:14" ht="22.95" customHeight="1">
      <c r="A58" s="1"/>
      <c r="B58" s="1"/>
      <c r="C58" s="33" t="s">
        <v>61</v>
      </c>
      <c r="D58" s="1"/>
      <c r="E58" s="3"/>
      <c r="F58" s="4"/>
      <c r="G58" s="5"/>
      <c r="I58" s="3"/>
      <c r="J58" s="3"/>
      <c r="K58" s="3"/>
      <c r="L58" s="103"/>
      <c r="M58" s="108"/>
      <c r="N58" s="9"/>
    </row>
    <row r="59" spans="1:14" ht="13.95" customHeight="1">
      <c r="A59" s="1"/>
      <c r="B59" s="1"/>
      <c r="C59" s="6"/>
      <c r="D59" s="1"/>
      <c r="E59" s="3"/>
      <c r="F59" s="4"/>
      <c r="G59" s="5"/>
      <c r="I59" s="3"/>
      <c r="J59" s="3"/>
      <c r="K59" s="3"/>
      <c r="L59" s="103"/>
      <c r="M59" s="108"/>
      <c r="N59" s="9"/>
    </row>
    <row r="60" spans="1:14" ht="13.95" customHeight="1">
      <c r="A60" s="1">
        <v>10</v>
      </c>
      <c r="B60" s="1"/>
      <c r="C60" s="33" t="s">
        <v>14</v>
      </c>
      <c r="D60" s="1" t="s">
        <v>51</v>
      </c>
      <c r="E60" s="3">
        <f>SUM(I60:N60)</f>
        <v>67</v>
      </c>
      <c r="F60" s="13">
        <v>175</v>
      </c>
      <c r="G60" s="5">
        <f t="shared" ref="G60" si="16">+E60*F60</f>
        <v>11725</v>
      </c>
      <c r="I60" s="3"/>
      <c r="J60" s="3">
        <v>67</v>
      </c>
      <c r="K60" s="3"/>
      <c r="L60" s="103"/>
      <c r="M60" s="108"/>
      <c r="N60" s="9"/>
    </row>
    <row r="61" spans="1:14" ht="9.75" customHeight="1">
      <c r="A61" s="1"/>
      <c r="B61" s="1"/>
      <c r="C61" s="33"/>
      <c r="D61" s="1"/>
      <c r="E61" s="3"/>
      <c r="F61" s="13"/>
      <c r="G61" s="5"/>
      <c r="I61" s="3"/>
      <c r="J61" s="3"/>
      <c r="K61" s="3"/>
      <c r="L61" s="103"/>
      <c r="M61" s="108"/>
      <c r="N61" s="9"/>
    </row>
    <row r="62" spans="1:14" ht="13.95" customHeight="1">
      <c r="A62" s="1"/>
      <c r="B62" s="1"/>
      <c r="C62" s="37" t="s">
        <v>111</v>
      </c>
      <c r="D62" s="1"/>
      <c r="E62" s="3"/>
      <c r="F62" s="13"/>
      <c r="G62" s="5"/>
      <c r="I62" s="3"/>
      <c r="J62" s="3"/>
      <c r="K62" s="3"/>
      <c r="L62" s="103"/>
      <c r="M62" s="108"/>
      <c r="N62" s="9"/>
    </row>
    <row r="63" spans="1:14" ht="9" customHeight="1">
      <c r="A63" s="1"/>
      <c r="B63" s="1"/>
      <c r="C63" s="33"/>
      <c r="D63" s="1"/>
      <c r="E63" s="3"/>
      <c r="F63" s="13"/>
      <c r="G63" s="5"/>
      <c r="I63" s="3"/>
      <c r="J63" s="3"/>
      <c r="K63" s="3"/>
      <c r="L63" s="103"/>
      <c r="M63" s="108"/>
      <c r="N63" s="9"/>
    </row>
    <row r="64" spans="1:14" ht="28.95" customHeight="1">
      <c r="A64" s="1">
        <v>11</v>
      </c>
      <c r="B64" s="1"/>
      <c r="C64" s="33" t="s">
        <v>54</v>
      </c>
      <c r="D64" s="1" t="s">
        <v>51</v>
      </c>
      <c r="E64" s="3">
        <f>SUM(I64:N64)</f>
        <v>0</v>
      </c>
      <c r="F64" s="13">
        <v>950</v>
      </c>
      <c r="G64" s="5">
        <f t="shared" ref="G64" si="17">+E64*F64</f>
        <v>0</v>
      </c>
      <c r="I64" s="3"/>
      <c r="J64" s="3"/>
      <c r="K64" s="3"/>
      <c r="L64" s="103"/>
      <c r="M64" s="108"/>
      <c r="N64" s="9"/>
    </row>
    <row r="65" spans="1:14" ht="13.95" customHeight="1">
      <c r="A65" s="1"/>
      <c r="B65" s="1"/>
      <c r="C65" s="33"/>
      <c r="D65" s="1"/>
      <c r="E65" s="3"/>
      <c r="F65" s="13"/>
      <c r="G65" s="5"/>
      <c r="I65" s="3"/>
      <c r="J65" s="3"/>
      <c r="K65" s="3"/>
      <c r="L65" s="103"/>
      <c r="M65" s="108"/>
      <c r="N65" s="9"/>
    </row>
    <row r="66" spans="1:14" ht="22.2" customHeight="1">
      <c r="A66" s="1"/>
      <c r="B66" s="1"/>
      <c r="C66" s="33" t="s">
        <v>57</v>
      </c>
      <c r="D66" s="1"/>
      <c r="E66" s="3"/>
      <c r="F66" s="13"/>
      <c r="G66" s="5"/>
      <c r="I66" s="3"/>
      <c r="J66" s="3"/>
      <c r="K66" s="3"/>
      <c r="L66" s="103"/>
      <c r="M66" s="108"/>
      <c r="N66" s="9"/>
    </row>
    <row r="67" spans="1:14" ht="13.95" customHeight="1">
      <c r="A67" s="1"/>
      <c r="B67" s="2"/>
      <c r="C67" s="8"/>
      <c r="D67" s="9"/>
      <c r="E67" s="3"/>
      <c r="F67" s="13"/>
      <c r="G67" s="5"/>
      <c r="I67" s="3"/>
      <c r="J67" s="3"/>
      <c r="K67" s="3"/>
      <c r="L67" s="103"/>
      <c r="M67" s="108"/>
      <c r="N67" s="9"/>
    </row>
    <row r="68" spans="1:14" ht="13.95" customHeight="1">
      <c r="A68" s="1"/>
      <c r="B68" s="1" t="s">
        <v>83</v>
      </c>
      <c r="C68" s="10" t="s">
        <v>25</v>
      </c>
      <c r="D68" s="9"/>
      <c r="E68" s="3"/>
      <c r="F68" s="13"/>
      <c r="G68" s="5"/>
      <c r="I68" s="3"/>
      <c r="J68" s="3"/>
      <c r="K68" s="3"/>
      <c r="L68" s="103"/>
      <c r="M68" s="108"/>
      <c r="N68" s="9"/>
    </row>
    <row r="69" spans="1:14" ht="13.95" customHeight="1">
      <c r="A69" s="1"/>
      <c r="B69" s="2"/>
      <c r="C69" s="8"/>
      <c r="D69" s="9"/>
      <c r="E69" s="3"/>
      <c r="F69" s="13"/>
      <c r="G69" s="5"/>
      <c r="I69" s="3"/>
      <c r="J69" s="3"/>
      <c r="K69" s="3"/>
      <c r="L69" s="103"/>
      <c r="M69" s="108"/>
      <c r="N69" s="9"/>
    </row>
    <row r="70" spans="1:14" ht="23.4" customHeight="1">
      <c r="A70" s="1"/>
      <c r="B70" s="2"/>
      <c r="C70" s="8" t="s">
        <v>109</v>
      </c>
      <c r="D70" s="9"/>
      <c r="E70" s="3"/>
      <c r="F70" s="13"/>
      <c r="G70" s="5"/>
      <c r="I70" s="3"/>
      <c r="J70" s="3"/>
      <c r="K70" s="3"/>
      <c r="L70" s="103"/>
      <c r="M70" s="108"/>
      <c r="N70" s="9"/>
    </row>
    <row r="71" spans="1:14" ht="13.95" customHeight="1">
      <c r="A71" s="1"/>
      <c r="B71" s="2"/>
      <c r="C71" s="8"/>
      <c r="D71" s="9"/>
      <c r="E71" s="3"/>
      <c r="F71" s="13"/>
      <c r="G71" s="5"/>
      <c r="I71" s="3"/>
      <c r="J71" s="3"/>
      <c r="K71" s="3"/>
      <c r="L71" s="103"/>
      <c r="M71" s="108"/>
      <c r="N71" s="9"/>
    </row>
    <row r="72" spans="1:14" ht="33.6" customHeight="1">
      <c r="A72" s="1">
        <v>12</v>
      </c>
      <c r="B72" s="2"/>
      <c r="C72" s="8" t="s">
        <v>108</v>
      </c>
      <c r="D72" s="9" t="s">
        <v>51</v>
      </c>
      <c r="E72" s="3">
        <f>SUM(I72:N72)</f>
        <v>37</v>
      </c>
      <c r="F72" s="13">
        <v>725</v>
      </c>
      <c r="G72" s="5">
        <f t="shared" ref="G72" si="18">+E72*F72</f>
        <v>26825</v>
      </c>
      <c r="I72" s="3"/>
      <c r="J72" s="3">
        <v>37</v>
      </c>
      <c r="K72" s="3"/>
      <c r="L72" s="103"/>
      <c r="M72" s="108"/>
      <c r="N72" s="9"/>
    </row>
    <row r="73" spans="1:14" ht="13.95" customHeight="1">
      <c r="A73" s="1"/>
      <c r="B73" s="2"/>
      <c r="C73" s="8"/>
      <c r="D73" s="9"/>
      <c r="E73" s="3"/>
      <c r="F73" s="13"/>
      <c r="G73" s="5"/>
      <c r="I73" s="3"/>
      <c r="J73" s="3"/>
      <c r="K73" s="3"/>
      <c r="L73" s="103"/>
      <c r="M73" s="108"/>
      <c r="N73" s="9"/>
    </row>
    <row r="74" spans="1:14" ht="21.6" customHeight="1">
      <c r="A74" s="1"/>
      <c r="B74" s="2" t="s">
        <v>101</v>
      </c>
      <c r="C74" s="34" t="s">
        <v>155</v>
      </c>
      <c r="D74" s="1"/>
      <c r="E74" s="3"/>
      <c r="F74" s="13"/>
      <c r="G74" s="5"/>
      <c r="I74" s="3"/>
      <c r="J74" s="3"/>
      <c r="K74" s="3"/>
      <c r="L74" s="103"/>
      <c r="M74" s="108"/>
      <c r="N74" s="9"/>
    </row>
    <row r="75" spans="1:14" ht="13.95" customHeight="1">
      <c r="A75" s="1"/>
      <c r="B75" s="1"/>
      <c r="C75" s="33"/>
      <c r="D75" s="1"/>
      <c r="E75" s="3"/>
      <c r="F75" s="13"/>
      <c r="G75" s="5"/>
      <c r="I75" s="3"/>
      <c r="J75" s="3"/>
      <c r="K75" s="3"/>
      <c r="L75" s="103"/>
      <c r="M75" s="108"/>
      <c r="N75" s="9"/>
    </row>
    <row r="76" spans="1:14" ht="13.95" customHeight="1">
      <c r="A76" s="1"/>
      <c r="B76" s="1" t="s">
        <v>88</v>
      </c>
      <c r="C76" s="32" t="s">
        <v>15</v>
      </c>
      <c r="D76" s="1"/>
      <c r="E76" s="3"/>
      <c r="F76" s="13"/>
      <c r="G76" s="5"/>
      <c r="I76" s="3"/>
      <c r="J76" s="3"/>
      <c r="K76" s="3"/>
      <c r="L76" s="103"/>
      <c r="M76" s="108"/>
      <c r="N76" s="9"/>
    </row>
    <row r="77" spans="1:14" ht="13.95" customHeight="1">
      <c r="A77" s="1"/>
      <c r="B77" s="1"/>
      <c r="C77" s="33"/>
      <c r="D77" s="1"/>
      <c r="E77" s="3"/>
      <c r="F77" s="13"/>
      <c r="G77" s="5"/>
      <c r="I77" s="3"/>
      <c r="J77" s="3"/>
      <c r="K77" s="3"/>
      <c r="L77" s="103"/>
      <c r="M77" s="108"/>
      <c r="N77" s="9"/>
    </row>
    <row r="78" spans="1:14" ht="13.95" customHeight="1">
      <c r="A78" s="1"/>
      <c r="B78" s="1" t="s">
        <v>82</v>
      </c>
      <c r="C78" s="34" t="s">
        <v>16</v>
      </c>
      <c r="D78" s="1"/>
      <c r="E78" s="3"/>
      <c r="F78" s="13"/>
      <c r="G78" s="5"/>
      <c r="I78" s="3"/>
      <c r="J78" s="3"/>
      <c r="K78" s="3"/>
      <c r="L78" s="103"/>
      <c r="M78" s="108"/>
      <c r="N78" s="9"/>
    </row>
    <row r="79" spans="1:14" ht="13.95" customHeight="1">
      <c r="A79" s="1"/>
      <c r="B79" s="1"/>
      <c r="C79" s="33"/>
      <c r="D79" s="1"/>
      <c r="E79" s="3"/>
      <c r="F79" s="13"/>
      <c r="G79" s="5"/>
      <c r="I79" s="3"/>
      <c r="J79" s="3"/>
      <c r="K79" s="3"/>
      <c r="L79" s="103"/>
      <c r="M79" s="108"/>
      <c r="N79" s="9"/>
    </row>
    <row r="80" spans="1:14" ht="13.95" customHeight="1">
      <c r="A80" s="1"/>
      <c r="B80" s="1"/>
      <c r="C80" s="37" t="s">
        <v>17</v>
      </c>
      <c r="D80" s="1"/>
      <c r="E80" s="3"/>
      <c r="F80" s="13"/>
      <c r="G80" s="5"/>
      <c r="I80" s="3"/>
      <c r="J80" s="3"/>
      <c r="K80" s="3"/>
      <c r="L80" s="103"/>
      <c r="M80" s="108"/>
      <c r="N80" s="9"/>
    </row>
    <row r="81" spans="1:14" ht="13.95" customHeight="1">
      <c r="A81" s="1"/>
      <c r="B81" s="1"/>
      <c r="C81" s="37"/>
      <c r="D81" s="1"/>
      <c r="E81" s="3"/>
      <c r="F81" s="13"/>
      <c r="G81" s="5"/>
      <c r="I81" s="3"/>
      <c r="J81" s="3"/>
      <c r="K81" s="3"/>
      <c r="L81" s="103"/>
      <c r="M81" s="108"/>
      <c r="N81" s="9"/>
    </row>
    <row r="82" spans="1:14" ht="13.95" customHeight="1">
      <c r="A82" s="1">
        <v>13</v>
      </c>
      <c r="B82" s="1"/>
      <c r="C82" s="33" t="s">
        <v>28</v>
      </c>
      <c r="D82" s="1" t="s">
        <v>60</v>
      </c>
      <c r="E82" s="3">
        <f>SUM(I82:N82)</f>
        <v>59</v>
      </c>
      <c r="F82" s="13">
        <v>475</v>
      </c>
      <c r="G82" s="5">
        <f t="shared" ref="G82" si="19">+E82*F82</f>
        <v>28025</v>
      </c>
      <c r="I82" s="3"/>
      <c r="J82" s="3">
        <v>59</v>
      </c>
      <c r="K82" s="3"/>
      <c r="L82" s="103"/>
      <c r="M82" s="108"/>
      <c r="N82" s="9"/>
    </row>
    <row r="83" spans="1:14" ht="13.95" customHeight="1">
      <c r="A83" s="1"/>
      <c r="B83" s="1"/>
      <c r="C83" s="33"/>
      <c r="D83" s="1"/>
      <c r="E83" s="3"/>
      <c r="F83" s="13"/>
      <c r="G83" s="5"/>
      <c r="I83" s="3"/>
      <c r="J83" s="3"/>
      <c r="K83" s="3"/>
      <c r="L83" s="103"/>
      <c r="M83" s="108"/>
      <c r="N83" s="9"/>
    </row>
    <row r="84" spans="1:14" ht="19.95" customHeight="1">
      <c r="A84" s="1"/>
      <c r="B84" s="1" t="s">
        <v>86</v>
      </c>
      <c r="C84" s="34" t="s">
        <v>26</v>
      </c>
      <c r="D84" s="1"/>
      <c r="E84" s="3"/>
      <c r="F84" s="13"/>
      <c r="G84" s="5"/>
      <c r="I84" s="3"/>
      <c r="J84" s="3"/>
      <c r="K84" s="3"/>
      <c r="L84" s="103"/>
      <c r="M84" s="108"/>
      <c r="N84" s="9"/>
    </row>
    <row r="85" spans="1:14" ht="13.95" customHeight="1">
      <c r="A85" s="1"/>
      <c r="B85" s="1"/>
      <c r="C85" s="33"/>
      <c r="D85" s="1"/>
      <c r="E85" s="3"/>
      <c r="F85" s="13"/>
      <c r="G85" s="5"/>
      <c r="I85" s="3"/>
      <c r="J85" s="3"/>
      <c r="K85" s="3"/>
      <c r="L85" s="103"/>
      <c r="M85" s="108"/>
      <c r="N85" s="9"/>
    </row>
    <row r="86" spans="1:14" ht="13.95" customHeight="1">
      <c r="A86" s="1"/>
      <c r="B86" s="1"/>
      <c r="C86" s="37" t="s">
        <v>17</v>
      </c>
      <c r="D86" s="1"/>
      <c r="E86" s="3"/>
      <c r="F86" s="13"/>
      <c r="G86" s="5"/>
      <c r="I86" s="3"/>
      <c r="J86" s="3"/>
      <c r="K86" s="3"/>
      <c r="L86" s="103"/>
      <c r="M86" s="108"/>
      <c r="N86" s="9"/>
    </row>
    <row r="87" spans="1:14" ht="13.95" customHeight="1">
      <c r="A87" s="1"/>
      <c r="B87" s="1"/>
      <c r="C87" s="33"/>
      <c r="D87" s="1"/>
      <c r="E87" s="3"/>
      <c r="F87" s="13"/>
      <c r="G87" s="5"/>
      <c r="I87" s="3"/>
      <c r="J87" s="3"/>
      <c r="K87" s="3"/>
      <c r="L87" s="103"/>
      <c r="M87" s="108"/>
      <c r="N87" s="9"/>
    </row>
    <row r="88" spans="1:14" ht="13.95" customHeight="1">
      <c r="A88" s="1">
        <v>14</v>
      </c>
      <c r="B88" s="1"/>
      <c r="C88" s="33" t="s">
        <v>201</v>
      </c>
      <c r="D88" s="1" t="s">
        <v>60</v>
      </c>
      <c r="E88" s="3">
        <f>SUM(I88:N88)</f>
        <v>0</v>
      </c>
      <c r="F88" s="13">
        <v>750</v>
      </c>
      <c r="G88" s="5">
        <f t="shared" ref="G88" si="20">+E88*F88</f>
        <v>0</v>
      </c>
      <c r="I88" s="3"/>
      <c r="J88" s="3"/>
      <c r="K88" s="3"/>
      <c r="L88" s="103"/>
      <c r="M88" s="108"/>
      <c r="N88" s="9"/>
    </row>
    <row r="89" spans="1:14" ht="13.95" customHeight="1">
      <c r="A89" s="1"/>
      <c r="B89" s="1"/>
      <c r="C89" s="33"/>
      <c r="D89" s="1"/>
      <c r="E89" s="3"/>
      <c r="F89" s="13"/>
      <c r="G89" s="5"/>
      <c r="I89" s="3"/>
      <c r="J89" s="3"/>
      <c r="K89" s="3"/>
      <c r="L89" s="103"/>
      <c r="M89" s="108"/>
      <c r="N89" s="9"/>
    </row>
    <row r="90" spans="1:14" ht="13.95" customHeight="1">
      <c r="A90" s="1">
        <v>15</v>
      </c>
      <c r="B90" s="1"/>
      <c r="C90" s="33" t="s">
        <v>224</v>
      </c>
      <c r="D90" s="1" t="s">
        <v>60</v>
      </c>
      <c r="E90" s="3">
        <f>SUM(I90:N90)</f>
        <v>0</v>
      </c>
      <c r="F90" s="13">
        <v>635</v>
      </c>
      <c r="G90" s="5">
        <f t="shared" ref="G90" si="21">+E90*F90</f>
        <v>0</v>
      </c>
      <c r="I90" s="3"/>
      <c r="J90" s="3"/>
      <c r="K90" s="3"/>
      <c r="L90" s="103"/>
      <c r="M90" s="108"/>
      <c r="N90" s="9"/>
    </row>
    <row r="91" spans="1:14" ht="13.95" customHeight="1">
      <c r="A91" s="1"/>
      <c r="B91" s="1"/>
      <c r="C91" s="33"/>
      <c r="D91" s="1"/>
      <c r="E91" s="3"/>
      <c r="F91" s="13"/>
      <c r="G91" s="5"/>
      <c r="I91" s="3"/>
      <c r="J91" s="3"/>
      <c r="K91" s="3"/>
      <c r="L91" s="103"/>
      <c r="M91" s="108"/>
      <c r="N91" s="9"/>
    </row>
    <row r="92" spans="1:14" ht="13.95" customHeight="1">
      <c r="A92" s="1">
        <v>16</v>
      </c>
      <c r="B92" s="1"/>
      <c r="C92" s="33" t="s">
        <v>39</v>
      </c>
      <c r="D92" s="1" t="s">
        <v>60</v>
      </c>
      <c r="E92" s="3">
        <f>SUM(I92:N92)</f>
        <v>148</v>
      </c>
      <c r="F92" s="13">
        <v>850</v>
      </c>
      <c r="G92" s="5">
        <f t="shared" ref="G92" si="22">+E92*F92</f>
        <v>125800</v>
      </c>
      <c r="I92" s="3"/>
      <c r="J92" s="3">
        <v>148</v>
      </c>
      <c r="K92" s="3"/>
      <c r="L92" s="103"/>
      <c r="M92" s="108"/>
      <c r="N92" s="9"/>
    </row>
    <row r="93" spans="1:14" ht="13.95" customHeight="1">
      <c r="A93" s="1"/>
      <c r="B93" s="1"/>
      <c r="C93" s="33"/>
      <c r="D93" s="1"/>
      <c r="E93" s="3"/>
      <c r="F93" s="13"/>
      <c r="G93" s="5"/>
      <c r="I93" s="3"/>
      <c r="J93" s="3"/>
      <c r="K93" s="3"/>
      <c r="L93" s="103"/>
      <c r="M93" s="108"/>
      <c r="N93" s="9"/>
    </row>
    <row r="94" spans="1:14" ht="13.95" customHeight="1">
      <c r="A94" s="1">
        <v>17</v>
      </c>
      <c r="B94" s="1"/>
      <c r="C94" s="33" t="s">
        <v>247</v>
      </c>
      <c r="D94" s="1" t="s">
        <v>60</v>
      </c>
      <c r="E94" s="3">
        <f>SUM(I94:N94)</f>
        <v>0</v>
      </c>
      <c r="F94" s="13">
        <v>775</v>
      </c>
      <c r="G94" s="5">
        <f t="shared" ref="G94" si="23">+E94*F94</f>
        <v>0</v>
      </c>
      <c r="I94" s="3"/>
      <c r="J94" s="3"/>
      <c r="K94" s="3"/>
      <c r="L94" s="103"/>
      <c r="M94" s="108"/>
      <c r="N94" s="9"/>
    </row>
    <row r="95" spans="1:14" ht="13.95" customHeight="1">
      <c r="A95" s="1"/>
      <c r="B95" s="1"/>
      <c r="C95" s="33"/>
      <c r="D95" s="1"/>
      <c r="E95" s="3"/>
      <c r="F95" s="4"/>
      <c r="G95" s="5"/>
      <c r="I95" s="3"/>
      <c r="J95" s="3"/>
      <c r="K95" s="3"/>
      <c r="L95" s="103"/>
      <c r="M95" s="108"/>
      <c r="N95" s="9"/>
    </row>
    <row r="96" spans="1:14" ht="20.100000000000001" customHeight="1">
      <c r="A96" s="149" t="s">
        <v>66</v>
      </c>
      <c r="B96" s="150"/>
      <c r="C96" s="150"/>
      <c r="D96" s="150"/>
      <c r="E96" s="150"/>
      <c r="F96" s="151"/>
      <c r="G96" s="116">
        <f>SUM(G52:G95)</f>
        <v>374400</v>
      </c>
      <c r="I96" s="9"/>
      <c r="J96" s="9"/>
      <c r="K96" s="9"/>
      <c r="L96" s="103"/>
      <c r="M96" s="108"/>
      <c r="N96" s="9"/>
    </row>
    <row r="97" spans="1:14" ht="13.95" customHeight="1">
      <c r="A97" s="39"/>
      <c r="B97" s="39"/>
      <c r="C97" s="39"/>
      <c r="D97" s="39"/>
      <c r="E97" s="39"/>
      <c r="F97" s="39"/>
      <c r="G97" s="113"/>
      <c r="I97" s="9"/>
      <c r="J97" s="9"/>
      <c r="K97" s="9"/>
      <c r="L97" s="103"/>
      <c r="M97" s="108"/>
      <c r="N97" s="9"/>
    </row>
    <row r="98" spans="1:14" ht="13.95" customHeight="1">
      <c r="A98" s="39"/>
      <c r="B98" s="39"/>
      <c r="C98" s="39"/>
      <c r="D98" s="39"/>
      <c r="E98" s="39"/>
      <c r="F98" s="39"/>
      <c r="G98" s="113"/>
      <c r="I98" s="9"/>
      <c r="J98" s="9"/>
      <c r="K98" s="9"/>
      <c r="L98" s="103"/>
      <c r="M98" s="108"/>
      <c r="N98" s="9"/>
    </row>
    <row r="99" spans="1:14" ht="22.2" customHeight="1">
      <c r="A99" s="44" t="s">
        <v>8</v>
      </c>
      <c r="B99" s="48" t="s">
        <v>9</v>
      </c>
      <c r="C99" s="44" t="s">
        <v>10</v>
      </c>
      <c r="D99" s="48" t="s">
        <v>11</v>
      </c>
      <c r="E99" s="48" t="s">
        <v>59</v>
      </c>
      <c r="F99" s="49" t="s">
        <v>12</v>
      </c>
      <c r="G99" s="111" t="s">
        <v>13</v>
      </c>
      <c r="I99" s="9"/>
      <c r="J99" s="9"/>
      <c r="K99" s="9"/>
      <c r="L99" s="103"/>
      <c r="M99" s="108"/>
      <c r="N99" s="9"/>
    </row>
    <row r="100" spans="1:14" ht="20.100000000000001" customHeight="1">
      <c r="A100" s="149" t="s">
        <v>67</v>
      </c>
      <c r="B100" s="150"/>
      <c r="C100" s="150"/>
      <c r="D100" s="150"/>
      <c r="E100" s="150"/>
      <c r="F100" s="151"/>
      <c r="G100" s="116">
        <f>+G96</f>
        <v>374400</v>
      </c>
      <c r="I100" s="9"/>
      <c r="J100" s="9"/>
      <c r="K100" s="9"/>
      <c r="L100" s="103"/>
      <c r="M100" s="108"/>
      <c r="N100" s="9"/>
    </row>
    <row r="101" spans="1:14" ht="13.95" customHeight="1">
      <c r="A101" s="1"/>
      <c r="B101" s="1"/>
      <c r="C101" s="33"/>
      <c r="D101" s="1"/>
      <c r="E101" s="3"/>
      <c r="F101" s="13"/>
      <c r="G101" s="5"/>
      <c r="I101" s="9"/>
      <c r="J101" s="9"/>
      <c r="K101" s="9"/>
      <c r="L101" s="103"/>
      <c r="M101" s="108"/>
      <c r="N101" s="9"/>
    </row>
    <row r="102" spans="1:14" ht="13.95" customHeight="1">
      <c r="A102" s="1"/>
      <c r="B102" s="1"/>
      <c r="C102" s="37" t="s">
        <v>248</v>
      </c>
      <c r="D102" s="1"/>
      <c r="E102" s="3"/>
      <c r="F102" s="13"/>
      <c r="G102" s="5"/>
      <c r="I102" s="3"/>
      <c r="J102" s="3"/>
      <c r="K102" s="3"/>
      <c r="L102" s="103"/>
      <c r="M102" s="108"/>
      <c r="N102" s="9"/>
    </row>
    <row r="103" spans="1:14" ht="13.95" customHeight="1">
      <c r="A103" s="1"/>
      <c r="B103" s="1"/>
      <c r="C103" s="33"/>
      <c r="D103" s="1"/>
      <c r="E103" s="3"/>
      <c r="F103" s="13"/>
      <c r="G103" s="5"/>
      <c r="I103" s="3"/>
      <c r="J103" s="3"/>
      <c r="K103" s="3"/>
      <c r="L103" s="103"/>
      <c r="M103" s="108"/>
      <c r="N103" s="9"/>
    </row>
    <row r="104" spans="1:14" ht="13.95" customHeight="1">
      <c r="A104" s="1">
        <v>18</v>
      </c>
      <c r="B104" s="1"/>
      <c r="C104" s="33" t="s">
        <v>249</v>
      </c>
      <c r="D104" s="1" t="s">
        <v>60</v>
      </c>
      <c r="E104" s="3">
        <f>SUM(I104:N104)</f>
        <v>0</v>
      </c>
      <c r="F104" s="13">
        <v>1150</v>
      </c>
      <c r="G104" s="5">
        <f t="shared" ref="G104" si="24">+E104*F104</f>
        <v>0</v>
      </c>
      <c r="I104" s="3"/>
      <c r="J104" s="3"/>
      <c r="K104" s="3"/>
      <c r="L104" s="103"/>
      <c r="M104" s="108"/>
      <c r="N104" s="9"/>
    </row>
    <row r="105" spans="1:14" ht="13.95" customHeight="1">
      <c r="A105" s="1"/>
      <c r="B105" s="1"/>
      <c r="C105" s="33"/>
      <c r="D105" s="1"/>
      <c r="E105" s="3"/>
      <c r="F105" s="13"/>
      <c r="G105" s="5"/>
      <c r="I105" s="9"/>
      <c r="J105" s="9"/>
      <c r="K105" s="9"/>
      <c r="L105" s="103"/>
      <c r="M105" s="108"/>
      <c r="N105" s="9"/>
    </row>
    <row r="106" spans="1:14" ht="13.95" customHeight="1">
      <c r="A106" s="1"/>
      <c r="B106" s="1" t="s">
        <v>89</v>
      </c>
      <c r="C106" s="32" t="s">
        <v>156</v>
      </c>
      <c r="D106" s="1"/>
      <c r="E106" s="3"/>
      <c r="F106" s="4"/>
      <c r="G106" s="5"/>
      <c r="I106" s="9"/>
      <c r="J106" s="9"/>
      <c r="K106" s="9"/>
      <c r="L106" s="103"/>
      <c r="M106" s="108"/>
      <c r="N106" s="9"/>
    </row>
    <row r="107" spans="1:14" ht="13.95" customHeight="1">
      <c r="A107" s="1"/>
      <c r="B107" s="1"/>
      <c r="C107" s="33"/>
      <c r="D107" s="1"/>
      <c r="E107" s="3"/>
      <c r="F107" s="4"/>
      <c r="G107" s="5"/>
      <c r="I107" s="9"/>
      <c r="J107" s="9"/>
      <c r="K107" s="9"/>
      <c r="L107" s="103"/>
      <c r="M107" s="108"/>
      <c r="N107" s="9"/>
    </row>
    <row r="108" spans="1:14" ht="13.95" customHeight="1">
      <c r="A108" s="1">
        <v>19</v>
      </c>
      <c r="B108" s="1"/>
      <c r="C108" s="47" t="s">
        <v>244</v>
      </c>
      <c r="D108" s="1" t="s">
        <v>1</v>
      </c>
      <c r="E108" s="3">
        <f>SUM(I108:N108)</f>
        <v>248</v>
      </c>
      <c r="F108" s="3">
        <v>135</v>
      </c>
      <c r="G108" s="5">
        <f t="shared" ref="G108" si="25">+E108*F108</f>
        <v>33480</v>
      </c>
      <c r="I108" s="3">
        <v>248</v>
      </c>
      <c r="J108" s="3"/>
      <c r="K108" s="3"/>
      <c r="L108" s="103"/>
      <c r="M108" s="108"/>
      <c r="N108" s="9"/>
    </row>
    <row r="109" spans="1:14" ht="13.95" customHeight="1">
      <c r="A109" s="1"/>
      <c r="B109" s="1"/>
      <c r="C109" s="33"/>
      <c r="D109" s="1"/>
      <c r="E109" s="3"/>
      <c r="F109" s="4"/>
      <c r="G109" s="5"/>
      <c r="I109" s="3"/>
      <c r="J109" s="3"/>
      <c r="K109" s="3"/>
      <c r="L109" s="103"/>
      <c r="M109" s="108"/>
      <c r="N109" s="9"/>
    </row>
    <row r="110" spans="1:14" ht="13.95" customHeight="1">
      <c r="A110" s="1"/>
      <c r="B110" s="1" t="s">
        <v>90</v>
      </c>
      <c r="C110" s="32" t="s">
        <v>36</v>
      </c>
      <c r="D110" s="1"/>
      <c r="E110" s="3"/>
      <c r="F110" s="4"/>
      <c r="G110" s="5"/>
      <c r="I110" s="3"/>
      <c r="J110" s="3"/>
      <c r="K110" s="3"/>
      <c r="L110" s="103"/>
      <c r="M110" s="108"/>
      <c r="N110" s="9"/>
    </row>
    <row r="111" spans="1:14" ht="13.95" customHeight="1">
      <c r="A111" s="1"/>
      <c r="B111" s="1"/>
      <c r="C111" s="33"/>
      <c r="D111" s="1"/>
      <c r="E111" s="3"/>
      <c r="F111" s="4"/>
      <c r="G111" s="5"/>
      <c r="I111" s="3"/>
      <c r="J111" s="3"/>
      <c r="K111" s="3"/>
      <c r="L111" s="103"/>
      <c r="M111" s="108"/>
      <c r="N111" s="9"/>
    </row>
    <row r="112" spans="1:14" ht="24" customHeight="1">
      <c r="A112" s="1"/>
      <c r="B112" s="1"/>
      <c r="C112" s="33" t="s">
        <v>225</v>
      </c>
      <c r="D112" s="1"/>
      <c r="E112" s="3"/>
      <c r="F112" s="4"/>
      <c r="G112" s="5"/>
      <c r="I112" s="3"/>
      <c r="J112" s="3"/>
      <c r="K112" s="3"/>
      <c r="L112" s="103"/>
      <c r="M112" s="108"/>
      <c r="N112" s="9"/>
    </row>
    <row r="113" spans="1:14" ht="13.95" customHeight="1">
      <c r="A113" s="1"/>
      <c r="B113" s="1"/>
      <c r="C113" s="33"/>
      <c r="D113" s="1"/>
      <c r="E113" s="3"/>
      <c r="F113" s="4"/>
      <c r="G113" s="5"/>
      <c r="I113" s="3"/>
      <c r="J113" s="3"/>
      <c r="K113" s="3"/>
      <c r="L113" s="103"/>
      <c r="M113" s="108"/>
      <c r="N113" s="9"/>
    </row>
    <row r="114" spans="1:14" ht="13.95" customHeight="1">
      <c r="A114" s="1">
        <v>20</v>
      </c>
      <c r="B114" s="1"/>
      <c r="C114" s="33" t="s">
        <v>37</v>
      </c>
      <c r="D114" s="1" t="s">
        <v>6</v>
      </c>
      <c r="E114" s="3">
        <f>SUM(I114:N114)</f>
        <v>0</v>
      </c>
      <c r="F114" s="3">
        <v>75</v>
      </c>
      <c r="G114" s="5">
        <f t="shared" ref="G114" si="26">+E114*F114</f>
        <v>0</v>
      </c>
      <c r="I114" s="3"/>
      <c r="J114" s="3"/>
      <c r="K114" s="3"/>
      <c r="L114" s="103"/>
      <c r="M114" s="108"/>
      <c r="N114" s="9"/>
    </row>
    <row r="115" spans="1:14" ht="13.95" customHeight="1">
      <c r="A115" s="1"/>
      <c r="B115" s="1"/>
      <c r="C115" s="33"/>
      <c r="D115" s="1"/>
      <c r="E115" s="3"/>
      <c r="F115" s="3"/>
      <c r="G115" s="5"/>
      <c r="I115" s="3"/>
      <c r="J115" s="3"/>
      <c r="K115" s="3"/>
      <c r="L115" s="103"/>
      <c r="M115" s="108"/>
      <c r="N115" s="9"/>
    </row>
    <row r="116" spans="1:14" ht="13.95" customHeight="1">
      <c r="A116" s="1"/>
      <c r="B116" s="1"/>
      <c r="C116" s="33" t="s">
        <v>226</v>
      </c>
      <c r="D116" s="1" t="s">
        <v>6</v>
      </c>
      <c r="E116" s="3">
        <f>SUM(I116:N116)</f>
        <v>0</v>
      </c>
      <c r="F116" s="3">
        <v>275</v>
      </c>
      <c r="G116" s="5">
        <f t="shared" ref="G116" si="27">+E116*F116</f>
        <v>0</v>
      </c>
      <c r="I116" s="3"/>
      <c r="J116" s="3"/>
      <c r="K116" s="3"/>
      <c r="L116" s="103"/>
      <c r="M116" s="108"/>
      <c r="N116" s="9"/>
    </row>
    <row r="117" spans="1:14" ht="13.95" customHeight="1">
      <c r="A117" s="1"/>
      <c r="B117" s="1"/>
      <c r="D117" s="1"/>
      <c r="E117" s="3"/>
      <c r="F117" s="4"/>
      <c r="G117" s="5"/>
      <c r="I117" s="3"/>
      <c r="J117" s="3"/>
      <c r="K117" s="3"/>
      <c r="L117" s="103"/>
      <c r="M117" s="108"/>
      <c r="N117" s="9"/>
    </row>
    <row r="118" spans="1:14" ht="13.95" customHeight="1">
      <c r="A118" s="1"/>
      <c r="B118" s="1"/>
      <c r="C118" s="42" t="s">
        <v>104</v>
      </c>
      <c r="D118" s="1"/>
      <c r="E118" s="3"/>
      <c r="F118" s="4"/>
      <c r="G118" s="5"/>
      <c r="I118" s="3"/>
      <c r="J118" s="3"/>
      <c r="K118" s="3"/>
      <c r="L118" s="103"/>
      <c r="M118" s="108"/>
      <c r="N118" s="9"/>
    </row>
    <row r="119" spans="1:14" ht="13.95" customHeight="1">
      <c r="A119" s="1"/>
      <c r="B119" s="1"/>
      <c r="C119" s="6"/>
      <c r="D119" s="1"/>
      <c r="E119" s="3"/>
      <c r="F119" s="4"/>
      <c r="G119" s="5"/>
      <c r="I119" s="3"/>
      <c r="J119" s="3"/>
      <c r="K119" s="3"/>
      <c r="L119" s="103"/>
      <c r="M119" s="108"/>
      <c r="N119" s="9"/>
    </row>
    <row r="120" spans="1:14" ht="13.95" customHeight="1">
      <c r="A120" s="1">
        <f>A114+1</f>
        <v>21</v>
      </c>
      <c r="B120" s="1"/>
      <c r="C120" s="6" t="s">
        <v>106</v>
      </c>
      <c r="D120" s="1" t="s">
        <v>1</v>
      </c>
      <c r="E120" s="3">
        <f>SUM(I120:AG120)</f>
        <v>148</v>
      </c>
      <c r="F120" s="3">
        <v>36</v>
      </c>
      <c r="G120" s="5">
        <f t="shared" ref="G120" si="28">+E120*F120</f>
        <v>5328</v>
      </c>
      <c r="I120" s="3"/>
      <c r="J120" s="3">
        <v>148</v>
      </c>
      <c r="K120" s="3"/>
      <c r="L120" s="103"/>
      <c r="M120" s="108"/>
      <c r="N120" s="9"/>
    </row>
    <row r="121" spans="1:14" ht="13.95" customHeight="1">
      <c r="A121" s="1"/>
      <c r="B121" s="1"/>
      <c r="C121" s="6"/>
      <c r="D121" s="1"/>
      <c r="E121" s="3"/>
      <c r="F121" s="4"/>
      <c r="G121" s="5"/>
      <c r="I121" s="3"/>
      <c r="J121" s="3"/>
      <c r="K121" s="3"/>
      <c r="L121" s="103"/>
      <c r="M121" s="108"/>
      <c r="N121" s="9"/>
    </row>
    <row r="122" spans="1:14" ht="13.95" customHeight="1">
      <c r="A122" s="1"/>
      <c r="B122" s="2" t="s">
        <v>91</v>
      </c>
      <c r="C122" s="34" t="s">
        <v>18</v>
      </c>
      <c r="D122" s="1"/>
      <c r="E122" s="3"/>
      <c r="F122" s="4"/>
      <c r="G122" s="5"/>
      <c r="I122" s="3"/>
      <c r="J122" s="3"/>
      <c r="K122" s="3"/>
      <c r="L122" s="103"/>
      <c r="M122" s="108"/>
      <c r="N122" s="9"/>
    </row>
    <row r="123" spans="1:14" ht="13.95" customHeight="1">
      <c r="A123" s="1"/>
      <c r="B123" s="1"/>
      <c r="C123" s="33"/>
      <c r="D123" s="1"/>
      <c r="E123" s="3"/>
      <c r="F123" s="4"/>
      <c r="G123" s="5"/>
      <c r="I123" s="3"/>
      <c r="J123" s="3"/>
      <c r="K123" s="3"/>
      <c r="L123" s="103"/>
      <c r="M123" s="108"/>
      <c r="N123" s="9"/>
    </row>
    <row r="124" spans="1:14" ht="13.95" customHeight="1">
      <c r="A124" s="1"/>
      <c r="B124" s="1" t="s">
        <v>84</v>
      </c>
      <c r="C124" s="32" t="s">
        <v>19</v>
      </c>
      <c r="D124" s="1"/>
      <c r="E124" s="3"/>
      <c r="F124" s="4"/>
      <c r="G124" s="5"/>
      <c r="I124" s="3"/>
      <c r="J124" s="3"/>
      <c r="K124" s="3"/>
      <c r="L124" s="103"/>
      <c r="M124" s="108"/>
      <c r="N124" s="9"/>
    </row>
    <row r="125" spans="1:14" ht="13.95" customHeight="1">
      <c r="A125" s="1"/>
      <c r="B125" s="1"/>
      <c r="C125" s="33"/>
      <c r="D125" s="1"/>
      <c r="E125" s="3"/>
      <c r="F125" s="4"/>
      <c r="G125" s="5"/>
      <c r="I125" s="3"/>
      <c r="J125" s="3"/>
      <c r="K125" s="3"/>
      <c r="L125" s="103"/>
      <c r="M125" s="108"/>
      <c r="N125" s="9"/>
    </row>
    <row r="126" spans="1:14" ht="13.95" customHeight="1">
      <c r="A126" s="1">
        <f>A120+1</f>
        <v>22</v>
      </c>
      <c r="B126" s="1"/>
      <c r="C126" s="33" t="s">
        <v>72</v>
      </c>
      <c r="D126" s="1" t="s">
        <v>2</v>
      </c>
      <c r="E126" s="3">
        <f>SUM(I126:N126)</f>
        <v>6.1</v>
      </c>
      <c r="F126" s="3">
        <v>25750</v>
      </c>
      <c r="G126" s="5">
        <f t="shared" ref="G126" si="29">+E126*F126</f>
        <v>157075</v>
      </c>
      <c r="I126" s="4"/>
      <c r="J126" s="4">
        <v>6.1</v>
      </c>
      <c r="K126" s="4"/>
      <c r="L126" s="103"/>
      <c r="M126" s="108"/>
      <c r="N126" s="9"/>
    </row>
    <row r="127" spans="1:14" ht="13.95" customHeight="1">
      <c r="A127" s="1"/>
      <c r="B127" s="1"/>
      <c r="C127" s="33"/>
      <c r="D127" s="1"/>
      <c r="E127" s="3"/>
      <c r="F127" s="4"/>
      <c r="G127" s="5"/>
      <c r="I127" s="3"/>
      <c r="J127" s="3"/>
      <c r="K127" s="3"/>
      <c r="L127" s="103"/>
      <c r="M127" s="108"/>
      <c r="N127" s="9"/>
    </row>
    <row r="128" spans="1:14" ht="13.95" customHeight="1">
      <c r="A128" s="1"/>
      <c r="B128" s="1" t="s">
        <v>92</v>
      </c>
      <c r="C128" s="32" t="s">
        <v>3</v>
      </c>
      <c r="D128" s="1"/>
      <c r="E128" s="3"/>
      <c r="F128" s="4"/>
      <c r="G128" s="5"/>
      <c r="I128" s="3"/>
      <c r="J128" s="3"/>
      <c r="K128" s="3"/>
      <c r="L128" s="103"/>
      <c r="M128" s="108"/>
      <c r="N128" s="9"/>
    </row>
    <row r="129" spans="1:14" ht="13.95" customHeight="1">
      <c r="A129" s="1"/>
      <c r="B129" s="1"/>
      <c r="C129" s="33"/>
      <c r="D129" s="1"/>
      <c r="E129" s="3"/>
      <c r="F129" s="4"/>
      <c r="G129" s="5"/>
      <c r="I129" s="3"/>
      <c r="J129" s="3"/>
      <c r="K129" s="3"/>
      <c r="L129" s="103"/>
      <c r="M129" s="108"/>
      <c r="N129" s="9"/>
    </row>
    <row r="130" spans="1:14" ht="13.95" customHeight="1">
      <c r="A130" s="1">
        <f>A126+1</f>
        <v>23</v>
      </c>
      <c r="B130" s="1"/>
      <c r="C130" s="33" t="s">
        <v>73</v>
      </c>
      <c r="D130" s="1" t="s">
        <v>60</v>
      </c>
      <c r="E130" s="3">
        <f>SUM(I130:N130)</f>
        <v>735</v>
      </c>
      <c r="F130" s="13">
        <v>345</v>
      </c>
      <c r="G130" s="5">
        <f t="shared" ref="G130" si="30">+E130*F130</f>
        <v>253575</v>
      </c>
      <c r="I130" s="3">
        <v>735</v>
      </c>
      <c r="J130" s="3"/>
      <c r="K130" s="3"/>
      <c r="L130" s="103"/>
      <c r="M130" s="108"/>
      <c r="N130" s="9"/>
    </row>
    <row r="131" spans="1:14" ht="13.95" customHeight="1">
      <c r="A131" s="1"/>
      <c r="B131" s="1"/>
      <c r="C131" s="33"/>
      <c r="D131" s="1"/>
      <c r="E131" s="3"/>
      <c r="F131" s="4"/>
      <c r="G131" s="5"/>
      <c r="I131" s="3"/>
      <c r="J131" s="3"/>
      <c r="K131" s="3"/>
      <c r="L131" s="103"/>
      <c r="M131" s="108"/>
      <c r="N131" s="9"/>
    </row>
    <row r="132" spans="1:14" ht="13.95" customHeight="1">
      <c r="A132" s="1"/>
      <c r="B132" s="36" t="s">
        <v>93</v>
      </c>
      <c r="C132" s="34" t="s">
        <v>4</v>
      </c>
      <c r="D132" s="1"/>
      <c r="E132" s="3"/>
      <c r="F132" s="4"/>
      <c r="G132" s="5"/>
      <c r="I132" s="3"/>
      <c r="J132" s="3"/>
      <c r="K132" s="3"/>
      <c r="L132" s="103"/>
      <c r="M132" s="108"/>
      <c r="N132" s="9"/>
    </row>
    <row r="133" spans="1:14" ht="13.95" customHeight="1">
      <c r="A133" s="1"/>
      <c r="C133" s="33"/>
      <c r="D133" s="1"/>
      <c r="E133" s="3"/>
      <c r="F133" s="4"/>
      <c r="G133" s="5"/>
      <c r="I133" s="3"/>
      <c r="J133" s="3"/>
      <c r="K133" s="3"/>
      <c r="L133" s="103"/>
      <c r="M133" s="108"/>
      <c r="N133" s="9"/>
    </row>
    <row r="134" spans="1:14" ht="13.95" customHeight="1">
      <c r="A134" s="1"/>
      <c r="B134" s="20" t="s">
        <v>94</v>
      </c>
      <c r="C134" s="32" t="s">
        <v>5</v>
      </c>
      <c r="D134" s="1"/>
      <c r="E134" s="3"/>
      <c r="F134" s="4"/>
      <c r="G134" s="5"/>
      <c r="I134" s="3"/>
      <c r="J134" s="3"/>
      <c r="K134" s="3"/>
      <c r="L134" s="103"/>
      <c r="M134" s="108"/>
      <c r="N134" s="9"/>
    </row>
    <row r="135" spans="1:14" ht="13.95" customHeight="1">
      <c r="A135" s="1"/>
      <c r="C135" s="33"/>
      <c r="D135" s="1"/>
      <c r="E135" s="3"/>
      <c r="F135" s="4"/>
      <c r="G135" s="5"/>
      <c r="I135" s="3"/>
      <c r="J135" s="3"/>
      <c r="K135" s="3"/>
      <c r="L135" s="103"/>
      <c r="M135" s="108"/>
      <c r="N135" s="9"/>
    </row>
    <row r="136" spans="1:14" ht="13.95" customHeight="1">
      <c r="A136" s="1"/>
      <c r="C136" s="33" t="s">
        <v>74</v>
      </c>
      <c r="D136" s="1"/>
      <c r="E136" s="3"/>
      <c r="F136" s="4"/>
      <c r="G136" s="5"/>
      <c r="I136" s="3"/>
      <c r="J136" s="3"/>
      <c r="K136" s="3"/>
      <c r="L136" s="103"/>
      <c r="M136" s="108"/>
      <c r="N136" s="9"/>
    </row>
    <row r="137" spans="1:14" ht="13.95" customHeight="1">
      <c r="A137" s="1"/>
      <c r="C137" s="33"/>
      <c r="D137" s="1"/>
      <c r="E137" s="3"/>
      <c r="F137" s="4"/>
      <c r="G137" s="5"/>
      <c r="I137" s="3"/>
      <c r="J137" s="3"/>
      <c r="K137" s="3"/>
      <c r="L137" s="103"/>
      <c r="M137" s="108"/>
      <c r="N137" s="9"/>
    </row>
    <row r="138" spans="1:14" ht="13.95" customHeight="1">
      <c r="A138" s="1">
        <f>A130+1</f>
        <v>24</v>
      </c>
      <c r="C138" s="33" t="s">
        <v>24</v>
      </c>
      <c r="D138" s="1" t="s">
        <v>60</v>
      </c>
      <c r="E138" s="3">
        <f>SUM(I138:N138)</f>
        <v>74</v>
      </c>
      <c r="F138" s="3">
        <v>175</v>
      </c>
      <c r="G138" s="5">
        <f t="shared" ref="G138" si="31">+E138*F138</f>
        <v>12950</v>
      </c>
      <c r="I138" s="3"/>
      <c r="J138" s="3">
        <v>74</v>
      </c>
      <c r="K138" s="3"/>
      <c r="L138" s="103"/>
      <c r="M138" s="108"/>
      <c r="N138" s="9"/>
    </row>
    <row r="139" spans="1:14" ht="13.95" customHeight="1">
      <c r="A139" s="1"/>
      <c r="C139" s="33"/>
      <c r="D139" s="1"/>
      <c r="E139" s="3"/>
      <c r="F139" s="3"/>
      <c r="G139" s="5"/>
      <c r="I139" s="3"/>
      <c r="J139" s="3"/>
      <c r="K139" s="3"/>
      <c r="L139" s="103"/>
      <c r="M139" s="108"/>
      <c r="N139" s="9"/>
    </row>
    <row r="140" spans="1:14" ht="13.95" customHeight="1">
      <c r="A140" s="1"/>
      <c r="C140" s="33"/>
      <c r="D140" s="1"/>
      <c r="E140" s="3"/>
      <c r="F140" s="3"/>
      <c r="G140" s="5"/>
      <c r="I140" s="3"/>
      <c r="J140" s="3"/>
      <c r="K140" s="3"/>
      <c r="L140" s="103"/>
      <c r="M140" s="108"/>
      <c r="N140" s="9"/>
    </row>
    <row r="141" spans="1:14" ht="13.95" customHeight="1">
      <c r="A141" s="1"/>
      <c r="C141" s="33"/>
      <c r="D141" s="1"/>
      <c r="E141" s="3"/>
      <c r="F141" s="3"/>
      <c r="G141" s="5"/>
      <c r="I141" s="3"/>
      <c r="J141" s="3"/>
      <c r="K141" s="3"/>
      <c r="L141" s="103"/>
      <c r="M141" s="108"/>
      <c r="N141" s="9"/>
    </row>
    <row r="142" spans="1:14" ht="13.95" customHeight="1">
      <c r="A142" s="1"/>
      <c r="C142" s="33"/>
      <c r="D142" s="1"/>
      <c r="E142" s="3"/>
      <c r="F142" s="3"/>
      <c r="G142" s="5"/>
      <c r="I142" s="3"/>
      <c r="J142" s="3"/>
      <c r="K142" s="3"/>
      <c r="L142" s="103"/>
      <c r="M142" s="108"/>
      <c r="N142" s="9"/>
    </row>
    <row r="143" spans="1:14" ht="13.95" customHeight="1">
      <c r="A143" s="1"/>
      <c r="C143" s="33"/>
      <c r="D143" s="1"/>
      <c r="E143" s="3"/>
      <c r="F143" s="3"/>
      <c r="G143" s="5"/>
      <c r="I143" s="3"/>
      <c r="J143" s="3"/>
      <c r="K143" s="3"/>
      <c r="L143" s="103"/>
      <c r="M143" s="108"/>
      <c r="N143" s="9"/>
    </row>
    <row r="144" spans="1:14" ht="13.95" customHeight="1">
      <c r="A144" s="1"/>
      <c r="C144" s="33"/>
      <c r="D144" s="1"/>
      <c r="E144" s="3"/>
      <c r="F144" s="3"/>
      <c r="G144" s="5"/>
      <c r="I144" s="3"/>
      <c r="J144" s="3"/>
      <c r="K144" s="3"/>
      <c r="L144" s="103"/>
      <c r="M144" s="108"/>
      <c r="N144" s="9"/>
    </row>
    <row r="145" spans="1:14" ht="13.95" customHeight="1">
      <c r="A145" s="1"/>
      <c r="B145" s="1"/>
      <c r="C145" s="33"/>
      <c r="D145" s="1"/>
      <c r="E145" s="3"/>
      <c r="F145" s="4"/>
      <c r="G145" s="5"/>
      <c r="I145" s="3"/>
      <c r="J145" s="3"/>
      <c r="K145" s="3"/>
      <c r="L145" s="103"/>
      <c r="M145" s="108"/>
      <c r="N145" s="9"/>
    </row>
    <row r="146" spans="1:14" ht="13.95" customHeight="1">
      <c r="A146" s="1"/>
      <c r="B146" s="1"/>
      <c r="C146" s="33"/>
      <c r="D146" s="1"/>
      <c r="E146" s="3"/>
      <c r="F146" s="4"/>
      <c r="G146" s="5"/>
      <c r="I146" s="3"/>
      <c r="J146" s="3"/>
      <c r="K146" s="3"/>
      <c r="L146" s="103"/>
      <c r="M146" s="108"/>
      <c r="N146" s="9"/>
    </row>
    <row r="147" spans="1:14" ht="13.95" customHeight="1">
      <c r="A147" s="1"/>
      <c r="B147" s="1"/>
      <c r="C147" s="33"/>
      <c r="D147" s="1"/>
      <c r="E147" s="3"/>
      <c r="F147" s="4"/>
      <c r="G147" s="5"/>
      <c r="I147" s="3"/>
      <c r="J147" s="3"/>
      <c r="K147" s="3"/>
      <c r="L147" s="103"/>
      <c r="M147" s="108"/>
      <c r="N147" s="9"/>
    </row>
    <row r="148" spans="1:14" ht="20.100000000000001" customHeight="1">
      <c r="A148" s="149" t="s">
        <v>66</v>
      </c>
      <c r="B148" s="150"/>
      <c r="C148" s="150"/>
      <c r="D148" s="150"/>
      <c r="E148" s="150"/>
      <c r="F148" s="151"/>
      <c r="G148" s="116">
        <f>SUM(G100:G147)</f>
        <v>836808</v>
      </c>
      <c r="I148" s="9"/>
      <c r="J148" s="9"/>
      <c r="K148" s="9"/>
      <c r="L148" s="103"/>
      <c r="M148" s="108"/>
      <c r="N148" s="9"/>
    </row>
    <row r="149" spans="1:14" ht="13.95" customHeight="1">
      <c r="A149" s="39"/>
      <c r="B149" s="39"/>
      <c r="C149" s="39"/>
      <c r="D149" s="39"/>
      <c r="E149" s="39"/>
      <c r="F149" s="39"/>
      <c r="G149" s="113"/>
      <c r="I149" s="9"/>
      <c r="J149" s="9"/>
      <c r="K149" s="9"/>
      <c r="L149" s="103"/>
      <c r="M149" s="108"/>
      <c r="N149" s="9"/>
    </row>
    <row r="150" spans="1:14" ht="13.95" customHeight="1">
      <c r="A150" s="39"/>
      <c r="B150" s="39"/>
      <c r="C150" s="39"/>
      <c r="D150" s="39"/>
      <c r="E150" s="39"/>
      <c r="F150" s="39"/>
      <c r="G150" s="113"/>
      <c r="I150" s="9"/>
      <c r="J150" s="9"/>
      <c r="K150" s="9"/>
      <c r="L150" s="103"/>
      <c r="M150" s="108"/>
      <c r="N150" s="9"/>
    </row>
    <row r="151" spans="1:14" ht="22.2" customHeight="1">
      <c r="A151" s="44" t="s">
        <v>8</v>
      </c>
      <c r="B151" s="48" t="s">
        <v>9</v>
      </c>
      <c r="C151" s="44" t="s">
        <v>10</v>
      </c>
      <c r="D151" s="48" t="s">
        <v>11</v>
      </c>
      <c r="E151" s="48" t="s">
        <v>59</v>
      </c>
      <c r="F151" s="49" t="s">
        <v>12</v>
      </c>
      <c r="G151" s="111" t="s">
        <v>13</v>
      </c>
      <c r="I151" s="9"/>
      <c r="J151" s="9"/>
      <c r="K151" s="9"/>
      <c r="L151" s="103"/>
      <c r="M151" s="108"/>
      <c r="N151" s="9"/>
    </row>
    <row r="152" spans="1:14" ht="20.100000000000001" customHeight="1">
      <c r="A152" s="149" t="s">
        <v>67</v>
      </c>
      <c r="B152" s="150"/>
      <c r="C152" s="150"/>
      <c r="D152" s="150"/>
      <c r="E152" s="150"/>
      <c r="F152" s="151"/>
      <c r="G152" s="116">
        <f>+G148</f>
        <v>836808</v>
      </c>
      <c r="I152" s="9"/>
      <c r="J152" s="9"/>
      <c r="K152" s="9"/>
      <c r="L152" s="103"/>
      <c r="M152" s="108"/>
      <c r="N152" s="9"/>
    </row>
    <row r="153" spans="1:14" ht="13.95" customHeight="1">
      <c r="A153" s="1"/>
      <c r="B153" s="1"/>
      <c r="C153" s="33"/>
      <c r="D153" s="1"/>
      <c r="E153" s="3"/>
      <c r="F153" s="4"/>
      <c r="G153" s="5"/>
      <c r="I153" s="3"/>
      <c r="J153" s="3"/>
      <c r="K153" s="3"/>
      <c r="L153" s="103"/>
      <c r="M153" s="108"/>
      <c r="N153" s="9"/>
    </row>
    <row r="154" spans="1:14" ht="13.95" customHeight="1">
      <c r="A154" s="1"/>
      <c r="B154" s="1"/>
      <c r="C154" s="32" t="s">
        <v>158</v>
      </c>
      <c r="D154" s="1"/>
      <c r="E154" s="3"/>
      <c r="F154" s="4"/>
      <c r="G154" s="5"/>
      <c r="I154" s="3"/>
      <c r="J154" s="3"/>
      <c r="K154" s="3"/>
      <c r="L154" s="103"/>
      <c r="M154" s="108"/>
      <c r="N154" s="9"/>
    </row>
    <row r="155" spans="1:14" ht="13.95" customHeight="1">
      <c r="A155" s="1"/>
      <c r="B155" s="1"/>
      <c r="C155" s="33"/>
      <c r="D155" s="1"/>
      <c r="E155" s="3"/>
      <c r="F155" s="4"/>
      <c r="G155" s="5"/>
      <c r="I155" s="3"/>
      <c r="J155" s="3"/>
      <c r="K155" s="3"/>
      <c r="L155" s="103"/>
      <c r="M155" s="108"/>
      <c r="N155" s="9"/>
    </row>
    <row r="156" spans="1:14" ht="13.95" customHeight="1">
      <c r="A156" s="1">
        <f>A138+1</f>
        <v>25</v>
      </c>
      <c r="B156" s="1"/>
      <c r="C156" s="33" t="s">
        <v>202</v>
      </c>
      <c r="D156" s="1" t="s">
        <v>51</v>
      </c>
      <c r="E156" s="3">
        <f>SUM(I156:N156)</f>
        <v>0</v>
      </c>
      <c r="F156" s="3">
        <v>3550</v>
      </c>
      <c r="G156" s="5">
        <f t="shared" ref="G156" si="32">+E156*F156</f>
        <v>0</v>
      </c>
      <c r="I156" s="3"/>
      <c r="J156" s="3"/>
      <c r="K156" s="3"/>
      <c r="L156" s="103"/>
      <c r="M156" s="108"/>
      <c r="N156" s="9"/>
    </row>
    <row r="157" spans="1:14" ht="13.95" customHeight="1">
      <c r="A157" s="1"/>
      <c r="B157" s="1"/>
      <c r="C157" s="33"/>
      <c r="D157" s="1"/>
      <c r="E157" s="3"/>
      <c r="F157" s="3"/>
      <c r="G157" s="5"/>
      <c r="I157" s="3"/>
      <c r="J157" s="3"/>
      <c r="K157" s="3"/>
      <c r="L157" s="103"/>
      <c r="M157" s="108"/>
      <c r="N157" s="9"/>
    </row>
    <row r="158" spans="1:14" ht="13.95" customHeight="1">
      <c r="A158" s="1">
        <f>A156+1</f>
        <v>26</v>
      </c>
      <c r="B158" s="1"/>
      <c r="C158" s="33" t="s">
        <v>28</v>
      </c>
      <c r="D158" s="1" t="s">
        <v>51</v>
      </c>
      <c r="E158" s="3">
        <f>SUM(I158:N158)</f>
        <v>30</v>
      </c>
      <c r="F158" s="3">
        <v>3200</v>
      </c>
      <c r="G158" s="5">
        <f t="shared" ref="G158" si="33">+E158*F158</f>
        <v>96000</v>
      </c>
      <c r="I158" s="3"/>
      <c r="J158" s="3">
        <v>30</v>
      </c>
      <c r="K158" s="3"/>
      <c r="L158" s="103"/>
      <c r="M158" s="108"/>
      <c r="N158" s="9"/>
    </row>
    <row r="159" spans="1:14" ht="13.95" customHeight="1">
      <c r="A159" s="1"/>
      <c r="B159" s="1"/>
      <c r="C159" s="33"/>
      <c r="D159" s="1"/>
      <c r="E159" s="3"/>
      <c r="F159" s="3"/>
      <c r="G159" s="5"/>
      <c r="I159" s="3"/>
      <c r="J159" s="3"/>
      <c r="K159" s="3"/>
      <c r="L159" s="103"/>
      <c r="M159" s="108"/>
      <c r="N159" s="9"/>
    </row>
    <row r="160" spans="1:14" ht="13.95" customHeight="1">
      <c r="A160" s="1">
        <v>25</v>
      </c>
      <c r="B160" s="1"/>
      <c r="C160" s="33" t="s">
        <v>62</v>
      </c>
      <c r="D160" s="1" t="s">
        <v>51</v>
      </c>
      <c r="E160" s="3">
        <f>SUM(I160:N160)</f>
        <v>19</v>
      </c>
      <c r="F160" s="3">
        <v>3350</v>
      </c>
      <c r="G160" s="5">
        <f t="shared" ref="G160" si="34">+E160*F160</f>
        <v>63650</v>
      </c>
      <c r="I160" s="3"/>
      <c r="J160" s="3">
        <v>19</v>
      </c>
      <c r="K160" s="3"/>
      <c r="L160" s="103"/>
      <c r="M160" s="108"/>
      <c r="N160" s="9"/>
    </row>
    <row r="161" spans="1:14" ht="13.95" customHeight="1">
      <c r="A161" s="1"/>
      <c r="B161" s="1"/>
      <c r="C161" s="33"/>
      <c r="D161" s="1"/>
      <c r="E161" s="3"/>
      <c r="F161" s="3"/>
      <c r="G161" s="5"/>
      <c r="I161" s="3"/>
      <c r="J161" s="3"/>
      <c r="K161" s="3"/>
      <c r="L161" s="103"/>
      <c r="M161" s="108"/>
      <c r="N161" s="9"/>
    </row>
    <row r="162" spans="1:14" ht="13.95" customHeight="1">
      <c r="A162" s="1">
        <v>26</v>
      </c>
      <c r="B162" s="1"/>
      <c r="C162" s="33" t="s">
        <v>27</v>
      </c>
      <c r="D162" s="1" t="s">
        <v>51</v>
      </c>
      <c r="E162" s="3">
        <f>SUM(I162:N162)</f>
        <v>257</v>
      </c>
      <c r="F162" s="3">
        <v>3200</v>
      </c>
      <c r="G162" s="5">
        <f t="shared" ref="G162" si="35">+E162*F162</f>
        <v>822400</v>
      </c>
      <c r="I162" s="3">
        <v>257</v>
      </c>
      <c r="J162" s="3"/>
      <c r="K162" s="3"/>
      <c r="L162" s="103"/>
      <c r="M162" s="108"/>
      <c r="N162" s="9"/>
    </row>
    <row r="163" spans="1:14" ht="13.95" customHeight="1">
      <c r="A163" s="1"/>
      <c r="B163" s="1"/>
      <c r="C163" s="33"/>
      <c r="D163" s="1"/>
      <c r="E163" s="3"/>
      <c r="F163" s="3"/>
      <c r="G163" s="5"/>
      <c r="I163" s="3"/>
      <c r="J163" s="3"/>
      <c r="K163" s="3"/>
      <c r="L163" s="103"/>
      <c r="M163" s="108"/>
      <c r="N163" s="9"/>
    </row>
    <row r="164" spans="1:14" ht="13.95" customHeight="1">
      <c r="A164" s="1">
        <f>A162+1</f>
        <v>27</v>
      </c>
      <c r="B164" s="1"/>
      <c r="C164" s="33" t="s">
        <v>250</v>
      </c>
      <c r="D164" s="1" t="s">
        <v>51</v>
      </c>
      <c r="E164" s="3">
        <f>SUM(I164:N164)</f>
        <v>0</v>
      </c>
      <c r="F164" s="3">
        <v>3650</v>
      </c>
      <c r="G164" s="5">
        <f t="shared" ref="G164" si="36">+E164*F164</f>
        <v>0</v>
      </c>
      <c r="I164" s="3"/>
      <c r="J164" s="3"/>
      <c r="K164" s="3"/>
      <c r="L164" s="103"/>
      <c r="M164" s="108"/>
      <c r="N164" s="9"/>
    </row>
    <row r="165" spans="1:14" ht="13.95" customHeight="1">
      <c r="A165" s="1"/>
      <c r="B165" s="1"/>
      <c r="C165" s="33"/>
      <c r="D165" s="1"/>
      <c r="E165" s="3"/>
      <c r="F165" s="4"/>
      <c r="G165" s="5"/>
      <c r="I165" s="3"/>
      <c r="J165" s="3"/>
      <c r="K165" s="3"/>
      <c r="L165" s="103"/>
      <c r="M165" s="108"/>
      <c r="N165" s="9"/>
    </row>
    <row r="166" spans="1:14" ht="13.95" customHeight="1">
      <c r="A166" s="1"/>
      <c r="B166" s="1" t="s">
        <v>96</v>
      </c>
      <c r="C166" s="32" t="s">
        <v>159</v>
      </c>
      <c r="D166" s="1"/>
      <c r="E166" s="3"/>
      <c r="F166" s="4"/>
      <c r="G166" s="5"/>
      <c r="I166" s="9"/>
      <c r="J166" s="9"/>
      <c r="K166" s="9"/>
      <c r="L166" s="103"/>
      <c r="M166" s="108"/>
      <c r="N166" s="9"/>
    </row>
    <row r="167" spans="1:14" ht="13.95" customHeight="1">
      <c r="A167" s="1"/>
      <c r="B167" s="1"/>
      <c r="C167" s="33"/>
      <c r="D167" s="1"/>
      <c r="E167" s="3"/>
      <c r="F167" s="4"/>
      <c r="G167" s="5"/>
      <c r="I167" s="9"/>
      <c r="J167" s="9"/>
      <c r="K167" s="9"/>
      <c r="L167" s="103"/>
      <c r="M167" s="108"/>
      <c r="N167" s="9"/>
    </row>
    <row r="168" spans="1:14" ht="13.95" customHeight="1">
      <c r="A168" s="1"/>
      <c r="B168" s="1"/>
      <c r="C168" s="33" t="s">
        <v>160</v>
      </c>
      <c r="D168" s="1"/>
      <c r="E168" s="3"/>
      <c r="F168" s="4"/>
      <c r="G168" s="5"/>
      <c r="I168" s="9"/>
      <c r="J168" s="9"/>
      <c r="K168" s="9"/>
      <c r="L168" s="103"/>
      <c r="M168" s="108"/>
      <c r="N168" s="9"/>
    </row>
    <row r="169" spans="1:14" ht="13.95" customHeight="1">
      <c r="A169" s="1"/>
      <c r="B169" s="1"/>
      <c r="C169" s="33"/>
      <c r="D169" s="1"/>
      <c r="E169" s="3"/>
      <c r="F169" s="4"/>
      <c r="G169" s="5"/>
      <c r="I169" s="9"/>
      <c r="J169" s="9"/>
      <c r="K169" s="9"/>
      <c r="L169" s="103"/>
      <c r="M169" s="108"/>
      <c r="N169" s="9"/>
    </row>
    <row r="170" spans="1:14" ht="13.95" customHeight="1">
      <c r="A170" s="1">
        <f>A164+1</f>
        <v>28</v>
      </c>
      <c r="B170" s="1"/>
      <c r="C170" s="33" t="s">
        <v>28</v>
      </c>
      <c r="D170" s="1" t="s">
        <v>60</v>
      </c>
      <c r="E170" s="3">
        <f>SUM(I170:N170)</f>
        <v>74</v>
      </c>
      <c r="F170" s="3">
        <v>46</v>
      </c>
      <c r="G170" s="5">
        <f t="shared" ref="G170" si="37">+E170*F170</f>
        <v>3404</v>
      </c>
      <c r="I170" s="3"/>
      <c r="J170" s="3">
        <v>74</v>
      </c>
      <c r="K170" s="3"/>
      <c r="L170" s="103"/>
      <c r="M170" s="108"/>
      <c r="N170" s="9"/>
    </row>
    <row r="171" spans="1:14" ht="13.95" customHeight="1">
      <c r="A171" s="1"/>
      <c r="B171" s="1"/>
      <c r="C171" s="33"/>
      <c r="D171" s="1"/>
      <c r="E171" s="3"/>
      <c r="F171" s="3"/>
      <c r="G171" s="5"/>
      <c r="I171" s="3"/>
      <c r="J171" s="3"/>
      <c r="K171" s="3"/>
      <c r="L171" s="103"/>
      <c r="M171" s="108"/>
      <c r="N171" s="9"/>
    </row>
    <row r="172" spans="1:14" ht="13.95" customHeight="1">
      <c r="A172" s="1"/>
      <c r="B172" s="1"/>
      <c r="C172" s="33" t="s">
        <v>196</v>
      </c>
      <c r="D172" s="1"/>
      <c r="E172" s="3"/>
      <c r="F172" s="3"/>
      <c r="G172" s="5"/>
      <c r="I172" s="3"/>
      <c r="J172" s="3"/>
      <c r="K172" s="3"/>
      <c r="L172" s="103"/>
      <c r="M172" s="108"/>
      <c r="N172" s="9"/>
    </row>
    <row r="173" spans="1:14" ht="13.95" customHeight="1">
      <c r="A173" s="1"/>
      <c r="B173" s="1"/>
      <c r="C173" s="33"/>
      <c r="D173" s="1"/>
      <c r="E173" s="3"/>
      <c r="F173" s="3"/>
      <c r="G173" s="5"/>
      <c r="I173" s="3"/>
      <c r="J173" s="3"/>
      <c r="K173" s="3"/>
      <c r="L173" s="103"/>
      <c r="M173" s="108"/>
      <c r="N173" s="9"/>
    </row>
    <row r="174" spans="1:14" ht="13.95" customHeight="1">
      <c r="A174" s="1">
        <f>A170+1</f>
        <v>29</v>
      </c>
      <c r="B174" s="1"/>
      <c r="C174" s="33" t="s">
        <v>29</v>
      </c>
      <c r="D174" s="1" t="s">
        <v>60</v>
      </c>
      <c r="E174" s="3">
        <f>SUM(I174:N174)</f>
        <v>735</v>
      </c>
      <c r="F174" s="3">
        <v>75</v>
      </c>
      <c r="G174" s="5">
        <f t="shared" ref="G174" si="38">+E174*F174</f>
        <v>55125</v>
      </c>
      <c r="I174" s="3">
        <v>735</v>
      </c>
      <c r="J174" s="3"/>
      <c r="K174" s="3"/>
      <c r="L174" s="103"/>
      <c r="M174" s="108"/>
      <c r="N174" s="9"/>
    </row>
    <row r="175" spans="1:14" ht="13.95" customHeight="1">
      <c r="A175" s="1"/>
      <c r="B175" s="1"/>
      <c r="C175" s="33"/>
      <c r="D175" s="1"/>
      <c r="E175" s="3"/>
      <c r="F175" s="4"/>
      <c r="G175" s="5"/>
      <c r="I175" s="3"/>
      <c r="J175" s="3"/>
      <c r="K175" s="3"/>
      <c r="L175" s="103"/>
      <c r="M175" s="108"/>
      <c r="N175" s="9"/>
    </row>
    <row r="176" spans="1:14" ht="13.95" customHeight="1">
      <c r="A176" s="1"/>
      <c r="B176" s="1" t="s">
        <v>97</v>
      </c>
      <c r="C176" s="34" t="s">
        <v>20</v>
      </c>
      <c r="D176" s="1"/>
      <c r="E176" s="3"/>
      <c r="F176" s="4"/>
      <c r="G176" s="5"/>
      <c r="I176" s="3"/>
      <c r="J176" s="3"/>
      <c r="K176" s="3"/>
      <c r="L176" s="103"/>
      <c r="M176" s="108"/>
      <c r="N176" s="9"/>
    </row>
    <row r="177" spans="1:14" ht="13.95" customHeight="1">
      <c r="A177" s="1"/>
      <c r="B177" s="1"/>
      <c r="C177" s="34"/>
      <c r="D177" s="1"/>
      <c r="E177" s="3"/>
      <c r="F177" s="4"/>
      <c r="G177" s="5"/>
      <c r="I177" s="3"/>
      <c r="J177" s="3"/>
      <c r="K177" s="3"/>
      <c r="L177" s="103"/>
      <c r="M177" s="108"/>
      <c r="N177" s="9"/>
    </row>
    <row r="178" spans="1:14" ht="13.95" customHeight="1">
      <c r="A178" s="1"/>
      <c r="B178" s="1"/>
      <c r="C178" s="32" t="s">
        <v>213</v>
      </c>
      <c r="D178" s="1"/>
      <c r="E178" s="3"/>
      <c r="F178" s="4"/>
      <c r="G178" s="5"/>
      <c r="I178" s="3"/>
      <c r="J178" s="3"/>
      <c r="K178" s="3"/>
      <c r="L178" s="103"/>
      <c r="M178" s="108"/>
      <c r="N178" s="9"/>
    </row>
    <row r="179" spans="1:14" ht="13.95" customHeight="1">
      <c r="A179" s="1"/>
      <c r="B179" s="1"/>
      <c r="C179" s="34"/>
      <c r="D179" s="1"/>
      <c r="E179" s="3"/>
      <c r="F179" s="4"/>
      <c r="G179" s="5"/>
      <c r="I179" s="3"/>
      <c r="J179" s="3"/>
      <c r="K179" s="3"/>
      <c r="L179" s="103"/>
      <c r="M179" s="108"/>
      <c r="N179" s="9"/>
    </row>
    <row r="180" spans="1:14" ht="27" customHeight="1">
      <c r="A180" s="1">
        <f>A174+1</f>
        <v>30</v>
      </c>
      <c r="B180" s="1"/>
      <c r="C180" s="33" t="s">
        <v>237</v>
      </c>
      <c r="D180" s="1" t="s">
        <v>1</v>
      </c>
      <c r="E180" s="3">
        <f>SUM(I180:N180)</f>
        <v>0</v>
      </c>
      <c r="F180" s="3">
        <v>375</v>
      </c>
      <c r="G180" s="5">
        <f t="shared" ref="G180" si="39">+E180*F180</f>
        <v>0</v>
      </c>
      <c r="I180" s="3"/>
      <c r="J180" s="3"/>
      <c r="K180" s="3"/>
      <c r="L180" s="103"/>
      <c r="M180" s="108"/>
      <c r="N180" s="9"/>
    </row>
    <row r="181" spans="1:14" ht="13.95" customHeight="1">
      <c r="A181" s="1"/>
      <c r="B181" s="1"/>
      <c r="C181" s="33"/>
      <c r="D181" s="1"/>
      <c r="E181" s="3"/>
      <c r="F181" s="3"/>
      <c r="G181" s="5"/>
      <c r="I181" s="3"/>
      <c r="J181" s="3"/>
      <c r="K181" s="3"/>
      <c r="L181" s="103"/>
      <c r="M181" s="108"/>
      <c r="N181" s="9"/>
    </row>
    <row r="182" spans="1:14" ht="24.6" customHeight="1">
      <c r="A182" s="1">
        <f>A180+1</f>
        <v>31</v>
      </c>
      <c r="B182" s="1"/>
      <c r="C182" s="33" t="s">
        <v>285</v>
      </c>
      <c r="D182" s="1" t="s">
        <v>1</v>
      </c>
      <c r="E182" s="3">
        <f>SUM(I182:N182)</f>
        <v>121</v>
      </c>
      <c r="F182" s="3">
        <v>355</v>
      </c>
      <c r="G182" s="5">
        <f t="shared" ref="G182" si="40">+E182*F182</f>
        <v>42955</v>
      </c>
      <c r="I182" s="3">
        <v>121</v>
      </c>
      <c r="J182" s="3"/>
      <c r="K182" s="3"/>
      <c r="L182" s="104"/>
      <c r="M182" s="108"/>
      <c r="N182" s="9"/>
    </row>
    <row r="183" spans="1:14" ht="13.95" customHeight="1">
      <c r="A183" s="1"/>
      <c r="B183" s="1"/>
      <c r="C183" s="33"/>
      <c r="D183" s="1"/>
      <c r="E183" s="3"/>
      <c r="F183" s="3"/>
      <c r="G183" s="5"/>
      <c r="I183" s="3"/>
      <c r="J183" s="3"/>
      <c r="K183" s="3"/>
      <c r="L183" s="103"/>
      <c r="M183" s="108"/>
      <c r="N183" s="9"/>
    </row>
    <row r="184" spans="1:14" ht="23.4" customHeight="1">
      <c r="A184" s="1">
        <f>A182+1</f>
        <v>32</v>
      </c>
      <c r="B184" s="1"/>
      <c r="C184" s="33" t="s">
        <v>243</v>
      </c>
      <c r="D184" s="1" t="s">
        <v>1</v>
      </c>
      <c r="E184" s="3">
        <f>SUM(I184:N184)</f>
        <v>154</v>
      </c>
      <c r="F184" s="3">
        <v>195</v>
      </c>
      <c r="G184" s="5">
        <f t="shared" ref="G184" si="41">+E184*F184</f>
        <v>30030</v>
      </c>
      <c r="I184" s="3">
        <v>154</v>
      </c>
      <c r="J184" s="3"/>
      <c r="K184" s="3"/>
      <c r="L184" s="103"/>
      <c r="M184" s="108"/>
      <c r="N184" s="9"/>
    </row>
    <row r="185" spans="1:14" ht="13.95" customHeight="1">
      <c r="A185" s="1"/>
      <c r="B185" s="1"/>
      <c r="C185" s="33"/>
      <c r="D185" s="1"/>
      <c r="E185" s="3"/>
      <c r="F185" s="3"/>
      <c r="G185" s="5"/>
      <c r="I185" s="3"/>
      <c r="J185" s="3"/>
      <c r="K185" s="3"/>
      <c r="L185" s="103"/>
      <c r="M185" s="108"/>
      <c r="N185" s="9"/>
    </row>
    <row r="186" spans="1:14" ht="13.95" customHeight="1">
      <c r="A186" s="1"/>
      <c r="B186" s="1"/>
      <c r="C186" s="33" t="s">
        <v>239</v>
      </c>
      <c r="D186" s="1" t="s">
        <v>1</v>
      </c>
      <c r="E186" s="3">
        <f>SUM(I186:N186)</f>
        <v>139</v>
      </c>
      <c r="F186" s="3">
        <v>155</v>
      </c>
      <c r="G186" s="5">
        <f t="shared" ref="G186" si="42">+E186*F186</f>
        <v>21545</v>
      </c>
      <c r="I186" s="3">
        <v>139</v>
      </c>
      <c r="J186" s="3"/>
      <c r="K186" s="3"/>
      <c r="L186" s="103"/>
      <c r="M186" s="108"/>
      <c r="N186" s="9"/>
    </row>
    <row r="187" spans="1:14" ht="13.95" customHeight="1">
      <c r="A187" s="1"/>
      <c r="B187" s="1"/>
      <c r="C187" s="33"/>
      <c r="D187" s="1"/>
      <c r="E187" s="3"/>
      <c r="F187" s="4"/>
      <c r="G187" s="5"/>
      <c r="I187" s="3"/>
      <c r="J187" s="3"/>
      <c r="K187" s="3"/>
      <c r="L187" s="103"/>
      <c r="M187" s="108"/>
      <c r="N187" s="9"/>
    </row>
    <row r="188" spans="1:14" ht="13.95" customHeight="1">
      <c r="A188" s="1"/>
      <c r="B188" s="1"/>
      <c r="C188" s="32" t="s">
        <v>198</v>
      </c>
      <c r="D188" s="1"/>
      <c r="E188" s="3"/>
      <c r="F188" s="4"/>
      <c r="G188" s="5"/>
      <c r="I188" s="3"/>
      <c r="J188" s="3"/>
      <c r="K188" s="3"/>
      <c r="L188" s="103"/>
      <c r="M188" s="108"/>
      <c r="N188" s="9"/>
    </row>
    <row r="189" spans="1:14" ht="13.95" customHeight="1">
      <c r="A189" s="1"/>
      <c r="B189" s="1"/>
      <c r="C189" s="33"/>
      <c r="D189" s="1"/>
      <c r="E189" s="3"/>
      <c r="F189" s="4"/>
      <c r="G189" s="5"/>
      <c r="I189" s="3"/>
      <c r="J189" s="3"/>
      <c r="K189" s="3"/>
      <c r="L189" s="103"/>
      <c r="M189" s="108"/>
      <c r="N189" s="9"/>
    </row>
    <row r="190" spans="1:14" ht="13.95" customHeight="1">
      <c r="A190" s="1">
        <f>A184+1</f>
        <v>33</v>
      </c>
      <c r="B190" s="1"/>
      <c r="C190" s="33" t="s">
        <v>199</v>
      </c>
      <c r="D190" s="1" t="s">
        <v>1</v>
      </c>
      <c r="E190" s="3">
        <f>SUM(I190:N190)</f>
        <v>18</v>
      </c>
      <c r="F190" s="3">
        <f>F180</f>
        <v>375</v>
      </c>
      <c r="G190" s="5">
        <f t="shared" ref="G190" si="43">+E190*F190</f>
        <v>6750</v>
      </c>
      <c r="I190" s="3"/>
      <c r="J190" s="3">
        <v>18</v>
      </c>
      <c r="K190" s="3"/>
      <c r="L190" s="103"/>
      <c r="M190" s="108"/>
      <c r="N190" s="9"/>
    </row>
    <row r="191" spans="1:14" ht="13.95" customHeight="1">
      <c r="A191" s="1"/>
      <c r="B191" s="1"/>
      <c r="C191" s="33"/>
      <c r="D191" s="1"/>
      <c r="E191" s="3"/>
      <c r="F191" s="3"/>
      <c r="G191" s="5"/>
      <c r="I191" s="3"/>
      <c r="J191" s="3"/>
      <c r="K191" s="3"/>
      <c r="L191" s="103"/>
      <c r="M191" s="108"/>
      <c r="N191" s="9"/>
    </row>
    <row r="192" spans="1:14" ht="13.95" customHeight="1">
      <c r="A192" s="1">
        <f>A190+1</f>
        <v>34</v>
      </c>
      <c r="B192" s="1"/>
      <c r="C192" s="33" t="s">
        <v>200</v>
      </c>
      <c r="D192" s="1" t="s">
        <v>1</v>
      </c>
      <c r="E192" s="3">
        <f>SUM(I192:N192)</f>
        <v>14</v>
      </c>
      <c r="F192" s="3">
        <v>395</v>
      </c>
      <c r="G192" s="5">
        <f t="shared" ref="G192" si="44">+E192*F192</f>
        <v>5530</v>
      </c>
      <c r="I192" s="3"/>
      <c r="J192" s="3">
        <v>14</v>
      </c>
      <c r="K192" s="3"/>
      <c r="L192" s="103"/>
      <c r="M192" s="108"/>
      <c r="N192" s="9"/>
    </row>
    <row r="193" spans="1:14" ht="13.95" customHeight="1">
      <c r="A193" s="1"/>
      <c r="B193" s="1"/>
      <c r="C193" s="33"/>
      <c r="D193" s="1"/>
      <c r="E193" s="3"/>
      <c r="F193" s="3"/>
      <c r="G193" s="5"/>
      <c r="I193" s="3"/>
      <c r="J193" s="3"/>
      <c r="K193" s="3"/>
      <c r="L193" s="103"/>
      <c r="M193" s="108"/>
      <c r="N193" s="9"/>
    </row>
    <row r="194" spans="1:14" ht="13.95" customHeight="1">
      <c r="A194" s="1">
        <f>A192+1</f>
        <v>35</v>
      </c>
      <c r="B194" s="1"/>
      <c r="C194" s="33" t="s">
        <v>214</v>
      </c>
      <c r="D194" s="1" t="s">
        <v>1</v>
      </c>
      <c r="E194" s="3">
        <f>SUM(I194:N194)</f>
        <v>9</v>
      </c>
      <c r="F194" s="3">
        <v>395</v>
      </c>
      <c r="G194" s="5">
        <f t="shared" ref="G194" si="45">+E194*F194</f>
        <v>3555</v>
      </c>
      <c r="I194" s="3"/>
      <c r="J194" s="3">
        <v>9</v>
      </c>
      <c r="K194" s="3"/>
      <c r="L194" s="103"/>
      <c r="M194" s="108"/>
      <c r="N194" s="9"/>
    </row>
    <row r="195" spans="1:14" ht="13.95" customHeight="1">
      <c r="A195" s="1"/>
      <c r="B195" s="1"/>
      <c r="C195" s="33"/>
      <c r="D195" s="1"/>
      <c r="E195" s="3"/>
      <c r="F195" s="3"/>
      <c r="G195" s="5"/>
      <c r="I195" s="3"/>
      <c r="J195" s="3"/>
      <c r="K195" s="3"/>
      <c r="L195" s="103"/>
      <c r="M195" s="108"/>
      <c r="N195" s="9"/>
    </row>
    <row r="196" spans="1:14" ht="13.95" customHeight="1">
      <c r="A196" s="1"/>
      <c r="B196" s="1"/>
      <c r="C196" s="33"/>
      <c r="D196" s="1"/>
      <c r="E196" s="3"/>
      <c r="F196" s="4"/>
      <c r="G196" s="5"/>
      <c r="I196" s="3"/>
      <c r="J196" s="3"/>
      <c r="K196" s="3"/>
      <c r="L196" s="103"/>
      <c r="M196" s="108"/>
      <c r="N196" s="9"/>
    </row>
    <row r="197" spans="1:14" ht="13.95" customHeight="1">
      <c r="A197" s="1"/>
      <c r="B197" s="1"/>
      <c r="C197" s="33"/>
      <c r="D197" s="1"/>
      <c r="E197" s="3"/>
      <c r="F197" s="4"/>
      <c r="G197" s="5"/>
      <c r="I197" s="3"/>
      <c r="J197" s="3"/>
      <c r="K197" s="3"/>
      <c r="L197" s="103"/>
      <c r="M197" s="108"/>
      <c r="N197" s="9"/>
    </row>
    <row r="198" spans="1:14" ht="20.100000000000001" customHeight="1">
      <c r="A198" s="149" t="s">
        <v>66</v>
      </c>
      <c r="B198" s="150"/>
      <c r="C198" s="150"/>
      <c r="D198" s="150"/>
      <c r="E198" s="150"/>
      <c r="F198" s="151"/>
      <c r="G198" s="116">
        <f>SUM(G152:G197)</f>
        <v>1987752</v>
      </c>
      <c r="I198" s="9"/>
      <c r="J198" s="9"/>
      <c r="K198" s="9"/>
      <c r="L198" s="103"/>
      <c r="M198" s="108"/>
      <c r="N198" s="9"/>
    </row>
    <row r="199" spans="1:14" ht="13.95" customHeight="1">
      <c r="A199" s="39"/>
      <c r="B199" s="39"/>
      <c r="C199" s="39"/>
      <c r="D199" s="39"/>
      <c r="E199" s="39"/>
      <c r="F199" s="39"/>
      <c r="G199" s="113"/>
      <c r="I199" s="9"/>
      <c r="J199" s="9"/>
      <c r="K199" s="9"/>
      <c r="L199" s="103"/>
      <c r="M199" s="108"/>
      <c r="N199" s="9"/>
    </row>
    <row r="200" spans="1:14" ht="13.95" customHeight="1">
      <c r="A200" s="39"/>
      <c r="B200" s="39"/>
      <c r="C200" s="39"/>
      <c r="D200" s="39"/>
      <c r="E200" s="39"/>
      <c r="F200" s="39"/>
      <c r="G200" s="113"/>
      <c r="I200" s="9"/>
      <c r="J200" s="9"/>
      <c r="K200" s="9"/>
      <c r="L200" s="103"/>
      <c r="M200" s="108"/>
      <c r="N200" s="9"/>
    </row>
    <row r="201" spans="1:14" ht="22.2" customHeight="1">
      <c r="A201" s="44" t="s">
        <v>8</v>
      </c>
      <c r="B201" s="48" t="s">
        <v>9</v>
      </c>
      <c r="C201" s="44" t="s">
        <v>10</v>
      </c>
      <c r="D201" s="48" t="s">
        <v>11</v>
      </c>
      <c r="E201" s="48" t="s">
        <v>59</v>
      </c>
      <c r="F201" s="49" t="s">
        <v>12</v>
      </c>
      <c r="G201" s="111" t="s">
        <v>13</v>
      </c>
      <c r="I201" s="9"/>
      <c r="J201" s="9"/>
      <c r="K201" s="9"/>
      <c r="L201" s="103"/>
      <c r="M201" s="108"/>
      <c r="N201" s="9"/>
    </row>
    <row r="202" spans="1:14" ht="20.100000000000001" customHeight="1">
      <c r="A202" s="149" t="s">
        <v>67</v>
      </c>
      <c r="B202" s="150"/>
      <c r="C202" s="150"/>
      <c r="D202" s="150"/>
      <c r="E202" s="150"/>
      <c r="F202" s="151"/>
      <c r="G202" s="116">
        <f>+G198</f>
        <v>1987752</v>
      </c>
      <c r="I202" s="9"/>
      <c r="J202" s="9"/>
      <c r="K202" s="9"/>
      <c r="L202" s="103"/>
      <c r="M202" s="108"/>
      <c r="N202" s="9"/>
    </row>
    <row r="203" spans="1:14" ht="13.95" customHeight="1">
      <c r="A203" s="1"/>
      <c r="B203" s="1"/>
      <c r="C203" s="33"/>
      <c r="D203" s="1"/>
      <c r="E203" s="3"/>
      <c r="F203" s="4"/>
      <c r="G203" s="5"/>
      <c r="I203" s="3"/>
      <c r="J203" s="3"/>
      <c r="K203" s="3"/>
      <c r="L203" s="103"/>
      <c r="M203" s="108"/>
      <c r="N203" s="9"/>
    </row>
    <row r="204" spans="1:14" ht="13.95" customHeight="1">
      <c r="A204" s="9"/>
      <c r="B204" s="1" t="s">
        <v>98</v>
      </c>
      <c r="C204" s="34" t="s">
        <v>30</v>
      </c>
      <c r="D204" s="1"/>
      <c r="E204" s="3"/>
      <c r="F204" s="4"/>
      <c r="G204" s="5"/>
      <c r="I204" s="3"/>
      <c r="J204" s="3"/>
      <c r="K204" s="3"/>
      <c r="L204" s="103"/>
      <c r="M204" s="108"/>
      <c r="N204" s="9"/>
    </row>
    <row r="205" spans="1:14" ht="13.95" customHeight="1">
      <c r="A205" s="9"/>
      <c r="B205" s="1"/>
      <c r="C205" s="33"/>
      <c r="D205" s="1"/>
      <c r="E205" s="3"/>
      <c r="F205" s="4"/>
      <c r="G205" s="5"/>
      <c r="I205" s="3"/>
      <c r="J205" s="3"/>
      <c r="K205" s="3"/>
      <c r="L205" s="103"/>
      <c r="M205" s="108"/>
      <c r="N205" s="9"/>
    </row>
    <row r="206" spans="1:14" ht="13.95" customHeight="1">
      <c r="A206" s="9"/>
      <c r="B206" s="1"/>
      <c r="C206" s="33" t="s">
        <v>31</v>
      </c>
      <c r="D206" s="1"/>
      <c r="E206" s="3"/>
      <c r="F206" s="4"/>
      <c r="G206" s="5"/>
      <c r="I206" s="3"/>
      <c r="J206" s="3"/>
      <c r="K206" s="3"/>
      <c r="L206" s="103"/>
      <c r="M206" s="108"/>
      <c r="N206" s="9"/>
    </row>
    <row r="207" spans="1:14" ht="13.95" customHeight="1">
      <c r="A207" s="9"/>
      <c r="B207" s="1"/>
      <c r="C207" s="33"/>
      <c r="D207" s="1"/>
      <c r="E207" s="3"/>
      <c r="F207" s="4"/>
      <c r="G207" s="5"/>
      <c r="I207" s="3"/>
      <c r="J207" s="3"/>
      <c r="K207" s="3"/>
      <c r="L207" s="103"/>
      <c r="M207" s="108"/>
      <c r="N207" s="9"/>
    </row>
    <row r="208" spans="1:14" ht="13.95" customHeight="1">
      <c r="A208" s="9">
        <f>A194+1</f>
        <v>36</v>
      </c>
      <c r="B208" s="1"/>
      <c r="C208" s="33" t="s">
        <v>32</v>
      </c>
      <c r="D208" s="1" t="s">
        <v>51</v>
      </c>
      <c r="E208" s="3">
        <f>SUM(I208:N208)</f>
        <v>0</v>
      </c>
      <c r="F208" s="3">
        <v>35000</v>
      </c>
      <c r="G208" s="5">
        <f t="shared" ref="G208" si="46">+E208*F208</f>
        <v>0</v>
      </c>
      <c r="I208" s="4"/>
      <c r="J208" s="4"/>
      <c r="K208" s="4"/>
      <c r="L208" s="103"/>
      <c r="M208" s="108"/>
      <c r="N208" s="9"/>
    </row>
    <row r="209" spans="1:14" ht="13.95" customHeight="1">
      <c r="A209" s="9"/>
      <c r="B209" s="1"/>
      <c r="C209" s="33"/>
      <c r="D209" s="1"/>
      <c r="E209" s="4"/>
      <c r="F209" s="3"/>
      <c r="G209" s="5"/>
      <c r="I209" s="4"/>
      <c r="J209" s="4"/>
      <c r="K209" s="4"/>
      <c r="L209" s="103"/>
      <c r="M209" s="108"/>
      <c r="N209" s="9"/>
    </row>
    <row r="210" spans="1:14" ht="13.95" customHeight="1">
      <c r="A210" s="9"/>
      <c r="B210" s="1"/>
      <c r="C210" s="37" t="s">
        <v>40</v>
      </c>
      <c r="D210" s="1"/>
      <c r="E210" s="4"/>
      <c r="F210" s="3"/>
      <c r="G210" s="5"/>
      <c r="I210" s="4"/>
      <c r="J210" s="4"/>
      <c r="K210" s="4"/>
      <c r="L210" s="103"/>
      <c r="M210" s="108"/>
      <c r="N210" s="9"/>
    </row>
    <row r="211" spans="1:14" ht="13.95" customHeight="1">
      <c r="A211" s="9"/>
      <c r="B211" s="1"/>
      <c r="C211" s="33"/>
      <c r="D211" s="1"/>
      <c r="E211" s="4"/>
      <c r="F211" s="3"/>
      <c r="G211" s="5"/>
      <c r="I211" s="4"/>
      <c r="J211" s="4"/>
      <c r="K211" s="4"/>
      <c r="L211" s="103"/>
      <c r="M211" s="108"/>
      <c r="N211" s="9"/>
    </row>
    <row r="212" spans="1:14" ht="13.95" customHeight="1">
      <c r="A212" s="9">
        <f>A208+1</f>
        <v>37</v>
      </c>
      <c r="B212" s="1"/>
      <c r="C212" s="33" t="s">
        <v>32</v>
      </c>
      <c r="D212" s="1" t="s">
        <v>51</v>
      </c>
      <c r="E212" s="3">
        <f>SUM(I212:N212)</f>
        <v>0</v>
      </c>
      <c r="F212" s="3">
        <f>F208</f>
        <v>35000</v>
      </c>
      <c r="G212" s="5">
        <f t="shared" ref="G212" si="47">+E212*F212</f>
        <v>0</v>
      </c>
      <c r="I212" s="4"/>
      <c r="J212" s="4"/>
      <c r="K212" s="4"/>
      <c r="L212" s="103"/>
      <c r="M212" s="108"/>
      <c r="N212" s="9"/>
    </row>
    <row r="213" spans="1:14" ht="13.95" customHeight="1">
      <c r="A213" s="1"/>
      <c r="B213" s="1"/>
      <c r="C213" s="33"/>
      <c r="D213" s="1"/>
      <c r="E213" s="3"/>
      <c r="F213" s="4"/>
      <c r="G213" s="5"/>
      <c r="I213" s="3"/>
      <c r="J213" s="3"/>
      <c r="K213" s="3"/>
      <c r="L213" s="103"/>
      <c r="M213" s="108"/>
      <c r="N213" s="9"/>
    </row>
    <row r="214" spans="1:14" ht="24.6" customHeight="1">
      <c r="A214" s="9"/>
      <c r="B214" s="1" t="s">
        <v>99</v>
      </c>
      <c r="C214" s="34" t="s">
        <v>63</v>
      </c>
      <c r="D214" s="1"/>
      <c r="E214" s="3"/>
      <c r="F214" s="4"/>
      <c r="G214" s="5"/>
      <c r="I214" s="9"/>
      <c r="J214" s="9"/>
      <c r="K214" s="9"/>
      <c r="L214" s="103"/>
      <c r="M214" s="108"/>
      <c r="N214" s="9"/>
    </row>
    <row r="215" spans="1:14" ht="13.95" customHeight="1">
      <c r="A215" s="9"/>
      <c r="B215" s="1"/>
      <c r="C215" s="34"/>
      <c r="D215" s="1"/>
      <c r="E215" s="3"/>
      <c r="F215" s="4"/>
      <c r="G215" s="5"/>
      <c r="I215" s="9"/>
      <c r="J215" s="9"/>
      <c r="K215" s="9"/>
      <c r="L215" s="103"/>
      <c r="M215" s="108"/>
      <c r="N215" s="9"/>
    </row>
    <row r="216" spans="1:14" ht="22.95" customHeight="1">
      <c r="A216" s="9"/>
      <c r="B216" s="1"/>
      <c r="C216" s="34" t="s">
        <v>58</v>
      </c>
      <c r="D216" s="1"/>
      <c r="E216" s="3"/>
      <c r="F216" s="4"/>
      <c r="G216" s="5"/>
      <c r="I216" s="9"/>
      <c r="J216" s="9"/>
      <c r="K216" s="9"/>
      <c r="L216" s="103"/>
      <c r="M216" s="108"/>
      <c r="N216" s="9"/>
    </row>
    <row r="217" spans="1:14" ht="13.95" customHeight="1">
      <c r="A217" s="9"/>
      <c r="B217" s="1"/>
      <c r="C217" s="33"/>
      <c r="D217" s="1"/>
      <c r="E217" s="3"/>
      <c r="F217" s="4"/>
      <c r="G217" s="5"/>
      <c r="I217" s="9"/>
      <c r="J217" s="9"/>
      <c r="K217" s="9"/>
      <c r="L217" s="103"/>
      <c r="M217" s="108"/>
      <c r="N217" s="9"/>
    </row>
    <row r="218" spans="1:14" ht="46.2" customHeight="1">
      <c r="A218" s="9">
        <f>A212+1</f>
        <v>38</v>
      </c>
      <c r="B218" s="1"/>
      <c r="C218" s="33" t="s">
        <v>240</v>
      </c>
      <c r="D218" s="1" t="s">
        <v>6</v>
      </c>
      <c r="E218" s="3">
        <f>SUM(I218:N218)</f>
        <v>0</v>
      </c>
      <c r="F218" s="3">
        <v>275</v>
      </c>
      <c r="G218" s="5">
        <f t="shared" ref="G218" si="48">+E218*F218</f>
        <v>0</v>
      </c>
      <c r="I218" s="9"/>
      <c r="J218" s="9"/>
      <c r="K218" s="9"/>
      <c r="L218" s="103"/>
      <c r="M218" s="108"/>
      <c r="N218" s="9"/>
    </row>
    <row r="219" spans="1:14" ht="13.95" customHeight="1">
      <c r="A219" s="9"/>
      <c r="B219" s="1"/>
      <c r="C219" s="33"/>
      <c r="D219" s="1"/>
      <c r="E219" s="3"/>
      <c r="F219" s="3"/>
      <c r="G219" s="5"/>
      <c r="I219" s="9"/>
      <c r="J219" s="9"/>
      <c r="K219" s="9"/>
      <c r="L219" s="103"/>
      <c r="M219" s="108"/>
      <c r="N219" s="9"/>
    </row>
    <row r="220" spans="1:14" ht="48" customHeight="1">
      <c r="A220" s="9">
        <f>A218+1</f>
        <v>39</v>
      </c>
      <c r="B220" s="1"/>
      <c r="C220" s="33" t="s">
        <v>227</v>
      </c>
      <c r="D220" s="1" t="s">
        <v>6</v>
      </c>
      <c r="E220" s="3">
        <f>SUM(I220:N220)</f>
        <v>0</v>
      </c>
      <c r="F220" s="3">
        <v>975</v>
      </c>
      <c r="G220" s="5">
        <f t="shared" ref="G220" si="49">+E220*F220</f>
        <v>0</v>
      </c>
      <c r="I220" s="45"/>
      <c r="J220" s="45"/>
      <c r="K220" s="45"/>
      <c r="L220" s="103"/>
      <c r="M220" s="108"/>
      <c r="N220" s="9"/>
    </row>
    <row r="221" spans="1:14" ht="12.6" customHeight="1">
      <c r="A221" s="9"/>
      <c r="B221" s="1"/>
      <c r="C221" s="33"/>
      <c r="D221" s="1"/>
      <c r="E221" s="3"/>
      <c r="F221" s="4"/>
      <c r="G221" s="5"/>
      <c r="I221" s="9"/>
      <c r="J221" s="9"/>
      <c r="K221" s="9"/>
      <c r="L221" s="103"/>
      <c r="M221" s="108"/>
      <c r="N221" s="9"/>
    </row>
    <row r="222" spans="1:14" ht="13.95" customHeight="1">
      <c r="A222" s="1"/>
      <c r="B222" s="1" t="s">
        <v>103</v>
      </c>
      <c r="C222" s="34" t="s">
        <v>7</v>
      </c>
      <c r="D222" s="1"/>
      <c r="E222" s="3"/>
      <c r="F222" s="4"/>
      <c r="G222" s="5"/>
      <c r="I222" s="9"/>
      <c r="J222" s="9"/>
      <c r="K222" s="9"/>
      <c r="L222" s="103"/>
      <c r="M222" s="108"/>
      <c r="N222" s="9"/>
    </row>
    <row r="223" spans="1:14" ht="13.95" customHeight="1">
      <c r="A223" s="1"/>
      <c r="B223" s="1"/>
      <c r="C223" s="33"/>
      <c r="D223" s="1"/>
      <c r="E223" s="3"/>
      <c r="F223" s="4"/>
      <c r="G223" s="5"/>
      <c r="I223" s="9"/>
      <c r="J223" s="9"/>
      <c r="K223" s="9"/>
      <c r="L223" s="103"/>
      <c r="M223" s="108"/>
      <c r="N223" s="9"/>
    </row>
    <row r="224" spans="1:14" ht="13.95" customHeight="1">
      <c r="A224" s="1"/>
      <c r="B224" s="1"/>
      <c r="C224" s="33" t="s">
        <v>68</v>
      </c>
      <c r="D224" s="1"/>
      <c r="E224" s="3"/>
      <c r="F224" s="4"/>
      <c r="G224" s="5"/>
      <c r="I224" s="9"/>
      <c r="J224" s="9"/>
      <c r="K224" s="9"/>
      <c r="L224" s="103"/>
      <c r="M224" s="108"/>
      <c r="N224" s="9"/>
    </row>
    <row r="225" spans="1:14" ht="13.95" customHeight="1">
      <c r="A225" s="1"/>
      <c r="B225" s="1"/>
      <c r="C225" s="33"/>
      <c r="D225" s="1"/>
      <c r="E225" s="3"/>
      <c r="F225" s="4"/>
      <c r="G225" s="5"/>
      <c r="I225" s="9"/>
      <c r="J225" s="9"/>
      <c r="K225" s="9"/>
      <c r="L225" s="103"/>
      <c r="M225" s="108"/>
      <c r="N225" s="9"/>
    </row>
    <row r="226" spans="1:14" ht="22.95" customHeight="1">
      <c r="A226" s="1">
        <f>A220+1</f>
        <v>40</v>
      </c>
      <c r="B226" s="1"/>
      <c r="C226" s="33" t="s">
        <v>197</v>
      </c>
      <c r="D226" s="1" t="s">
        <v>60</v>
      </c>
      <c r="E226" s="3">
        <f>SUM(I226:N226)</f>
        <v>735</v>
      </c>
      <c r="F226" s="13">
        <v>165</v>
      </c>
      <c r="G226" s="5">
        <f t="shared" ref="G226" si="50">+E226*F226</f>
        <v>121275</v>
      </c>
      <c r="I226" s="9">
        <v>735</v>
      </c>
      <c r="J226" s="9"/>
      <c r="K226" s="9"/>
      <c r="L226" s="103"/>
      <c r="M226" s="108"/>
      <c r="N226" s="9"/>
    </row>
    <row r="227" spans="1:14" ht="13.95" customHeight="1">
      <c r="A227" s="1"/>
      <c r="B227" s="1"/>
      <c r="C227" s="33"/>
      <c r="D227" s="35"/>
      <c r="E227" s="3"/>
      <c r="F227" s="4"/>
      <c r="G227" s="5"/>
      <c r="I227" s="9"/>
      <c r="J227" s="9"/>
      <c r="K227" s="9"/>
      <c r="L227" s="103"/>
      <c r="M227" s="108"/>
      <c r="N227" s="9"/>
    </row>
    <row r="228" spans="1:14" ht="13.95" customHeight="1">
      <c r="A228" s="1"/>
      <c r="B228" s="1"/>
      <c r="C228" s="46" t="s">
        <v>231</v>
      </c>
      <c r="D228" s="1"/>
      <c r="E228" s="3"/>
      <c r="F228" s="4"/>
      <c r="G228" s="5"/>
      <c r="I228" s="9"/>
      <c r="J228" s="9"/>
      <c r="K228" s="9"/>
      <c r="L228" s="103"/>
      <c r="M228" s="108"/>
      <c r="N228" s="9"/>
    </row>
    <row r="229" spans="1:14" ht="13.95" customHeight="1">
      <c r="A229" s="1"/>
      <c r="B229" s="1"/>
      <c r="C229" s="47"/>
      <c r="D229" s="35"/>
      <c r="E229" s="3"/>
      <c r="F229" s="4"/>
      <c r="G229" s="5"/>
      <c r="I229" s="9"/>
      <c r="J229" s="9"/>
      <c r="K229" s="9"/>
      <c r="L229" s="103"/>
      <c r="M229" s="108"/>
      <c r="N229" s="9"/>
    </row>
    <row r="230" spans="1:14" ht="48.6" customHeight="1">
      <c r="A230" s="1">
        <f>A226+1</f>
        <v>41</v>
      </c>
      <c r="B230" s="1"/>
      <c r="C230" s="55" t="s">
        <v>75</v>
      </c>
      <c r="D230" s="1" t="s">
        <v>51</v>
      </c>
      <c r="E230" s="3">
        <f>SUM(I230:N230)</f>
        <v>0</v>
      </c>
      <c r="F230" s="3">
        <v>1185</v>
      </c>
      <c r="G230" s="5">
        <f t="shared" ref="G230" si="51">+E230*F230</f>
        <v>0</v>
      </c>
      <c r="I230" s="9"/>
      <c r="J230" s="9"/>
      <c r="K230" s="9"/>
      <c r="L230" s="103"/>
      <c r="M230" s="108"/>
      <c r="N230" s="9"/>
    </row>
    <row r="231" spans="1:14">
      <c r="A231" s="1"/>
      <c r="B231" s="1"/>
      <c r="C231" s="55"/>
      <c r="D231" s="35"/>
      <c r="E231" s="3"/>
      <c r="F231" s="3"/>
      <c r="G231" s="5"/>
      <c r="I231" s="9"/>
      <c r="J231" s="9"/>
      <c r="K231" s="9"/>
      <c r="L231" s="103"/>
      <c r="M231" s="108"/>
      <c r="N231" s="9"/>
    </row>
    <row r="232" spans="1:14">
      <c r="A232" s="1"/>
      <c r="B232" s="1"/>
      <c r="C232" s="55"/>
      <c r="D232" s="35"/>
      <c r="E232" s="3"/>
      <c r="F232" s="3"/>
      <c r="G232" s="5"/>
      <c r="I232" s="9"/>
      <c r="J232" s="9"/>
      <c r="K232" s="9"/>
      <c r="L232" s="103"/>
      <c r="M232" s="108"/>
      <c r="N232" s="9"/>
    </row>
    <row r="233" spans="1:14">
      <c r="A233" s="1"/>
      <c r="B233" s="1"/>
      <c r="C233" s="55"/>
      <c r="D233" s="35"/>
      <c r="E233" s="3"/>
      <c r="F233" s="3"/>
      <c r="G233" s="5"/>
      <c r="I233" s="9"/>
      <c r="J233" s="9"/>
      <c r="K233" s="9"/>
      <c r="L233" s="103"/>
      <c r="M233" s="108"/>
      <c r="N233" s="9"/>
    </row>
    <row r="234" spans="1:14">
      <c r="A234" s="1"/>
      <c r="B234" s="1"/>
      <c r="C234" s="55"/>
      <c r="D234" s="35"/>
      <c r="E234" s="3"/>
      <c r="F234" s="3"/>
      <c r="G234" s="5"/>
      <c r="I234" s="9"/>
      <c r="J234" s="9"/>
      <c r="K234" s="9"/>
      <c r="L234" s="103"/>
      <c r="M234" s="108"/>
      <c r="N234" s="9"/>
    </row>
    <row r="235" spans="1:14">
      <c r="A235" s="1"/>
      <c r="B235" s="1"/>
      <c r="C235" s="55"/>
      <c r="D235" s="35"/>
      <c r="E235" s="3"/>
      <c r="F235" s="3"/>
      <c r="G235" s="5"/>
      <c r="I235" s="9"/>
      <c r="J235" s="9"/>
      <c r="K235" s="9"/>
      <c r="L235" s="103"/>
      <c r="M235" s="108"/>
      <c r="N235" s="9"/>
    </row>
    <row r="236" spans="1:14">
      <c r="A236" s="1"/>
      <c r="B236" s="1"/>
      <c r="C236" s="55"/>
      <c r="D236" s="35"/>
      <c r="E236" s="3"/>
      <c r="F236" s="3"/>
      <c r="G236" s="5"/>
      <c r="I236" s="9"/>
      <c r="J236" s="9"/>
      <c r="K236" s="9"/>
      <c r="L236" s="103"/>
      <c r="M236" s="108"/>
      <c r="N236" s="9"/>
    </row>
    <row r="237" spans="1:14" ht="13.95" customHeight="1">
      <c r="A237" s="1"/>
      <c r="B237" s="1"/>
      <c r="C237" s="55"/>
      <c r="D237" s="35"/>
      <c r="E237" s="3"/>
      <c r="F237" s="4"/>
      <c r="G237" s="5"/>
      <c r="I237" s="9"/>
      <c r="J237" s="9"/>
      <c r="K237" s="9"/>
      <c r="L237" s="103"/>
      <c r="M237" s="108"/>
      <c r="N237" s="9"/>
    </row>
    <row r="238" spans="1:14" ht="13.95" customHeight="1">
      <c r="A238" s="1"/>
      <c r="B238" s="1"/>
      <c r="C238" s="55"/>
      <c r="D238" s="35"/>
      <c r="E238" s="3"/>
      <c r="F238" s="4"/>
      <c r="G238" s="5"/>
      <c r="I238" s="9"/>
      <c r="J238" s="9"/>
      <c r="K238" s="9"/>
      <c r="L238" s="103"/>
      <c r="M238" s="108"/>
      <c r="N238" s="9"/>
    </row>
    <row r="239" spans="1:14" ht="13.95" customHeight="1">
      <c r="A239" s="1"/>
      <c r="B239" s="1"/>
      <c r="C239" s="55"/>
      <c r="D239" s="35"/>
      <c r="E239" s="3"/>
      <c r="F239" s="4"/>
      <c r="G239" s="5"/>
      <c r="I239" s="9"/>
      <c r="J239" s="9"/>
      <c r="K239" s="9"/>
      <c r="L239" s="103"/>
      <c r="M239" s="108"/>
      <c r="N239" s="9"/>
    </row>
    <row r="240" spans="1:14" ht="13.95" customHeight="1">
      <c r="A240" s="1"/>
      <c r="B240" s="1"/>
      <c r="C240" s="55"/>
      <c r="D240" s="35"/>
      <c r="E240" s="3"/>
      <c r="F240" s="4"/>
      <c r="G240" s="5"/>
      <c r="I240" s="9"/>
      <c r="J240" s="9"/>
      <c r="K240" s="9"/>
      <c r="L240" s="103"/>
      <c r="M240" s="108"/>
      <c r="N240" s="9"/>
    </row>
    <row r="241" spans="1:14" ht="13.95" customHeight="1">
      <c r="A241" s="1"/>
      <c r="B241" s="1"/>
      <c r="C241" s="55"/>
      <c r="D241" s="35"/>
      <c r="E241" s="3"/>
      <c r="F241" s="4"/>
      <c r="G241" s="5"/>
      <c r="I241" s="9"/>
      <c r="J241" s="9"/>
      <c r="K241" s="9"/>
      <c r="L241" s="103"/>
      <c r="M241" s="108"/>
      <c r="N241" s="9"/>
    </row>
    <row r="242" spans="1:14" ht="20.100000000000001" customHeight="1">
      <c r="A242" s="149" t="s">
        <v>66</v>
      </c>
      <c r="B242" s="150"/>
      <c r="C242" s="150"/>
      <c r="D242" s="150"/>
      <c r="E242" s="150"/>
      <c r="F242" s="151"/>
      <c r="G242" s="116">
        <f>SUM(G202:G241)</f>
        <v>2109027</v>
      </c>
      <c r="I242" s="9"/>
      <c r="J242" s="9"/>
      <c r="K242" s="9"/>
      <c r="L242" s="103"/>
      <c r="M242" s="108"/>
      <c r="N242" s="9"/>
    </row>
    <row r="243" spans="1:14" ht="13.95" customHeight="1">
      <c r="A243" s="39"/>
      <c r="B243" s="39"/>
      <c r="C243" s="39"/>
      <c r="D243" s="39"/>
      <c r="E243" s="39"/>
      <c r="F243" s="39"/>
      <c r="G243" s="113"/>
      <c r="I243" s="9"/>
      <c r="J243" s="9"/>
      <c r="K243" s="9"/>
      <c r="L243" s="103"/>
      <c r="M243" s="108"/>
      <c r="N243" s="9"/>
    </row>
    <row r="244" spans="1:14" ht="13.95" customHeight="1">
      <c r="A244" s="39"/>
      <c r="B244" s="39"/>
      <c r="C244" s="39"/>
      <c r="D244" s="39"/>
      <c r="E244" s="39"/>
      <c r="F244" s="39"/>
      <c r="G244" s="113"/>
      <c r="I244" s="9"/>
      <c r="J244" s="9"/>
      <c r="K244" s="9"/>
      <c r="L244" s="103"/>
      <c r="M244" s="108"/>
      <c r="N244" s="9"/>
    </row>
    <row r="245" spans="1:14" ht="22.2" customHeight="1">
      <c r="A245" s="44" t="s">
        <v>8</v>
      </c>
      <c r="B245" s="48" t="s">
        <v>9</v>
      </c>
      <c r="C245" s="44" t="s">
        <v>10</v>
      </c>
      <c r="D245" s="48" t="s">
        <v>11</v>
      </c>
      <c r="E245" s="48" t="s">
        <v>59</v>
      </c>
      <c r="F245" s="49" t="s">
        <v>12</v>
      </c>
      <c r="G245" s="111" t="s">
        <v>13</v>
      </c>
      <c r="I245" s="9"/>
      <c r="J245" s="9"/>
      <c r="K245" s="9"/>
      <c r="L245" s="103"/>
      <c r="M245" s="108"/>
      <c r="N245" s="9"/>
    </row>
    <row r="246" spans="1:14" ht="20.100000000000001" customHeight="1">
      <c r="A246" s="149" t="s">
        <v>67</v>
      </c>
      <c r="B246" s="150"/>
      <c r="C246" s="150"/>
      <c r="D246" s="150"/>
      <c r="E246" s="150"/>
      <c r="F246" s="151"/>
      <c r="G246" s="116">
        <f>+G242</f>
        <v>2109027</v>
      </c>
      <c r="I246" s="9"/>
      <c r="J246" s="9"/>
      <c r="K246" s="9"/>
      <c r="L246" s="103"/>
      <c r="M246" s="108"/>
      <c r="N246" s="9"/>
    </row>
    <row r="247" spans="1:14" ht="13.95" customHeight="1">
      <c r="A247" s="1"/>
      <c r="B247" s="1"/>
      <c r="C247" s="55"/>
      <c r="D247" s="35"/>
      <c r="E247" s="3"/>
      <c r="F247" s="4"/>
      <c r="G247" s="5"/>
      <c r="I247" s="9"/>
      <c r="J247" s="9"/>
      <c r="K247" s="9"/>
      <c r="L247" s="103"/>
      <c r="M247" s="108"/>
      <c r="N247" s="9"/>
    </row>
    <row r="248" spans="1:14" ht="13.95" customHeight="1">
      <c r="A248" s="1"/>
      <c r="B248" s="1"/>
      <c r="C248" s="56" t="s">
        <v>230</v>
      </c>
      <c r="D248" s="9"/>
      <c r="E248" s="9"/>
      <c r="F248" s="122"/>
      <c r="G248" s="5"/>
      <c r="I248" s="9"/>
      <c r="J248" s="9"/>
      <c r="K248" s="9"/>
      <c r="L248" s="103"/>
      <c r="M248" s="108"/>
      <c r="N248" s="9"/>
    </row>
    <row r="249" spans="1:14" ht="13.95" customHeight="1">
      <c r="A249" s="1"/>
      <c r="B249" s="1"/>
      <c r="C249" s="57"/>
      <c r="D249" s="9"/>
      <c r="E249" s="9"/>
      <c r="F249" s="122"/>
      <c r="G249" s="5"/>
      <c r="I249" s="9"/>
      <c r="J249" s="9"/>
      <c r="K249" s="9"/>
      <c r="L249" s="103"/>
      <c r="M249" s="108"/>
      <c r="N249" s="9"/>
    </row>
    <row r="250" spans="1:14" ht="48" customHeight="1">
      <c r="A250" s="1"/>
      <c r="B250" s="1"/>
      <c r="C250" s="33" t="s">
        <v>242</v>
      </c>
      <c r="D250" s="57"/>
      <c r="E250" s="57"/>
      <c r="F250" s="57"/>
      <c r="G250" s="5"/>
      <c r="I250" s="9"/>
      <c r="J250" s="9"/>
      <c r="K250" s="9"/>
      <c r="L250" s="103"/>
      <c r="M250" s="108"/>
      <c r="N250" s="9"/>
    </row>
    <row r="251" spans="1:14" ht="13.95" customHeight="1">
      <c r="A251" s="1"/>
      <c r="B251" s="1"/>
      <c r="C251" s="33"/>
      <c r="D251" s="9"/>
      <c r="E251" s="9"/>
      <c r="F251" s="122"/>
      <c r="G251" s="5"/>
      <c r="I251" s="9"/>
      <c r="J251" s="9"/>
      <c r="K251" s="9"/>
      <c r="L251" s="103"/>
      <c r="M251" s="108"/>
      <c r="N251" s="9"/>
    </row>
    <row r="252" spans="1:14" ht="25.95" customHeight="1">
      <c r="A252" s="1"/>
      <c r="B252" s="1"/>
      <c r="C252" s="33" t="s">
        <v>232</v>
      </c>
      <c r="D252" s="9"/>
      <c r="E252" s="9"/>
      <c r="F252" s="122"/>
      <c r="G252" s="5"/>
      <c r="I252" s="9"/>
      <c r="J252" s="9"/>
      <c r="K252" s="9"/>
      <c r="L252" s="103"/>
      <c r="M252" s="108"/>
      <c r="N252" s="9"/>
    </row>
    <row r="253" spans="1:14" ht="13.95" customHeight="1">
      <c r="A253" s="1"/>
      <c r="B253" s="1"/>
      <c r="C253" s="33"/>
      <c r="D253" s="9"/>
      <c r="E253" s="9"/>
      <c r="F253" s="122"/>
      <c r="G253" s="5"/>
      <c r="I253" s="9"/>
      <c r="J253" s="9"/>
      <c r="K253" s="9"/>
      <c r="L253" s="103"/>
      <c r="M253" s="108"/>
      <c r="N253" s="9"/>
    </row>
    <row r="254" spans="1:14" ht="38.4" customHeight="1">
      <c r="A254" s="1">
        <f>A230+1</f>
        <v>42</v>
      </c>
      <c r="B254" s="1"/>
      <c r="C254" s="33" t="s">
        <v>233</v>
      </c>
      <c r="D254" s="9" t="s">
        <v>1</v>
      </c>
      <c r="E254" s="3">
        <f>SUM(I254:N254)</f>
        <v>0</v>
      </c>
      <c r="F254" s="144">
        <v>775</v>
      </c>
      <c r="G254" s="5">
        <f t="shared" ref="G254" si="52">+E254*F254</f>
        <v>0</v>
      </c>
      <c r="I254" s="9"/>
      <c r="J254" s="9"/>
      <c r="K254" s="9"/>
      <c r="L254" s="103"/>
      <c r="M254" s="108"/>
      <c r="N254" s="9"/>
    </row>
    <row r="255" spans="1:14" ht="13.95" customHeight="1">
      <c r="A255" s="1"/>
      <c r="B255" s="1"/>
      <c r="C255" s="33"/>
      <c r="D255" s="9"/>
      <c r="E255" s="9"/>
      <c r="F255" s="144"/>
      <c r="G255" s="5"/>
      <c r="I255" s="9"/>
      <c r="J255" s="9"/>
      <c r="K255" s="9"/>
      <c r="L255" s="103"/>
      <c r="M255" s="108"/>
      <c r="N255" s="9"/>
    </row>
    <row r="256" spans="1:14" ht="25.95" customHeight="1">
      <c r="A256" s="1">
        <f>A254+1</f>
        <v>43</v>
      </c>
      <c r="B256" s="1"/>
      <c r="C256" s="33" t="s">
        <v>228</v>
      </c>
      <c r="D256" s="9" t="s">
        <v>6</v>
      </c>
      <c r="E256" s="3">
        <f>SUM(I256:N256)</f>
        <v>0</v>
      </c>
      <c r="F256" s="144">
        <v>275</v>
      </c>
      <c r="G256" s="5">
        <f t="shared" ref="G256" si="53">+E256*F256</f>
        <v>0</v>
      </c>
      <c r="I256" s="9"/>
      <c r="J256" s="9"/>
      <c r="K256" s="9"/>
      <c r="L256" s="103"/>
      <c r="M256" s="108"/>
      <c r="N256" s="9"/>
    </row>
    <row r="257" spans="1:14" ht="13.95" customHeight="1">
      <c r="A257" s="1"/>
      <c r="B257" s="1"/>
      <c r="C257" s="33"/>
      <c r="D257" s="9"/>
      <c r="E257" s="9"/>
      <c r="F257" s="144"/>
      <c r="G257" s="5"/>
      <c r="I257" s="9"/>
      <c r="J257" s="9"/>
      <c r="K257" s="9"/>
      <c r="L257" s="103"/>
      <c r="M257" s="108"/>
      <c r="N257" s="9"/>
    </row>
    <row r="258" spans="1:14" ht="13.95" customHeight="1">
      <c r="A258" s="1">
        <f>A256+1</f>
        <v>44</v>
      </c>
      <c r="B258" s="1"/>
      <c r="C258" s="33" t="s">
        <v>229</v>
      </c>
      <c r="D258" s="9" t="s">
        <v>6</v>
      </c>
      <c r="E258" s="3">
        <f>SUM(I258:N258)</f>
        <v>0</v>
      </c>
      <c r="F258" s="144">
        <v>650</v>
      </c>
      <c r="G258" s="5">
        <f t="shared" ref="G258" si="54">+E258*F258</f>
        <v>0</v>
      </c>
      <c r="I258" s="9"/>
      <c r="J258" s="9"/>
      <c r="K258" s="9"/>
      <c r="L258" s="103"/>
      <c r="M258" s="108"/>
      <c r="N258" s="9"/>
    </row>
    <row r="259" spans="1:14" ht="13.95" customHeight="1">
      <c r="A259" s="1"/>
      <c r="B259" s="1"/>
      <c r="C259" s="17"/>
      <c r="D259" s="35"/>
      <c r="E259" s="3"/>
      <c r="F259" s="14"/>
      <c r="G259" s="5"/>
      <c r="I259" s="9"/>
      <c r="J259" s="9"/>
      <c r="K259" s="9"/>
      <c r="L259" s="103"/>
      <c r="M259" s="108"/>
      <c r="N259" s="9"/>
    </row>
    <row r="260" spans="1:14">
      <c r="A260" s="16">
        <f>+A258+1</f>
        <v>45</v>
      </c>
      <c r="B260" s="16"/>
      <c r="C260" s="47" t="s">
        <v>241</v>
      </c>
      <c r="D260" s="58" t="s">
        <v>1</v>
      </c>
      <c r="E260" s="3">
        <f>SUM(I260:N260)</f>
        <v>0</v>
      </c>
      <c r="F260" s="13">
        <v>425</v>
      </c>
      <c r="G260" s="15">
        <f t="shared" ref="G260" si="55">+E260*F260</f>
        <v>0</v>
      </c>
      <c r="I260" s="9"/>
      <c r="J260" s="9"/>
      <c r="K260" s="9"/>
      <c r="L260" s="103"/>
      <c r="M260" s="108"/>
      <c r="N260" s="9"/>
    </row>
    <row r="261" spans="1:14" ht="13.95" customHeight="1">
      <c r="A261" s="1"/>
      <c r="B261" s="1"/>
      <c r="C261" s="17"/>
      <c r="D261" s="35"/>
      <c r="E261" s="3"/>
      <c r="F261" s="4"/>
      <c r="G261" s="5"/>
      <c r="I261" s="9"/>
      <c r="J261" s="9"/>
      <c r="K261" s="9"/>
      <c r="L261" s="103"/>
      <c r="M261" s="108"/>
      <c r="N261" s="9"/>
    </row>
    <row r="262" spans="1:14" ht="22.2" customHeight="1">
      <c r="A262" s="1"/>
      <c r="B262" s="51" t="s">
        <v>105</v>
      </c>
      <c r="C262" s="11" t="s">
        <v>204</v>
      </c>
      <c r="D262" s="40"/>
      <c r="E262" s="3"/>
      <c r="F262" s="4"/>
      <c r="G262" s="5"/>
      <c r="I262" s="9"/>
      <c r="J262" s="9"/>
      <c r="K262" s="9"/>
      <c r="L262" s="103"/>
      <c r="M262" s="108"/>
      <c r="N262" s="9"/>
    </row>
    <row r="263" spans="1:14" ht="13.95" customHeight="1">
      <c r="A263" s="1"/>
      <c r="B263" s="51"/>
      <c r="C263" s="6"/>
      <c r="D263" s="9"/>
      <c r="E263" s="3"/>
      <c r="F263" s="4"/>
      <c r="G263" s="5"/>
      <c r="I263" s="9"/>
      <c r="J263" s="9"/>
      <c r="K263" s="9"/>
      <c r="L263" s="103"/>
      <c r="M263" s="108"/>
      <c r="N263" s="9"/>
    </row>
    <row r="264" spans="1:14" ht="13.95" customHeight="1">
      <c r="A264" s="1"/>
      <c r="B264" s="51" t="s">
        <v>92</v>
      </c>
      <c r="C264" s="52" t="s">
        <v>205</v>
      </c>
      <c r="D264" s="9"/>
      <c r="E264" s="3"/>
      <c r="F264" s="4"/>
      <c r="G264" s="5"/>
      <c r="I264" s="9"/>
      <c r="J264" s="9"/>
      <c r="K264" s="9"/>
      <c r="L264" s="103"/>
      <c r="M264" s="108"/>
      <c r="N264" s="9"/>
    </row>
    <row r="265" spans="1:14" ht="13.95" customHeight="1">
      <c r="A265" s="1"/>
      <c r="B265" s="51"/>
      <c r="C265" s="6"/>
      <c r="D265" s="9"/>
      <c r="E265" s="3"/>
      <c r="F265" s="4"/>
      <c r="G265" s="5"/>
      <c r="I265" s="9"/>
      <c r="J265" s="9"/>
      <c r="K265" s="9"/>
      <c r="L265" s="103"/>
      <c r="M265" s="108"/>
      <c r="N265" s="9"/>
    </row>
    <row r="266" spans="1:14" ht="24" customHeight="1">
      <c r="A266" s="1"/>
      <c r="B266" s="51" t="s">
        <v>206</v>
      </c>
      <c r="C266" s="21" t="s">
        <v>207</v>
      </c>
      <c r="D266" s="9"/>
      <c r="E266" s="3"/>
      <c r="F266" s="4"/>
      <c r="G266" s="5"/>
      <c r="I266" s="9"/>
      <c r="J266" s="9"/>
      <c r="K266" s="9"/>
      <c r="L266" s="103"/>
      <c r="M266" s="108"/>
      <c r="N266" s="9"/>
    </row>
    <row r="267" spans="1:14" ht="13.95" customHeight="1">
      <c r="A267" s="1"/>
      <c r="B267" s="51"/>
      <c r="C267" s="6"/>
      <c r="D267" s="9"/>
      <c r="E267" s="3"/>
      <c r="F267" s="4"/>
      <c r="G267" s="5"/>
      <c r="I267" s="9"/>
      <c r="J267" s="9"/>
      <c r="K267" s="9"/>
      <c r="L267" s="103"/>
      <c r="M267" s="108"/>
      <c r="N267" s="9"/>
    </row>
    <row r="268" spans="1:14" ht="13.95" customHeight="1">
      <c r="A268" s="1">
        <f>A260+1</f>
        <v>46</v>
      </c>
      <c r="B268" s="51" t="s">
        <v>208</v>
      </c>
      <c r="C268" s="6" t="s">
        <v>21</v>
      </c>
      <c r="D268" s="9" t="s">
        <v>1</v>
      </c>
      <c r="E268" s="3">
        <f>SUM(I268:N268)</f>
        <v>0</v>
      </c>
      <c r="F268" s="13">
        <v>1950</v>
      </c>
      <c r="G268" s="5">
        <f t="shared" ref="G268" si="56">+E268*F268</f>
        <v>0</v>
      </c>
      <c r="I268" s="9"/>
      <c r="J268" s="9"/>
      <c r="K268" s="9"/>
      <c r="L268" s="103"/>
      <c r="M268" s="108"/>
      <c r="N268" s="9"/>
    </row>
    <row r="269" spans="1:14" ht="13.95" customHeight="1">
      <c r="A269" s="1"/>
      <c r="B269" s="51"/>
      <c r="C269" s="6"/>
      <c r="D269" s="9"/>
      <c r="E269" s="3"/>
      <c r="F269" s="13"/>
      <c r="G269" s="5"/>
      <c r="I269" s="9"/>
      <c r="J269" s="9"/>
      <c r="K269" s="9"/>
      <c r="L269" s="103"/>
      <c r="M269" s="108"/>
      <c r="N269" s="9"/>
    </row>
    <row r="270" spans="1:14" ht="12.6" customHeight="1">
      <c r="A270" s="1">
        <f>A268+1</f>
        <v>47</v>
      </c>
      <c r="B270" s="51" t="s">
        <v>209</v>
      </c>
      <c r="C270" s="18" t="s">
        <v>210</v>
      </c>
      <c r="D270" s="9" t="s">
        <v>6</v>
      </c>
      <c r="E270" s="3">
        <f>SUM(I270:N270)</f>
        <v>0</v>
      </c>
      <c r="F270" s="13">
        <v>350</v>
      </c>
      <c r="G270" s="5">
        <f t="shared" ref="G270" si="57">+E270*F270</f>
        <v>0</v>
      </c>
      <c r="I270" s="9"/>
      <c r="J270" s="9"/>
      <c r="K270" s="9"/>
      <c r="L270" s="103"/>
      <c r="M270" s="108"/>
      <c r="N270" s="9"/>
    </row>
    <row r="271" spans="1:14" ht="12.6" customHeight="1">
      <c r="A271" s="1"/>
      <c r="B271" s="1"/>
      <c r="C271" s="33"/>
      <c r="D271" s="35"/>
      <c r="E271" s="3"/>
      <c r="F271" s="13"/>
      <c r="G271" s="5"/>
      <c r="I271" s="9"/>
      <c r="J271" s="9"/>
      <c r="K271" s="9"/>
      <c r="L271" s="103"/>
      <c r="M271" s="108"/>
      <c r="N271" s="9"/>
    </row>
    <row r="272" spans="1:14" ht="12.6" customHeight="1">
      <c r="A272" s="1"/>
      <c r="B272" s="1"/>
      <c r="C272" s="123" t="s">
        <v>236</v>
      </c>
      <c r="D272" s="35"/>
      <c r="E272" s="3"/>
      <c r="F272" s="13"/>
      <c r="G272" s="5"/>
      <c r="I272" s="9"/>
      <c r="J272" s="9"/>
      <c r="K272" s="9"/>
      <c r="L272" s="103"/>
      <c r="M272" s="108"/>
      <c r="N272" s="9"/>
    </row>
    <row r="273" spans="1:14" ht="12.6" customHeight="1">
      <c r="A273" s="1"/>
      <c r="B273" s="1"/>
      <c r="C273" s="6"/>
      <c r="D273" s="35"/>
      <c r="E273" s="3"/>
      <c r="F273" s="13"/>
      <c r="G273" s="5"/>
      <c r="I273" s="9"/>
      <c r="J273" s="9"/>
      <c r="K273" s="9"/>
      <c r="L273" s="103"/>
      <c r="M273" s="108"/>
      <c r="N273" s="9"/>
    </row>
    <row r="274" spans="1:14" ht="12.6" customHeight="1">
      <c r="A274" s="1"/>
      <c r="B274" s="1"/>
      <c r="C274" s="124" t="s">
        <v>234</v>
      </c>
      <c r="D274" s="35"/>
      <c r="E274" s="3"/>
      <c r="F274" s="13"/>
      <c r="G274" s="5"/>
      <c r="I274" s="9"/>
      <c r="J274" s="9"/>
      <c r="K274" s="9"/>
      <c r="L274" s="103"/>
      <c r="M274" s="108"/>
      <c r="N274" s="9"/>
    </row>
    <row r="275" spans="1:14" ht="12.6" customHeight="1">
      <c r="A275" s="1"/>
      <c r="B275" s="1"/>
      <c r="C275" s="33"/>
      <c r="D275" s="35"/>
      <c r="E275" s="3"/>
      <c r="F275" s="13"/>
      <c r="G275" s="5"/>
      <c r="I275" s="9"/>
      <c r="J275" s="9"/>
      <c r="K275" s="9"/>
      <c r="L275" s="103"/>
      <c r="M275" s="108"/>
      <c r="N275" s="9"/>
    </row>
    <row r="276" spans="1:14" ht="38.4" customHeight="1">
      <c r="A276" s="1">
        <f>A270+1</f>
        <v>48</v>
      </c>
      <c r="B276" s="1"/>
      <c r="C276" s="125" t="s">
        <v>235</v>
      </c>
      <c r="D276" s="1" t="s">
        <v>60</v>
      </c>
      <c r="E276" s="3">
        <f>SUM(I276:N276)</f>
        <v>0</v>
      </c>
      <c r="F276" s="13">
        <v>3750</v>
      </c>
      <c r="G276" s="5">
        <f t="shared" ref="G276" si="58">+E276*F276</f>
        <v>0</v>
      </c>
      <c r="I276" s="9"/>
      <c r="J276" s="9"/>
      <c r="K276" s="9"/>
      <c r="L276" s="103"/>
      <c r="M276" s="108"/>
      <c r="N276" s="9"/>
    </row>
    <row r="277" spans="1:14" ht="12.6" customHeight="1">
      <c r="A277" s="1"/>
      <c r="B277" s="1"/>
      <c r="C277" s="33"/>
      <c r="D277" s="35"/>
      <c r="E277" s="3"/>
      <c r="F277" s="13"/>
      <c r="G277" s="5"/>
      <c r="I277" s="9"/>
      <c r="J277" s="9"/>
      <c r="K277" s="9"/>
      <c r="L277" s="103"/>
      <c r="M277" s="108"/>
      <c r="N277" s="9"/>
    </row>
    <row r="278" spans="1:14" ht="13.95" customHeight="1">
      <c r="A278" s="1"/>
      <c r="B278" s="1"/>
      <c r="C278" s="34" t="s">
        <v>212</v>
      </c>
      <c r="D278" s="1" t="s">
        <v>64</v>
      </c>
      <c r="E278" s="3"/>
      <c r="F278" s="14"/>
      <c r="G278" s="5"/>
      <c r="I278" s="9"/>
      <c r="J278" s="9"/>
      <c r="K278" s="9"/>
      <c r="L278" s="103"/>
      <c r="M278" s="108"/>
      <c r="N278" s="9"/>
    </row>
    <row r="279" spans="1:14" ht="13.95" customHeight="1">
      <c r="A279" s="1"/>
      <c r="B279" s="1"/>
      <c r="C279" s="33" t="s">
        <v>64</v>
      </c>
      <c r="D279" s="1" t="s">
        <v>64</v>
      </c>
      <c r="E279" s="3"/>
      <c r="F279" s="4"/>
      <c r="G279" s="5"/>
      <c r="I279" s="9"/>
      <c r="J279" s="9"/>
      <c r="K279" s="9"/>
      <c r="L279" s="103"/>
      <c r="M279" s="108"/>
      <c r="N279" s="9"/>
    </row>
    <row r="280" spans="1:14" ht="22.2" customHeight="1">
      <c r="A280" s="1">
        <f>A276+1</f>
        <v>49</v>
      </c>
      <c r="B280" s="1"/>
      <c r="C280" s="33" t="s">
        <v>217</v>
      </c>
      <c r="D280" s="1" t="s">
        <v>60</v>
      </c>
      <c r="E280" s="3">
        <f>SUM(I280:N280)</f>
        <v>883</v>
      </c>
      <c r="F280" s="3">
        <v>885</v>
      </c>
      <c r="G280" s="5">
        <f t="shared" ref="G280" si="59">+E280*F280</f>
        <v>781455</v>
      </c>
      <c r="I280" s="9">
        <v>735</v>
      </c>
      <c r="J280" s="9">
        <v>148</v>
      </c>
      <c r="K280" s="9"/>
      <c r="L280" s="103"/>
      <c r="M280" s="108"/>
      <c r="N280" s="9"/>
    </row>
    <row r="281" spans="1:14">
      <c r="A281" s="1"/>
      <c r="B281" s="1"/>
      <c r="C281" s="33"/>
      <c r="D281" s="35"/>
      <c r="E281" s="3"/>
      <c r="F281" s="3"/>
      <c r="G281" s="5"/>
      <c r="I281" s="9"/>
      <c r="J281" s="9"/>
      <c r="K281" s="9"/>
      <c r="L281" s="103"/>
      <c r="M281" s="108"/>
      <c r="N281" s="9"/>
    </row>
    <row r="282" spans="1:14" ht="13.95" customHeight="1">
      <c r="A282" s="1"/>
      <c r="B282" s="1"/>
      <c r="C282" s="33"/>
      <c r="D282" s="35"/>
      <c r="E282" s="3"/>
      <c r="F282" s="4"/>
      <c r="G282" s="5"/>
      <c r="I282" s="9"/>
      <c r="J282" s="9"/>
      <c r="K282" s="9"/>
      <c r="L282" s="103"/>
      <c r="M282" s="108"/>
      <c r="N282" s="9"/>
    </row>
    <row r="283" spans="1:14" ht="13.95" customHeight="1">
      <c r="A283" s="1"/>
      <c r="B283" s="1"/>
      <c r="C283" s="33"/>
      <c r="D283" s="35"/>
      <c r="E283" s="3"/>
      <c r="F283" s="4"/>
      <c r="G283" s="5"/>
      <c r="I283" s="9"/>
      <c r="J283" s="9"/>
      <c r="K283" s="9"/>
      <c r="L283" s="103"/>
      <c r="M283" s="108"/>
      <c r="N283" s="9"/>
    </row>
    <row r="284" spans="1:14" ht="13.95" customHeight="1">
      <c r="A284" s="1"/>
      <c r="B284" s="1"/>
      <c r="C284" s="33"/>
      <c r="D284" s="35"/>
      <c r="E284" s="3"/>
      <c r="F284" s="4"/>
      <c r="G284" s="5"/>
      <c r="I284" s="9"/>
      <c r="J284" s="9"/>
      <c r="K284" s="9"/>
      <c r="L284" s="103"/>
      <c r="M284" s="108"/>
      <c r="N284" s="9"/>
    </row>
    <row r="285" spans="1:14" ht="20.100000000000001" customHeight="1">
      <c r="A285" s="149" t="s">
        <v>66</v>
      </c>
      <c r="B285" s="150"/>
      <c r="C285" s="150"/>
      <c r="D285" s="150"/>
      <c r="E285" s="150"/>
      <c r="F285" s="151"/>
      <c r="G285" s="116">
        <f>SUM(G246:G284)</f>
        <v>2890482</v>
      </c>
      <c r="I285" s="9"/>
      <c r="J285" s="9"/>
      <c r="K285" s="9"/>
      <c r="L285" s="103"/>
      <c r="M285" s="108"/>
      <c r="N285" s="9"/>
    </row>
    <row r="286" spans="1:14" ht="13.95" customHeight="1">
      <c r="A286" s="39"/>
      <c r="B286" s="39"/>
      <c r="C286" s="39"/>
      <c r="D286" s="39"/>
      <c r="E286" s="39"/>
      <c r="F286" s="39"/>
      <c r="G286" s="113"/>
      <c r="I286" s="9"/>
      <c r="J286" s="9"/>
      <c r="K286" s="9"/>
      <c r="L286" s="103"/>
      <c r="M286" s="108"/>
      <c r="N286" s="9"/>
    </row>
    <row r="287" spans="1:14" ht="13.95" customHeight="1">
      <c r="A287" s="39"/>
      <c r="B287" s="39"/>
      <c r="C287" s="39"/>
      <c r="D287" s="39"/>
      <c r="E287" s="39"/>
      <c r="F287" s="39"/>
      <c r="G287" s="113"/>
      <c r="I287" s="9"/>
      <c r="J287" s="9"/>
      <c r="K287" s="9"/>
      <c r="L287" s="103"/>
      <c r="M287" s="108"/>
      <c r="N287" s="9"/>
    </row>
    <row r="288" spans="1:14" ht="22.2" customHeight="1">
      <c r="A288" s="44" t="s">
        <v>8</v>
      </c>
      <c r="B288" s="48" t="s">
        <v>9</v>
      </c>
      <c r="C288" s="44" t="s">
        <v>10</v>
      </c>
      <c r="D288" s="48" t="s">
        <v>11</v>
      </c>
      <c r="E288" s="48" t="s">
        <v>59</v>
      </c>
      <c r="F288" s="49" t="s">
        <v>12</v>
      </c>
      <c r="G288" s="111" t="s">
        <v>13</v>
      </c>
      <c r="I288" s="9"/>
      <c r="J288" s="9"/>
      <c r="K288" s="9"/>
      <c r="L288" s="103"/>
      <c r="M288" s="108"/>
      <c r="N288" s="9"/>
    </row>
    <row r="289" spans="1:14" ht="20.100000000000001" customHeight="1">
      <c r="A289" s="149" t="s">
        <v>67</v>
      </c>
      <c r="B289" s="150"/>
      <c r="C289" s="150"/>
      <c r="D289" s="150"/>
      <c r="E289" s="150"/>
      <c r="F289" s="151"/>
      <c r="G289" s="116">
        <f>+G285</f>
        <v>2890482</v>
      </c>
      <c r="I289" s="9"/>
      <c r="J289" s="9"/>
      <c r="K289" s="9"/>
      <c r="L289" s="103"/>
      <c r="M289" s="108"/>
      <c r="N289" s="9"/>
    </row>
    <row r="290" spans="1:14" ht="13.95" customHeight="1">
      <c r="A290" s="1"/>
      <c r="B290" s="1"/>
      <c r="C290" s="33"/>
      <c r="D290" s="35"/>
      <c r="E290" s="3"/>
      <c r="F290" s="4"/>
      <c r="G290" s="5"/>
      <c r="I290" s="9"/>
      <c r="J290" s="9"/>
      <c r="K290" s="9"/>
      <c r="L290" s="103"/>
      <c r="M290" s="108"/>
      <c r="N290" s="9"/>
    </row>
    <row r="291" spans="1:14" ht="13.95" customHeight="1">
      <c r="A291" s="16"/>
      <c r="B291" s="76" t="s">
        <v>167</v>
      </c>
      <c r="C291" s="74" t="s">
        <v>168</v>
      </c>
      <c r="D291" s="93"/>
      <c r="E291" s="94"/>
      <c r="F291" s="14"/>
      <c r="G291" s="15"/>
      <c r="I291" s="9"/>
      <c r="J291" s="9"/>
      <c r="K291" s="9"/>
      <c r="L291" s="103"/>
      <c r="M291" s="108"/>
      <c r="N291" s="9"/>
    </row>
    <row r="292" spans="1:14" ht="13.95" customHeight="1">
      <c r="A292" s="16"/>
      <c r="B292" s="12"/>
      <c r="C292" s="75"/>
      <c r="D292" s="93"/>
      <c r="E292" s="94"/>
      <c r="F292" s="14"/>
      <c r="G292" s="15"/>
      <c r="I292" s="9"/>
      <c r="J292" s="9"/>
      <c r="K292" s="9"/>
      <c r="L292" s="103"/>
      <c r="M292" s="108"/>
      <c r="N292" s="9"/>
    </row>
    <row r="293" spans="1:14" ht="13.95" customHeight="1">
      <c r="A293" s="16"/>
      <c r="B293" s="12" t="s">
        <v>193</v>
      </c>
      <c r="C293" s="70" t="s">
        <v>164</v>
      </c>
      <c r="D293" s="12"/>
      <c r="E293" s="94"/>
      <c r="F293" s="14"/>
      <c r="G293" s="15"/>
      <c r="I293" s="9"/>
      <c r="J293" s="9"/>
      <c r="K293" s="9"/>
      <c r="L293" s="103"/>
      <c r="M293" s="108"/>
      <c r="N293" s="9"/>
    </row>
    <row r="294" spans="1:14" ht="13.95" customHeight="1">
      <c r="A294" s="16"/>
      <c r="B294" s="73"/>
      <c r="C294" s="62"/>
      <c r="D294" s="12"/>
      <c r="E294" s="94"/>
      <c r="F294" s="14"/>
      <c r="G294" s="15"/>
      <c r="I294" s="9"/>
      <c r="J294" s="9"/>
      <c r="K294" s="9"/>
      <c r="L294" s="103"/>
      <c r="M294" s="108"/>
      <c r="N294" s="9"/>
    </row>
    <row r="295" spans="1:14" ht="13.95" customHeight="1">
      <c r="A295" s="16">
        <v>50</v>
      </c>
      <c r="B295" s="73"/>
      <c r="C295" s="75" t="s">
        <v>112</v>
      </c>
      <c r="D295" s="12" t="s">
        <v>60</v>
      </c>
      <c r="E295" s="3">
        <f>SUM(I295:N295)</f>
        <v>0</v>
      </c>
      <c r="F295" s="13">
        <v>890</v>
      </c>
      <c r="G295" s="15">
        <f>+E295*F295</f>
        <v>0</v>
      </c>
      <c r="I295" s="9"/>
      <c r="J295" s="9"/>
      <c r="K295" s="9"/>
      <c r="L295" s="103"/>
      <c r="M295" s="108"/>
      <c r="N295" s="9"/>
    </row>
    <row r="296" spans="1:14" ht="13.95" customHeight="1">
      <c r="A296" s="16"/>
      <c r="B296" s="73"/>
      <c r="C296" s="62"/>
      <c r="D296" s="12"/>
      <c r="E296" s="94"/>
      <c r="F296" s="14"/>
      <c r="G296" s="15"/>
      <c r="I296" s="9"/>
      <c r="J296" s="9"/>
      <c r="K296" s="9"/>
      <c r="L296" s="103"/>
      <c r="M296" s="108"/>
      <c r="N296" s="9"/>
    </row>
    <row r="297" spans="1:14" ht="13.95" customHeight="1">
      <c r="A297" s="16"/>
      <c r="B297" s="12" t="s">
        <v>195</v>
      </c>
      <c r="C297" s="70" t="s">
        <v>194</v>
      </c>
      <c r="D297" s="12"/>
      <c r="E297" s="94"/>
      <c r="F297" s="14"/>
      <c r="G297" s="15"/>
      <c r="I297" s="9"/>
      <c r="J297" s="9"/>
      <c r="K297" s="9"/>
      <c r="L297" s="103"/>
      <c r="M297" s="108"/>
      <c r="N297" s="9"/>
    </row>
    <row r="298" spans="1:14" ht="13.95" customHeight="1">
      <c r="A298" s="16"/>
      <c r="B298" s="73"/>
      <c r="C298" s="62"/>
      <c r="D298" s="12"/>
      <c r="E298" s="94"/>
      <c r="F298" s="14"/>
      <c r="G298" s="15"/>
      <c r="I298" s="9"/>
      <c r="J298" s="9"/>
      <c r="K298" s="9"/>
      <c r="L298" s="103"/>
      <c r="M298" s="108"/>
      <c r="N298" s="9"/>
    </row>
    <row r="299" spans="1:14" ht="13.95" customHeight="1">
      <c r="A299" s="16">
        <v>51</v>
      </c>
      <c r="B299" s="73"/>
      <c r="C299" s="75" t="s">
        <v>165</v>
      </c>
      <c r="D299" s="12" t="s">
        <v>60</v>
      </c>
      <c r="E299" s="3">
        <f>SUM(I299:N299)</f>
        <v>0</v>
      </c>
      <c r="F299" s="14">
        <v>325</v>
      </c>
      <c r="G299" s="15">
        <f t="shared" ref="G299" si="60">+E299*F299</f>
        <v>0</v>
      </c>
      <c r="I299" s="9"/>
      <c r="J299" s="9"/>
      <c r="K299" s="9"/>
      <c r="L299" s="103"/>
      <c r="M299" s="108"/>
      <c r="N299" s="9"/>
    </row>
    <row r="300" spans="1:14" ht="13.95" customHeight="1">
      <c r="A300" s="16"/>
      <c r="B300" s="12"/>
      <c r="C300" s="75"/>
      <c r="D300" s="93"/>
      <c r="E300" s="94"/>
      <c r="F300" s="14"/>
      <c r="G300" s="15"/>
      <c r="I300" s="9"/>
      <c r="J300" s="9"/>
      <c r="K300" s="9"/>
      <c r="L300" s="103"/>
      <c r="M300" s="108"/>
      <c r="N300" s="9"/>
    </row>
    <row r="301" spans="1:14" ht="24">
      <c r="A301" s="16"/>
      <c r="B301" s="76" t="s">
        <v>169</v>
      </c>
      <c r="C301" s="46" t="s">
        <v>216</v>
      </c>
      <c r="D301" s="12"/>
      <c r="E301" s="12"/>
      <c r="F301" s="145"/>
      <c r="G301" s="15"/>
      <c r="I301" s="9"/>
      <c r="J301" s="9"/>
      <c r="K301" s="9"/>
      <c r="L301" s="103"/>
      <c r="M301" s="108"/>
      <c r="N301" s="9"/>
    </row>
    <row r="302" spans="1:14" ht="13.95" customHeight="1">
      <c r="A302" s="16"/>
      <c r="B302" s="76"/>
      <c r="C302" s="75"/>
      <c r="D302" s="12"/>
      <c r="E302" s="12"/>
      <c r="F302" s="145"/>
      <c r="G302" s="15"/>
      <c r="I302" s="9"/>
      <c r="J302" s="9"/>
      <c r="K302" s="9"/>
      <c r="L302" s="103"/>
      <c r="M302" s="108"/>
      <c r="N302" s="9"/>
    </row>
    <row r="303" spans="1:14" ht="13.95" customHeight="1">
      <c r="A303" s="16"/>
      <c r="B303" s="76" t="s">
        <v>169</v>
      </c>
      <c r="C303" s="75" t="s">
        <v>170</v>
      </c>
      <c r="D303" s="12"/>
      <c r="E303" s="12"/>
      <c r="F303" s="145"/>
      <c r="G303" s="15"/>
      <c r="I303" s="9"/>
      <c r="J303" s="9"/>
      <c r="K303" s="9"/>
      <c r="L303" s="103"/>
      <c r="M303" s="108"/>
      <c r="N303" s="9"/>
    </row>
    <row r="304" spans="1:14" ht="13.95" customHeight="1">
      <c r="A304" s="16"/>
      <c r="B304" s="76"/>
      <c r="C304" s="75"/>
      <c r="D304" s="12"/>
      <c r="E304" s="12"/>
      <c r="F304" s="145"/>
      <c r="G304" s="15"/>
      <c r="I304" s="9"/>
      <c r="J304" s="9"/>
      <c r="K304" s="9"/>
      <c r="L304" s="103"/>
      <c r="M304" s="108"/>
      <c r="N304" s="9"/>
    </row>
    <row r="305" spans="1:15" ht="13.95" customHeight="1">
      <c r="A305" s="16">
        <v>52</v>
      </c>
      <c r="B305" s="76" t="s">
        <v>171</v>
      </c>
      <c r="C305" s="75" t="s">
        <v>172</v>
      </c>
      <c r="D305" s="12" t="s">
        <v>60</v>
      </c>
      <c r="E305" s="3">
        <f>SUM(I305:N305)</f>
        <v>0</v>
      </c>
      <c r="F305" s="94">
        <v>275</v>
      </c>
      <c r="G305" s="15">
        <f t="shared" ref="G305:G313" si="61">+E305*F305</f>
        <v>0</v>
      </c>
      <c r="I305" s="9"/>
      <c r="J305" s="9"/>
      <c r="K305" s="9"/>
      <c r="L305" s="103"/>
      <c r="M305" s="108"/>
      <c r="N305" s="9"/>
    </row>
    <row r="306" spans="1:15" ht="13.95" customHeight="1">
      <c r="A306" s="16"/>
      <c r="B306" s="12"/>
      <c r="C306" s="75"/>
      <c r="D306" s="93"/>
      <c r="E306" s="94"/>
      <c r="F306" s="14"/>
      <c r="G306" s="15"/>
      <c r="I306" s="9"/>
      <c r="J306" s="9"/>
      <c r="K306" s="9"/>
      <c r="L306" s="103"/>
      <c r="M306" s="108"/>
      <c r="N306" s="9"/>
    </row>
    <row r="307" spans="1:15" ht="13.95" customHeight="1">
      <c r="A307" s="16"/>
      <c r="B307" s="12" t="s">
        <v>102</v>
      </c>
      <c r="C307" s="74" t="s">
        <v>166</v>
      </c>
      <c r="D307" s="12"/>
      <c r="E307" s="94"/>
      <c r="F307" s="14"/>
      <c r="G307" s="15"/>
      <c r="I307" s="9"/>
      <c r="J307" s="9"/>
      <c r="K307" s="9"/>
      <c r="L307" s="103"/>
      <c r="M307" s="108"/>
      <c r="N307" s="9"/>
    </row>
    <row r="308" spans="1:15" ht="13.95" customHeight="1">
      <c r="A308" s="16"/>
      <c r="B308" s="12"/>
      <c r="C308" s="95"/>
      <c r="D308" s="12"/>
      <c r="E308" s="94"/>
      <c r="F308" s="14"/>
      <c r="G308" s="15"/>
      <c r="I308" s="9"/>
      <c r="J308" s="9"/>
      <c r="K308" s="9"/>
      <c r="L308" s="103"/>
      <c r="M308" s="108"/>
      <c r="N308" s="9"/>
    </row>
    <row r="309" spans="1:15" ht="13.95" customHeight="1">
      <c r="A309" s="16"/>
      <c r="B309" s="12"/>
      <c r="C309" s="75" t="s">
        <v>78</v>
      </c>
      <c r="D309" s="12"/>
      <c r="E309" s="94"/>
      <c r="F309" s="14"/>
      <c r="G309" s="15"/>
      <c r="I309" s="103"/>
      <c r="J309" s="103"/>
      <c r="K309" s="103"/>
      <c r="L309" s="103"/>
      <c r="M309" s="134"/>
      <c r="N309" s="9"/>
    </row>
    <row r="310" spans="1:15" ht="13.95" customHeight="1">
      <c r="A310" s="16"/>
      <c r="B310" s="12"/>
      <c r="C310" s="75"/>
      <c r="D310" s="12"/>
      <c r="E310" s="94"/>
      <c r="F310" s="14"/>
      <c r="G310" s="15"/>
      <c r="I310" s="103"/>
      <c r="J310" s="103"/>
      <c r="K310" s="103"/>
      <c r="L310" s="103"/>
      <c r="M310" s="134"/>
      <c r="N310" s="9"/>
    </row>
    <row r="311" spans="1:15" ht="36">
      <c r="A311" s="16">
        <v>53</v>
      </c>
      <c r="B311" s="12"/>
      <c r="C311" s="47" t="s">
        <v>203</v>
      </c>
      <c r="D311" s="12" t="s">
        <v>6</v>
      </c>
      <c r="E311" s="3">
        <f>SUM(I311:N311)</f>
        <v>0</v>
      </c>
      <c r="F311" s="13">
        <v>16000</v>
      </c>
      <c r="G311" s="15">
        <f t="shared" si="61"/>
        <v>0</v>
      </c>
      <c r="I311" s="103"/>
      <c r="J311" s="103"/>
      <c r="K311" s="103"/>
      <c r="L311" s="103"/>
      <c r="M311" s="134"/>
      <c r="N311" s="103"/>
      <c r="O311" s="41"/>
    </row>
    <row r="312" spans="1:15" ht="13.95" customHeight="1">
      <c r="A312" s="16"/>
      <c r="B312" s="12"/>
      <c r="C312" s="75"/>
      <c r="D312" s="93"/>
      <c r="E312" s="94"/>
      <c r="F312" s="13"/>
      <c r="G312" s="15"/>
      <c r="I312" s="103"/>
      <c r="J312" s="103"/>
      <c r="K312" s="103"/>
      <c r="L312" s="103"/>
      <c r="M312" s="134"/>
      <c r="N312" s="103"/>
      <c r="O312" s="41"/>
    </row>
    <row r="313" spans="1:15" ht="36">
      <c r="A313" s="16">
        <v>54</v>
      </c>
      <c r="B313" s="12"/>
      <c r="C313" s="47" t="s">
        <v>286</v>
      </c>
      <c r="D313" s="12" t="s">
        <v>6</v>
      </c>
      <c r="E313" s="3">
        <f>SUM(I313:N313)</f>
        <v>0</v>
      </c>
      <c r="F313" s="13">
        <v>65000</v>
      </c>
      <c r="G313" s="15">
        <f t="shared" si="61"/>
        <v>0</v>
      </c>
      <c r="I313" s="103"/>
      <c r="J313" s="103"/>
      <c r="K313" s="103"/>
      <c r="L313" s="103"/>
      <c r="M313" s="134"/>
      <c r="N313" s="103"/>
      <c r="O313" s="41"/>
    </row>
    <row r="314" spans="1:15" ht="13.95" customHeight="1">
      <c r="A314" s="16"/>
      <c r="B314" s="12"/>
      <c r="C314" s="75"/>
      <c r="D314" s="93"/>
      <c r="E314" s="3"/>
      <c r="F314" s="13"/>
      <c r="G314" s="15"/>
      <c r="I314" s="103"/>
      <c r="J314" s="103"/>
      <c r="K314" s="103"/>
      <c r="L314" s="103"/>
      <c r="M314" s="134"/>
      <c r="N314" s="103"/>
      <c r="O314" s="41"/>
    </row>
    <row r="315" spans="1:15" ht="13.95" customHeight="1">
      <c r="A315" s="16"/>
      <c r="B315" s="12"/>
      <c r="C315" s="75"/>
      <c r="D315" s="93"/>
      <c r="E315" s="3"/>
      <c r="F315" s="13"/>
      <c r="G315" s="15"/>
      <c r="I315" s="103"/>
      <c r="J315" s="103"/>
      <c r="K315" s="103"/>
      <c r="L315" s="103"/>
      <c r="M315" s="134"/>
      <c r="N315" s="103"/>
      <c r="O315" s="41"/>
    </row>
    <row r="316" spans="1:15" ht="13.95" customHeight="1">
      <c r="A316" s="16"/>
      <c r="B316" s="12"/>
      <c r="C316" s="75"/>
      <c r="D316" s="93"/>
      <c r="E316" s="3"/>
      <c r="F316" s="13"/>
      <c r="G316" s="15"/>
      <c r="I316" s="103"/>
      <c r="J316" s="103"/>
      <c r="K316" s="103"/>
      <c r="L316" s="103"/>
      <c r="M316" s="134"/>
      <c r="N316" s="103"/>
      <c r="O316" s="41"/>
    </row>
    <row r="317" spans="1:15" ht="13.95" customHeight="1">
      <c r="A317" s="16"/>
      <c r="B317" s="12"/>
      <c r="C317" s="75"/>
      <c r="D317" s="93"/>
      <c r="E317" s="3"/>
      <c r="F317" s="13"/>
      <c r="G317" s="15"/>
      <c r="I317" s="103"/>
      <c r="J317" s="103"/>
      <c r="K317" s="103"/>
      <c r="L317" s="103"/>
      <c r="M317" s="134"/>
      <c r="N317" s="103"/>
      <c r="O317" s="41"/>
    </row>
    <row r="318" spans="1:15" ht="13.95" customHeight="1">
      <c r="A318" s="16"/>
      <c r="B318" s="12"/>
      <c r="C318" s="75"/>
      <c r="D318" s="93"/>
      <c r="E318" s="3"/>
      <c r="F318" s="13"/>
      <c r="G318" s="15"/>
      <c r="I318" s="103"/>
      <c r="J318" s="103"/>
      <c r="K318" s="103"/>
      <c r="L318" s="103"/>
      <c r="M318" s="134"/>
      <c r="N318" s="103"/>
      <c r="O318" s="41"/>
    </row>
    <row r="319" spans="1:15" ht="13.95" customHeight="1">
      <c r="A319" s="16"/>
      <c r="B319" s="12"/>
      <c r="C319" s="75"/>
      <c r="D319" s="93"/>
      <c r="E319" s="3"/>
      <c r="F319" s="13"/>
      <c r="G319" s="15"/>
      <c r="I319" s="103"/>
      <c r="J319" s="103"/>
      <c r="K319" s="103"/>
      <c r="L319" s="103"/>
      <c r="M319" s="134"/>
      <c r="N319" s="103"/>
      <c r="O319" s="41"/>
    </row>
    <row r="320" spans="1:15" ht="13.95" customHeight="1">
      <c r="A320" s="16"/>
      <c r="B320" s="12"/>
      <c r="C320" s="75"/>
      <c r="D320" s="93"/>
      <c r="E320" s="3"/>
      <c r="F320" s="13"/>
      <c r="G320" s="15"/>
      <c r="I320" s="103"/>
      <c r="J320" s="103"/>
      <c r="K320" s="103"/>
      <c r="L320" s="103"/>
      <c r="M320" s="134"/>
      <c r="N320" s="103"/>
      <c r="O320" s="41"/>
    </row>
    <row r="321" spans="1:15" ht="13.95" customHeight="1">
      <c r="A321" s="16"/>
      <c r="B321" s="12"/>
      <c r="C321" s="75"/>
      <c r="D321" s="93"/>
      <c r="E321" s="3"/>
      <c r="F321" s="13"/>
      <c r="G321" s="15"/>
      <c r="I321" s="103"/>
      <c r="J321" s="103"/>
      <c r="K321" s="103"/>
      <c r="L321" s="103"/>
      <c r="M321" s="134"/>
      <c r="N321" s="103"/>
      <c r="O321" s="41"/>
    </row>
    <row r="322" spans="1:15" ht="13.95" customHeight="1">
      <c r="A322" s="16"/>
      <c r="B322" s="12"/>
      <c r="C322" s="75"/>
      <c r="D322" s="93"/>
      <c r="E322" s="3"/>
      <c r="F322" s="13"/>
      <c r="G322" s="15"/>
      <c r="I322" s="103"/>
      <c r="J322" s="103"/>
      <c r="K322" s="103"/>
      <c r="L322" s="103"/>
      <c r="M322" s="134"/>
      <c r="N322" s="103"/>
      <c r="O322" s="41"/>
    </row>
    <row r="323" spans="1:15" ht="13.95" customHeight="1">
      <c r="A323" s="16"/>
      <c r="B323" s="12"/>
      <c r="C323" s="75"/>
      <c r="D323" s="93"/>
      <c r="E323" s="3"/>
      <c r="F323" s="13"/>
      <c r="G323" s="15"/>
      <c r="I323" s="103"/>
      <c r="J323" s="103"/>
      <c r="K323" s="103"/>
      <c r="L323" s="103"/>
      <c r="M323" s="134"/>
      <c r="N323" s="103"/>
      <c r="O323" s="41"/>
    </row>
    <row r="324" spans="1:15" ht="13.95" customHeight="1">
      <c r="A324" s="16"/>
      <c r="B324" s="12"/>
      <c r="C324" s="75"/>
      <c r="D324" s="93"/>
      <c r="E324" s="3"/>
      <c r="F324" s="13"/>
      <c r="G324" s="15"/>
      <c r="I324" s="103"/>
      <c r="J324" s="103"/>
      <c r="K324" s="103"/>
      <c r="L324" s="103"/>
      <c r="M324" s="134"/>
      <c r="N324" s="103"/>
      <c r="O324" s="41"/>
    </row>
    <row r="325" spans="1:15" ht="13.95" customHeight="1">
      <c r="A325" s="16"/>
      <c r="B325" s="12"/>
      <c r="C325" s="75"/>
      <c r="D325" s="93"/>
      <c r="E325" s="3"/>
      <c r="F325" s="13"/>
      <c r="G325" s="15"/>
      <c r="I325" s="103"/>
      <c r="J325" s="103"/>
      <c r="K325" s="103"/>
      <c r="L325" s="103"/>
      <c r="M325" s="134"/>
      <c r="N325" s="103"/>
      <c r="O325" s="41"/>
    </row>
    <row r="326" spans="1:15" ht="13.95" customHeight="1">
      <c r="A326" s="16"/>
      <c r="B326" s="12"/>
      <c r="C326" s="75"/>
      <c r="D326" s="93"/>
      <c r="E326" s="3"/>
      <c r="F326" s="13"/>
      <c r="G326" s="15"/>
      <c r="I326" s="103"/>
      <c r="J326" s="103"/>
      <c r="K326" s="103"/>
      <c r="L326" s="103"/>
      <c r="M326" s="134"/>
      <c r="N326" s="103"/>
      <c r="O326" s="41"/>
    </row>
    <row r="327" spans="1:15" ht="13.95" customHeight="1">
      <c r="A327" s="16"/>
      <c r="B327" s="12"/>
      <c r="C327" s="75"/>
      <c r="D327" s="93"/>
      <c r="E327" s="3"/>
      <c r="F327" s="13"/>
      <c r="G327" s="15"/>
      <c r="I327" s="103"/>
      <c r="J327" s="103"/>
      <c r="K327" s="103"/>
      <c r="L327" s="103"/>
      <c r="M327" s="134"/>
      <c r="N327" s="103"/>
      <c r="O327" s="41"/>
    </row>
    <row r="328" spans="1:15" ht="13.95" customHeight="1">
      <c r="A328" s="16"/>
      <c r="B328" s="12"/>
      <c r="C328" s="75"/>
      <c r="D328" s="93"/>
      <c r="E328" s="3"/>
      <c r="F328" s="13"/>
      <c r="G328" s="15"/>
      <c r="I328" s="103"/>
      <c r="J328" s="103"/>
      <c r="K328" s="103"/>
      <c r="L328" s="103"/>
      <c r="M328" s="134"/>
      <c r="N328" s="103"/>
      <c r="O328" s="41"/>
    </row>
    <row r="329" spans="1:15" ht="13.95" customHeight="1">
      <c r="A329" s="16"/>
      <c r="B329" s="12"/>
      <c r="C329" s="75"/>
      <c r="D329" s="93"/>
      <c r="E329" s="3"/>
      <c r="F329" s="13"/>
      <c r="G329" s="15"/>
      <c r="I329" s="103"/>
      <c r="J329" s="103"/>
      <c r="K329" s="103"/>
      <c r="L329" s="103"/>
      <c r="M329" s="134"/>
      <c r="N329" s="103"/>
      <c r="O329" s="41"/>
    </row>
    <row r="330" spans="1:15" ht="13.95" customHeight="1">
      <c r="A330" s="16"/>
      <c r="B330" s="12"/>
      <c r="C330" s="75"/>
      <c r="D330" s="93"/>
      <c r="E330" s="3"/>
      <c r="F330" s="13"/>
      <c r="G330" s="15"/>
      <c r="I330" s="103"/>
      <c r="J330" s="103"/>
      <c r="K330" s="103"/>
      <c r="L330" s="103"/>
      <c r="M330" s="134"/>
      <c r="N330" s="103"/>
      <c r="O330" s="41"/>
    </row>
    <row r="331" spans="1:15" ht="13.95" customHeight="1">
      <c r="A331" s="16"/>
      <c r="B331" s="16"/>
      <c r="C331" s="47"/>
      <c r="D331" s="58"/>
      <c r="E331" s="13"/>
      <c r="F331" s="14"/>
      <c r="G331" s="15"/>
      <c r="I331" s="105"/>
      <c r="J331" s="105"/>
      <c r="K331" s="105"/>
      <c r="L331" s="105"/>
      <c r="M331" s="135"/>
      <c r="N331" s="53"/>
      <c r="O331" s="41"/>
    </row>
    <row r="332" spans="1:15">
      <c r="A332" s="16"/>
      <c r="B332" s="16"/>
      <c r="C332" s="47"/>
      <c r="D332" s="58"/>
      <c r="E332" s="13"/>
      <c r="F332" s="14"/>
      <c r="G332" s="15"/>
    </row>
    <row r="333" spans="1:15">
      <c r="A333" s="16"/>
      <c r="B333" s="16"/>
      <c r="C333" s="47"/>
      <c r="D333" s="58"/>
      <c r="E333" s="13"/>
      <c r="F333" s="14"/>
      <c r="G333" s="15"/>
    </row>
    <row r="334" spans="1:15">
      <c r="A334" s="16"/>
      <c r="B334" s="16"/>
      <c r="C334" s="47"/>
      <c r="D334" s="58"/>
      <c r="E334" s="13"/>
      <c r="F334" s="14"/>
      <c r="G334" s="15"/>
    </row>
    <row r="335" spans="1:15" ht="20.399999999999999" customHeight="1">
      <c r="A335" s="156" t="s">
        <v>161</v>
      </c>
      <c r="B335" s="157"/>
      <c r="C335" s="157"/>
      <c r="D335" s="157"/>
      <c r="E335" s="157"/>
      <c r="F335" s="158"/>
      <c r="G335" s="78">
        <f>SUM(G289:G334)</f>
        <v>2890482</v>
      </c>
    </row>
  </sheetData>
  <mergeCells count="13">
    <mergeCell ref="A152:F152"/>
    <mergeCell ref="A48:F48"/>
    <mergeCell ref="A52:F52"/>
    <mergeCell ref="A96:F96"/>
    <mergeCell ref="A100:F100"/>
    <mergeCell ref="A148:F148"/>
    <mergeCell ref="A335:F335"/>
    <mergeCell ref="A198:F198"/>
    <mergeCell ref="A202:F202"/>
    <mergeCell ref="A242:F242"/>
    <mergeCell ref="A246:F246"/>
    <mergeCell ref="A285:F285"/>
    <mergeCell ref="A289:F289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E340E-B67A-415C-AA4B-483806B56CC3}">
  <dimension ref="A1:T332"/>
  <sheetViews>
    <sheetView showGridLines="0" view="pageBreakPreview" topLeftCell="A226" zoomScaleNormal="100" zoomScaleSheetLayoutView="100" workbookViewId="0">
      <selection activeCell="N178" sqref="N178"/>
    </sheetView>
  </sheetViews>
  <sheetFormatPr defaultColWidth="13.109375" defaultRowHeight="12"/>
  <cols>
    <col min="1" max="1" width="4.88671875" style="22" customWidth="1"/>
    <col min="2" max="2" width="8.33203125" style="20" customWidth="1"/>
    <col min="3" max="3" width="40.6640625" style="21" customWidth="1"/>
    <col min="4" max="4" width="5.109375" style="22" customWidth="1"/>
    <col min="5" max="5" width="7.6640625" style="22" customWidth="1"/>
    <col min="6" max="6" width="8.6640625" style="23" customWidth="1"/>
    <col min="7" max="7" width="11.6640625" style="24" customWidth="1"/>
    <col min="8" max="8" width="4.33203125" style="6" customWidth="1"/>
    <col min="9" max="9" width="11.6640625" style="146" customWidth="1"/>
    <col min="10" max="12" width="11.6640625" style="22" customWidth="1"/>
    <col min="13" max="13" width="13.109375" style="106" customWidth="1"/>
    <col min="14" max="14" width="13.109375" style="22" customWidth="1"/>
    <col min="15" max="15" width="13.109375" style="106" customWidth="1"/>
    <col min="16" max="18" width="13.109375" style="22" customWidth="1"/>
    <col min="19" max="19" width="13.33203125" style="22" bestFit="1" customWidth="1"/>
    <col min="20" max="16384" width="13.109375" style="6"/>
  </cols>
  <sheetData>
    <row r="1" spans="1:19" ht="20.399999999999999" hidden="1" customHeight="1">
      <c r="A1" s="19" t="s">
        <v>80</v>
      </c>
    </row>
    <row r="2" spans="1:19" ht="15" customHeight="1">
      <c r="A2" s="19" t="str">
        <f>Summary!A2</f>
        <v>NAFASI WATER - ARNOT WASTE TREATMENT PLANT</v>
      </c>
      <c r="G2" s="25" t="str">
        <f>Summary!C2</f>
        <v>Revision T1</v>
      </c>
      <c r="I2" s="22"/>
    </row>
    <row r="3" spans="1:19" ht="15" customHeight="1">
      <c r="A3" s="19" t="str">
        <f>Summary!A3</f>
        <v>PILING AND CIVIL WORK</v>
      </c>
      <c r="G3" s="26"/>
      <c r="I3" s="22"/>
    </row>
    <row r="4" spans="1:19" ht="15" customHeight="1">
      <c r="A4" s="19" t="s">
        <v>293</v>
      </c>
      <c r="G4" s="143">
        <f>Summary!C4</f>
        <v>45183</v>
      </c>
      <c r="I4" s="22"/>
    </row>
    <row r="5" spans="1:19" ht="15" customHeight="1">
      <c r="A5" s="27"/>
      <c r="B5" s="28"/>
      <c r="C5" s="28"/>
      <c r="E5" s="29"/>
      <c r="G5" s="30"/>
      <c r="I5" s="22"/>
    </row>
    <row r="6" spans="1:19" s="42" customFormat="1" ht="24.9" customHeight="1">
      <c r="A6" s="44" t="s">
        <v>8</v>
      </c>
      <c r="B6" s="48" t="s">
        <v>9</v>
      </c>
      <c r="C6" s="44" t="s">
        <v>10</v>
      </c>
      <c r="D6" s="48" t="s">
        <v>11</v>
      </c>
      <c r="E6" s="48" t="s">
        <v>59</v>
      </c>
      <c r="F6" s="49" t="s">
        <v>12</v>
      </c>
      <c r="G6" s="49" t="s">
        <v>13</v>
      </c>
      <c r="I6" s="100" t="s">
        <v>246</v>
      </c>
      <c r="J6" s="100" t="s">
        <v>215</v>
      </c>
      <c r="K6" s="100" t="s">
        <v>255</v>
      </c>
      <c r="L6" s="101" t="s">
        <v>295</v>
      </c>
      <c r="M6" s="100" t="s">
        <v>296</v>
      </c>
      <c r="N6" s="101" t="s">
        <v>257</v>
      </c>
      <c r="O6" s="100"/>
      <c r="P6" s="100"/>
      <c r="Q6" s="100"/>
      <c r="R6" s="100"/>
      <c r="S6" s="48"/>
    </row>
    <row r="7" spans="1:19" s="42" customFormat="1" ht="4.95" customHeight="1">
      <c r="A7" s="2"/>
      <c r="B7" s="40"/>
      <c r="C7" s="50"/>
      <c r="D7" s="40"/>
      <c r="E7" s="40"/>
      <c r="F7" s="54"/>
      <c r="G7" s="54"/>
      <c r="I7" s="40"/>
      <c r="J7" s="40"/>
      <c r="K7" s="40"/>
      <c r="L7" s="102"/>
      <c r="M7" s="40"/>
      <c r="N7" s="102"/>
      <c r="O7" s="107"/>
      <c r="P7" s="40"/>
      <c r="Q7" s="40"/>
      <c r="R7" s="40"/>
      <c r="S7" s="109"/>
    </row>
    <row r="8" spans="1:19" ht="19.2" customHeight="1">
      <c r="A8" s="1"/>
      <c r="B8" s="2"/>
      <c r="C8" s="11" t="s">
        <v>294</v>
      </c>
      <c r="D8" s="1"/>
      <c r="E8" s="1"/>
      <c r="F8" s="4"/>
      <c r="G8" s="5"/>
      <c r="I8" s="9"/>
      <c r="J8" s="9"/>
      <c r="K8" s="9"/>
      <c r="L8" s="103"/>
      <c r="M8" s="9"/>
      <c r="N8" s="103"/>
      <c r="O8" s="108"/>
      <c r="P8" s="9"/>
      <c r="Q8" s="9"/>
      <c r="R8" s="9"/>
      <c r="S8" s="9"/>
    </row>
    <row r="9" spans="1:19" ht="10.95" customHeight="1">
      <c r="A9" s="1"/>
      <c r="B9" s="2"/>
      <c r="C9" s="11"/>
      <c r="D9" s="1"/>
      <c r="E9" s="1"/>
      <c r="F9" s="4"/>
      <c r="G9" s="5"/>
      <c r="I9" s="9"/>
      <c r="J9" s="9"/>
      <c r="K9" s="9"/>
      <c r="L9" s="103"/>
      <c r="M9" s="9"/>
      <c r="N9" s="103"/>
      <c r="O9" s="108"/>
      <c r="P9" s="9"/>
      <c r="Q9" s="9"/>
      <c r="R9" s="9"/>
      <c r="S9" s="9"/>
    </row>
    <row r="10" spans="1:19" ht="22.2" customHeight="1">
      <c r="A10" s="1"/>
      <c r="B10" s="1" t="s">
        <v>22</v>
      </c>
      <c r="C10" s="34" t="s">
        <v>69</v>
      </c>
      <c r="D10" s="1"/>
      <c r="E10" s="3" t="str">
        <f>IF(SUM(H10:R10)&gt;0,SUM(H10:R10),"")</f>
        <v/>
      </c>
      <c r="F10" s="4"/>
      <c r="G10" s="5"/>
      <c r="I10" s="9"/>
      <c r="J10" s="9"/>
      <c r="K10" s="9"/>
      <c r="L10" s="103"/>
      <c r="M10" s="9"/>
      <c r="N10" s="103"/>
      <c r="O10" s="108"/>
      <c r="P10" s="9"/>
      <c r="Q10" s="9"/>
      <c r="R10" s="9"/>
      <c r="S10" s="9"/>
    </row>
    <row r="11" spans="1:19" ht="13.95" customHeight="1">
      <c r="A11" s="1"/>
      <c r="B11" s="1"/>
      <c r="C11" s="34"/>
      <c r="D11" s="1"/>
      <c r="E11" s="3" t="str">
        <f>IF(SUM(H11:R11)&gt;0,SUM(H11:R11),"")</f>
        <v/>
      </c>
      <c r="F11" s="4"/>
      <c r="G11" s="5"/>
      <c r="I11" s="9"/>
      <c r="J11" s="9"/>
      <c r="K11" s="9"/>
      <c r="L11" s="103"/>
      <c r="M11" s="9"/>
      <c r="N11" s="103"/>
      <c r="O11" s="108"/>
      <c r="P11" s="9"/>
      <c r="Q11" s="9"/>
      <c r="R11" s="9"/>
      <c r="S11" s="9"/>
    </row>
    <row r="12" spans="1:19" ht="13.95" customHeight="1">
      <c r="A12" s="1"/>
      <c r="B12" s="1"/>
      <c r="C12" s="32" t="s">
        <v>55</v>
      </c>
      <c r="D12" s="1"/>
      <c r="E12" s="3" t="str">
        <f>IF(SUM(H12:R12)&gt;0,SUM(H12:R12),"")</f>
        <v/>
      </c>
      <c r="F12" s="4"/>
      <c r="G12" s="5"/>
      <c r="I12" s="9"/>
      <c r="J12" s="9"/>
      <c r="K12" s="9"/>
      <c r="L12" s="103"/>
      <c r="M12" s="9"/>
      <c r="N12" s="103"/>
      <c r="O12" s="108"/>
      <c r="P12" s="9"/>
      <c r="Q12" s="9"/>
      <c r="R12" s="9"/>
      <c r="S12" s="9"/>
    </row>
    <row r="13" spans="1:19" ht="13.95" customHeight="1">
      <c r="A13" s="1"/>
      <c r="B13" s="1"/>
      <c r="C13" s="32"/>
      <c r="D13" s="1"/>
      <c r="E13" s="3" t="str">
        <f>IF(SUM(H13:R13)&gt;0,SUM(H13:R13),"")</f>
        <v/>
      </c>
      <c r="F13" s="4"/>
      <c r="G13" s="5"/>
      <c r="I13" s="9"/>
      <c r="J13" s="9"/>
      <c r="K13" s="9"/>
      <c r="L13" s="103"/>
      <c r="M13" s="9"/>
      <c r="N13" s="103"/>
      <c r="O13" s="108"/>
      <c r="P13" s="9"/>
      <c r="Q13" s="9"/>
      <c r="R13" s="9"/>
      <c r="S13" s="9"/>
    </row>
    <row r="14" spans="1:19" ht="22.2" customHeight="1">
      <c r="A14" s="1">
        <v>1</v>
      </c>
      <c r="B14" s="1"/>
      <c r="C14" s="33" t="s">
        <v>258</v>
      </c>
      <c r="D14" s="1" t="s">
        <v>6</v>
      </c>
      <c r="E14" s="3">
        <f>SUM(I14:S14)</f>
        <v>50</v>
      </c>
      <c r="F14" s="13">
        <v>1150</v>
      </c>
      <c r="G14" s="5">
        <f t="shared" ref="G14" si="0">+E14*F14</f>
        <v>57500</v>
      </c>
      <c r="I14" s="147">
        <v>50</v>
      </c>
      <c r="J14" s="147">
        <v>0</v>
      </c>
      <c r="K14" s="147">
        <v>0</v>
      </c>
      <c r="L14" s="147">
        <v>0</v>
      </c>
      <c r="M14" s="147">
        <v>0</v>
      </c>
      <c r="N14" s="147">
        <v>0</v>
      </c>
      <c r="O14" s="140"/>
      <c r="P14" s="141"/>
      <c r="Q14" s="137"/>
      <c r="R14" s="141"/>
      <c r="S14" s="136"/>
    </row>
    <row r="15" spans="1:19" ht="13.95" customHeight="1">
      <c r="A15" s="1"/>
      <c r="B15" s="1"/>
      <c r="C15" s="32"/>
      <c r="D15" s="1"/>
      <c r="E15" s="3"/>
      <c r="F15" s="14"/>
      <c r="G15" s="5"/>
      <c r="I15" s="3"/>
      <c r="J15" s="3"/>
      <c r="K15" s="3"/>
      <c r="L15" s="103"/>
      <c r="M15" s="3"/>
      <c r="N15" s="103"/>
      <c r="O15" s="108"/>
      <c r="P15" s="9"/>
      <c r="Q15" s="3"/>
      <c r="R15" s="9"/>
      <c r="S15" s="9"/>
    </row>
    <row r="16" spans="1:19" ht="13.95" customHeight="1">
      <c r="A16" s="1"/>
      <c r="B16" s="1"/>
      <c r="C16" s="32" t="s">
        <v>221</v>
      </c>
      <c r="D16" s="1"/>
      <c r="E16" s="3"/>
      <c r="F16" s="14"/>
      <c r="G16" s="5"/>
      <c r="I16" s="3"/>
      <c r="J16" s="3"/>
      <c r="K16" s="3"/>
      <c r="L16" s="103"/>
      <c r="M16" s="3"/>
      <c r="N16" s="103"/>
      <c r="O16" s="108"/>
      <c r="P16" s="9"/>
      <c r="Q16" s="3"/>
      <c r="R16" s="9"/>
      <c r="S16" s="9"/>
    </row>
    <row r="17" spans="1:19" ht="34.950000000000003" customHeight="1">
      <c r="A17" s="1"/>
      <c r="B17" s="1"/>
      <c r="C17" s="33" t="s">
        <v>219</v>
      </c>
      <c r="D17" s="1"/>
      <c r="E17" s="3"/>
      <c r="F17" s="14"/>
      <c r="G17" s="5"/>
      <c r="I17" s="3"/>
      <c r="J17" s="3"/>
      <c r="K17" s="3"/>
      <c r="L17" s="103"/>
      <c r="M17" s="3"/>
      <c r="N17" s="103"/>
      <c r="O17" s="108"/>
      <c r="P17" s="9"/>
      <c r="Q17" s="3"/>
      <c r="R17" s="9"/>
      <c r="S17" s="9"/>
    </row>
    <row r="18" spans="1:19" ht="10.95" customHeight="1">
      <c r="A18" s="1"/>
      <c r="B18" s="1"/>
      <c r="C18" s="32"/>
      <c r="D18" s="1"/>
      <c r="E18" s="3"/>
      <c r="F18" s="13"/>
      <c r="G18" s="5"/>
      <c r="I18" s="3"/>
      <c r="J18" s="3"/>
      <c r="K18" s="3"/>
      <c r="L18" s="103"/>
      <c r="M18" s="3"/>
      <c r="N18" s="103"/>
      <c r="O18" s="108"/>
      <c r="P18" s="9"/>
      <c r="Q18" s="3"/>
      <c r="R18" s="9"/>
      <c r="S18" s="9"/>
    </row>
    <row r="19" spans="1:19" ht="13.2" customHeight="1">
      <c r="A19" s="1">
        <v>2</v>
      </c>
      <c r="B19" s="1"/>
      <c r="C19" s="33" t="s">
        <v>33</v>
      </c>
      <c r="D19" s="1" t="s">
        <v>1</v>
      </c>
      <c r="E19" s="3">
        <f>SUM(I19:S19)</f>
        <v>500</v>
      </c>
      <c r="F19" s="13">
        <v>1850</v>
      </c>
      <c r="G19" s="5">
        <f t="shared" ref="G19" si="1">+E19*F19</f>
        <v>925000</v>
      </c>
      <c r="I19" s="3">
        <f>I14*10</f>
        <v>500</v>
      </c>
      <c r="J19" s="3">
        <f t="shared" ref="J19:L19" si="2">J14*10</f>
        <v>0</v>
      </c>
      <c r="K19" s="3">
        <f t="shared" si="2"/>
        <v>0</v>
      </c>
      <c r="L19" s="3">
        <f t="shared" si="2"/>
        <v>0</v>
      </c>
      <c r="M19" s="3">
        <f t="shared" ref="M19:N19" si="3">M14*10</f>
        <v>0</v>
      </c>
      <c r="N19" s="3">
        <f t="shared" si="3"/>
        <v>0</v>
      </c>
      <c r="O19" s="138"/>
      <c r="P19" s="138"/>
      <c r="Q19" s="138"/>
      <c r="R19" s="138"/>
      <c r="S19" s="138"/>
    </row>
    <row r="20" spans="1:19" ht="13.2" customHeight="1">
      <c r="A20" s="1"/>
      <c r="B20" s="1"/>
      <c r="C20" s="32"/>
      <c r="D20" s="1"/>
      <c r="E20" s="3"/>
      <c r="F20" s="13"/>
      <c r="G20" s="5"/>
      <c r="I20" s="3"/>
      <c r="J20" s="3"/>
      <c r="K20" s="3"/>
      <c r="L20" s="3"/>
      <c r="M20" s="3"/>
      <c r="N20" s="3"/>
      <c r="O20" s="138"/>
      <c r="P20" s="138"/>
      <c r="Q20" s="138"/>
      <c r="R20" s="138"/>
      <c r="S20" s="138"/>
    </row>
    <row r="21" spans="1:19" ht="13.2" customHeight="1">
      <c r="A21" s="1">
        <v>3</v>
      </c>
      <c r="B21" s="1"/>
      <c r="C21" s="33" t="s">
        <v>34</v>
      </c>
      <c r="D21" s="1" t="s">
        <v>1</v>
      </c>
      <c r="E21" s="3">
        <f>SUM(I21:S21)</f>
        <v>250</v>
      </c>
      <c r="F21" s="13">
        <f>F19</f>
        <v>1850</v>
      </c>
      <c r="G21" s="5">
        <f t="shared" ref="G21" si="4">+E21*F21</f>
        <v>462500</v>
      </c>
      <c r="I21" s="3">
        <f>I14*5</f>
        <v>250</v>
      </c>
      <c r="J21" s="3">
        <f t="shared" ref="J21:L21" si="5">J14*5</f>
        <v>0</v>
      </c>
      <c r="K21" s="3">
        <f t="shared" si="5"/>
        <v>0</v>
      </c>
      <c r="L21" s="3">
        <f t="shared" si="5"/>
        <v>0</v>
      </c>
      <c r="M21" s="3">
        <f t="shared" ref="M21:N21" si="6">M14*5</f>
        <v>0</v>
      </c>
      <c r="N21" s="3">
        <f t="shared" si="6"/>
        <v>0</v>
      </c>
      <c r="O21" s="138"/>
      <c r="P21" s="138"/>
      <c r="Q21" s="138"/>
      <c r="R21" s="138"/>
      <c r="S21" s="138"/>
    </row>
    <row r="22" spans="1:19" ht="13.2" customHeight="1">
      <c r="A22" s="1"/>
      <c r="B22" s="1"/>
      <c r="C22" s="32"/>
      <c r="D22" s="1"/>
      <c r="E22" s="3"/>
      <c r="F22" s="13"/>
      <c r="G22" s="5"/>
      <c r="I22" s="3"/>
      <c r="J22" s="3"/>
      <c r="K22" s="3"/>
      <c r="L22" s="3"/>
      <c r="M22" s="3"/>
      <c r="N22" s="3"/>
      <c r="O22" s="138"/>
      <c r="P22" s="138"/>
      <c r="Q22" s="138"/>
      <c r="R22" s="138"/>
      <c r="S22" s="138"/>
    </row>
    <row r="23" spans="1:19" ht="13.2" customHeight="1">
      <c r="A23" s="1"/>
      <c r="B23" s="1"/>
      <c r="C23" s="32" t="s">
        <v>76</v>
      </c>
      <c r="D23" s="1"/>
      <c r="E23" s="3"/>
      <c r="F23" s="13"/>
      <c r="G23" s="5"/>
      <c r="I23" s="3"/>
      <c r="J23" s="3"/>
      <c r="K23" s="3"/>
      <c r="L23" s="3"/>
      <c r="M23" s="3"/>
      <c r="N23" s="3"/>
      <c r="O23" s="138"/>
      <c r="P23" s="138"/>
      <c r="Q23" s="138"/>
      <c r="R23" s="138"/>
      <c r="S23" s="138"/>
    </row>
    <row r="24" spans="1:19" ht="13.2" customHeight="1">
      <c r="A24" s="1"/>
      <c r="B24" s="1"/>
      <c r="C24" s="32"/>
      <c r="D24" s="1"/>
      <c r="E24" s="3"/>
      <c r="F24" s="13"/>
      <c r="G24" s="5"/>
      <c r="I24" s="3"/>
      <c r="J24" s="3"/>
      <c r="K24" s="3"/>
      <c r="L24" s="3"/>
      <c r="M24" s="3"/>
      <c r="N24" s="3"/>
      <c r="O24" s="138"/>
      <c r="P24" s="138"/>
      <c r="Q24" s="138"/>
      <c r="R24" s="138"/>
      <c r="S24" s="138"/>
    </row>
    <row r="25" spans="1:19" ht="13.2" customHeight="1">
      <c r="A25" s="1">
        <v>4</v>
      </c>
      <c r="B25" s="1"/>
      <c r="C25" s="47" t="s">
        <v>77</v>
      </c>
      <c r="D25" s="1" t="s">
        <v>6</v>
      </c>
      <c r="E25" s="3">
        <f>SUM(I25:S25)</f>
        <v>50</v>
      </c>
      <c r="F25" s="13">
        <v>1250</v>
      </c>
      <c r="G25" s="5">
        <f t="shared" ref="G25" si="7">+E25*F25</f>
        <v>62500</v>
      </c>
      <c r="I25" s="3">
        <f>I14</f>
        <v>50</v>
      </c>
      <c r="J25" s="3">
        <f t="shared" ref="J25:L25" si="8">J14</f>
        <v>0</v>
      </c>
      <c r="K25" s="3">
        <f t="shared" si="8"/>
        <v>0</v>
      </c>
      <c r="L25" s="3">
        <f t="shared" si="8"/>
        <v>0</v>
      </c>
      <c r="M25" s="3">
        <f t="shared" ref="M25:N25" si="9">M14</f>
        <v>0</v>
      </c>
      <c r="N25" s="3">
        <f t="shared" si="9"/>
        <v>0</v>
      </c>
      <c r="O25" s="138"/>
      <c r="P25" s="138"/>
      <c r="Q25" s="138"/>
      <c r="R25" s="138"/>
      <c r="S25" s="138"/>
    </row>
    <row r="26" spans="1:19" ht="13.2" customHeight="1">
      <c r="A26" s="1"/>
      <c r="B26" s="1"/>
      <c r="C26" s="32"/>
      <c r="D26" s="1"/>
      <c r="E26" s="3"/>
      <c r="F26" s="13"/>
      <c r="G26" s="5"/>
      <c r="I26" s="3"/>
      <c r="J26" s="3"/>
      <c r="K26" s="3"/>
      <c r="L26" s="3"/>
      <c r="M26" s="3"/>
      <c r="N26" s="3"/>
      <c r="O26" s="138"/>
      <c r="P26" s="138"/>
      <c r="Q26" s="138"/>
      <c r="R26" s="138"/>
      <c r="S26" s="138"/>
    </row>
    <row r="27" spans="1:19" ht="12.6" customHeight="1">
      <c r="A27" s="1"/>
      <c r="B27" s="1"/>
      <c r="C27" s="32" t="s">
        <v>71</v>
      </c>
      <c r="D27" s="1"/>
      <c r="E27" s="3"/>
      <c r="F27" s="13"/>
      <c r="G27" s="5"/>
      <c r="I27" s="3"/>
      <c r="J27" s="3"/>
      <c r="K27" s="3"/>
      <c r="L27" s="3"/>
      <c r="M27" s="3"/>
      <c r="N27" s="3"/>
      <c r="O27" s="138"/>
      <c r="P27" s="138"/>
      <c r="Q27" s="138"/>
      <c r="R27" s="138"/>
      <c r="S27" s="138"/>
    </row>
    <row r="28" spans="1:19" ht="12.6" customHeight="1">
      <c r="A28" s="1"/>
      <c r="B28" s="1"/>
      <c r="C28" s="33"/>
      <c r="D28" s="1"/>
      <c r="E28" s="3"/>
      <c r="F28" s="13"/>
      <c r="G28" s="5"/>
      <c r="I28" s="3"/>
      <c r="J28" s="3"/>
      <c r="K28" s="3"/>
      <c r="L28" s="3"/>
      <c r="M28" s="3"/>
      <c r="N28" s="3"/>
      <c r="O28" s="138"/>
      <c r="P28" s="138"/>
      <c r="Q28" s="138"/>
      <c r="R28" s="138"/>
      <c r="S28" s="138"/>
    </row>
    <row r="29" spans="1:19" ht="12.6" customHeight="1">
      <c r="A29" s="1">
        <v>5</v>
      </c>
      <c r="B29" s="1"/>
      <c r="C29" s="33" t="s">
        <v>223</v>
      </c>
      <c r="D29" s="1" t="s">
        <v>2</v>
      </c>
      <c r="E29" s="4">
        <f>SUM(I29:S29)</f>
        <v>2.4375</v>
      </c>
      <c r="F29" s="13">
        <v>29500</v>
      </c>
      <c r="G29" s="5">
        <f t="shared" ref="G29" si="10">+E29*F29</f>
        <v>71906.25</v>
      </c>
      <c r="I29" s="4">
        <f>(I19+I21)*0.00325</f>
        <v>2.4375</v>
      </c>
      <c r="J29" s="4">
        <f t="shared" ref="J29:L29" si="11">(J19+J21)*0.00325</f>
        <v>0</v>
      </c>
      <c r="K29" s="4">
        <f t="shared" si="11"/>
        <v>0</v>
      </c>
      <c r="L29" s="4">
        <f t="shared" si="11"/>
        <v>0</v>
      </c>
      <c r="M29" s="4">
        <f t="shared" ref="M29:N29" si="12">(M19+M21)*0.00325</f>
        <v>0</v>
      </c>
      <c r="N29" s="4">
        <f t="shared" si="12"/>
        <v>0</v>
      </c>
      <c r="O29" s="139"/>
      <c r="P29" s="139"/>
      <c r="Q29" s="139"/>
      <c r="R29" s="139"/>
      <c r="S29" s="139"/>
    </row>
    <row r="30" spans="1:19" ht="12.6" customHeight="1">
      <c r="A30" s="1"/>
      <c r="B30" s="1"/>
      <c r="C30" s="33"/>
      <c r="D30" s="1"/>
      <c r="E30" s="4"/>
      <c r="F30" s="13"/>
      <c r="G30" s="5"/>
      <c r="I30" s="3"/>
      <c r="J30" s="3"/>
      <c r="K30" s="3"/>
      <c r="L30" s="3"/>
      <c r="M30" s="3"/>
      <c r="N30" s="3"/>
      <c r="O30" s="138"/>
      <c r="P30" s="138"/>
      <c r="Q30" s="138"/>
      <c r="R30" s="138"/>
      <c r="S30" s="138"/>
    </row>
    <row r="31" spans="1:19" ht="12.6" customHeight="1">
      <c r="A31" s="1">
        <v>6</v>
      </c>
      <c r="B31" s="1"/>
      <c r="C31" s="33" t="s">
        <v>222</v>
      </c>
      <c r="D31" s="1" t="s">
        <v>2</v>
      </c>
      <c r="E31" s="4">
        <f>SUM(I31:S31)</f>
        <v>16.125</v>
      </c>
      <c r="F31" s="13">
        <v>28000</v>
      </c>
      <c r="G31" s="5">
        <f t="shared" ref="G31" si="13">+E31*F31</f>
        <v>451500</v>
      </c>
      <c r="I31" s="4">
        <f>(I19+I21)*0.0215</f>
        <v>16.125</v>
      </c>
      <c r="J31" s="4">
        <f t="shared" ref="J31:L31" si="14">(J19+J21)*0.0215</f>
        <v>0</v>
      </c>
      <c r="K31" s="4">
        <f t="shared" si="14"/>
        <v>0</v>
      </c>
      <c r="L31" s="4">
        <f t="shared" si="14"/>
        <v>0</v>
      </c>
      <c r="M31" s="4">
        <f t="shared" ref="M31:N31" si="15">(M19+M21)*0.0215</f>
        <v>0</v>
      </c>
      <c r="N31" s="4">
        <f t="shared" si="15"/>
        <v>0</v>
      </c>
      <c r="O31" s="139"/>
      <c r="P31" s="139"/>
      <c r="Q31" s="139"/>
      <c r="R31" s="139"/>
      <c r="S31" s="139"/>
    </row>
    <row r="32" spans="1:19" ht="12.6" customHeight="1">
      <c r="A32" s="1"/>
      <c r="B32" s="1"/>
      <c r="C32" s="33"/>
      <c r="D32" s="1"/>
      <c r="E32" s="3"/>
      <c r="F32" s="13"/>
      <c r="G32" s="5"/>
      <c r="I32" s="3"/>
      <c r="J32" s="3"/>
      <c r="K32" s="3"/>
      <c r="L32" s="3"/>
      <c r="M32" s="3"/>
      <c r="N32" s="3"/>
      <c r="O32" s="138"/>
      <c r="P32" s="138"/>
      <c r="Q32" s="138"/>
      <c r="R32" s="138"/>
      <c r="S32" s="138"/>
    </row>
    <row r="33" spans="1:19" ht="12.6" customHeight="1">
      <c r="A33" s="1"/>
      <c r="B33" s="1"/>
      <c r="C33" s="32" t="s">
        <v>56</v>
      </c>
      <c r="D33" s="1"/>
      <c r="E33" s="3"/>
      <c r="F33" s="13"/>
      <c r="G33" s="5"/>
      <c r="I33" s="3"/>
      <c r="J33" s="3"/>
      <c r="K33" s="3"/>
      <c r="L33" s="3"/>
      <c r="M33" s="3"/>
      <c r="N33" s="3"/>
      <c r="O33" s="138"/>
      <c r="P33" s="138"/>
      <c r="Q33" s="138"/>
      <c r="R33" s="138"/>
      <c r="S33" s="138"/>
    </row>
    <row r="34" spans="1:19" ht="13.2" customHeight="1">
      <c r="A34" s="1"/>
      <c r="B34" s="1"/>
      <c r="C34" s="33"/>
      <c r="D34" s="1"/>
      <c r="E34" s="3"/>
      <c r="F34" s="13"/>
      <c r="G34" s="5"/>
      <c r="I34" s="3"/>
      <c r="J34" s="3"/>
      <c r="K34" s="3"/>
      <c r="L34" s="3"/>
      <c r="M34" s="3"/>
      <c r="N34" s="3"/>
      <c r="O34" s="138"/>
      <c r="P34" s="138"/>
      <c r="Q34" s="138"/>
      <c r="R34" s="138"/>
      <c r="S34" s="138"/>
    </row>
    <row r="35" spans="1:19" ht="13.2" customHeight="1">
      <c r="A35" s="1">
        <v>7</v>
      </c>
      <c r="B35" s="1"/>
      <c r="C35" s="33" t="s">
        <v>220</v>
      </c>
      <c r="D35" s="1"/>
      <c r="E35" s="3"/>
      <c r="F35" s="13"/>
      <c r="G35" s="5"/>
      <c r="I35" s="3"/>
      <c r="J35" s="3"/>
      <c r="K35" s="3"/>
      <c r="L35" s="3"/>
      <c r="M35" s="3"/>
      <c r="N35" s="3"/>
      <c r="O35" s="138"/>
      <c r="P35" s="138"/>
      <c r="Q35" s="138"/>
      <c r="R35" s="138"/>
      <c r="S35" s="138"/>
    </row>
    <row r="36" spans="1:19" ht="13.2" customHeight="1">
      <c r="A36" s="1"/>
      <c r="B36" s="1"/>
      <c r="C36" s="1"/>
      <c r="D36" s="1"/>
      <c r="E36" s="3"/>
      <c r="F36" s="13"/>
      <c r="G36" s="5"/>
      <c r="I36" s="3"/>
      <c r="J36" s="3"/>
      <c r="K36" s="3"/>
      <c r="L36" s="3"/>
      <c r="M36" s="3"/>
      <c r="N36" s="3"/>
      <c r="O36" s="138"/>
      <c r="P36" s="138"/>
      <c r="Q36" s="138"/>
      <c r="R36" s="138"/>
      <c r="S36" s="138"/>
    </row>
    <row r="37" spans="1:19" ht="13.2" customHeight="1">
      <c r="A37" s="1"/>
      <c r="B37" s="1"/>
      <c r="C37" s="33" t="s">
        <v>38</v>
      </c>
      <c r="D37" s="1" t="s">
        <v>51</v>
      </c>
      <c r="E37" s="3">
        <f>SUM(I37:S37)</f>
        <v>256.5</v>
      </c>
      <c r="F37" s="13">
        <v>3500</v>
      </c>
      <c r="G37" s="5">
        <f t="shared" ref="G37" si="16">+E37*F37</f>
        <v>897750</v>
      </c>
      <c r="I37" s="4">
        <f>((I19+I21)*0.292)+(I14*0.75)</f>
        <v>256.5</v>
      </c>
      <c r="J37" s="4">
        <f t="shared" ref="J37:L37" si="17">((J19+J21)*0.292)+(J14*0.75)</f>
        <v>0</v>
      </c>
      <c r="K37" s="4">
        <f t="shared" si="17"/>
        <v>0</v>
      </c>
      <c r="L37" s="4">
        <f t="shared" si="17"/>
        <v>0</v>
      </c>
      <c r="M37" s="4">
        <f t="shared" ref="M37:N37" si="18">((M19+M21)*0.292)+(M14*0.75)</f>
        <v>0</v>
      </c>
      <c r="N37" s="4">
        <f t="shared" si="18"/>
        <v>0</v>
      </c>
      <c r="O37" s="139"/>
      <c r="P37" s="139"/>
      <c r="Q37" s="139"/>
      <c r="R37" s="139"/>
      <c r="S37" s="139"/>
    </row>
    <row r="38" spans="1:19" ht="13.2" customHeight="1">
      <c r="A38" s="1"/>
      <c r="B38" s="1"/>
      <c r="C38" s="33"/>
      <c r="D38" s="1"/>
      <c r="E38" s="3"/>
      <c r="F38" s="13"/>
      <c r="G38" s="5"/>
      <c r="I38" s="3"/>
      <c r="J38" s="3"/>
      <c r="K38" s="3"/>
      <c r="L38" s="3"/>
      <c r="M38" s="3"/>
      <c r="N38" s="3"/>
      <c r="O38" s="138"/>
      <c r="P38" s="138"/>
      <c r="Q38" s="138"/>
      <c r="R38" s="138"/>
      <c r="S38" s="138"/>
    </row>
    <row r="39" spans="1:19" ht="13.2" customHeight="1">
      <c r="A39" s="1"/>
      <c r="B39" s="1" t="s">
        <v>23</v>
      </c>
      <c r="C39" s="32" t="s">
        <v>35</v>
      </c>
      <c r="D39" s="1"/>
      <c r="E39" s="3"/>
      <c r="F39" s="13"/>
      <c r="G39" s="5"/>
      <c r="I39" s="3"/>
      <c r="J39" s="3"/>
      <c r="K39" s="3"/>
      <c r="L39" s="3"/>
      <c r="M39" s="3"/>
      <c r="N39" s="3"/>
      <c r="O39" s="138"/>
      <c r="P39" s="138"/>
      <c r="Q39" s="138"/>
      <c r="R39" s="138"/>
      <c r="S39" s="138"/>
    </row>
    <row r="40" spans="1:19" ht="13.2" customHeight="1">
      <c r="A40" s="1"/>
      <c r="B40" s="1"/>
      <c r="C40" s="32"/>
      <c r="D40" s="1"/>
      <c r="E40" s="3"/>
      <c r="F40" s="13"/>
      <c r="G40" s="5"/>
      <c r="I40" s="3"/>
      <c r="J40" s="3"/>
      <c r="K40" s="3"/>
      <c r="L40" s="3"/>
      <c r="M40" s="3"/>
      <c r="N40" s="3"/>
      <c r="O40" s="138"/>
      <c r="P40" s="138"/>
      <c r="Q40" s="138"/>
      <c r="R40" s="138"/>
      <c r="S40" s="138"/>
    </row>
    <row r="41" spans="1:19" ht="13.2" customHeight="1">
      <c r="A41" s="1">
        <v>8</v>
      </c>
      <c r="B41" s="1"/>
      <c r="C41" s="33" t="s">
        <v>259</v>
      </c>
      <c r="D41" s="1" t="s">
        <v>6</v>
      </c>
      <c r="E41" s="3">
        <f>SUM(I41:S41)</f>
        <v>50</v>
      </c>
      <c r="F41" s="13">
        <v>875</v>
      </c>
      <c r="G41" s="5">
        <f t="shared" ref="G41" si="19">+E41*F41</f>
        <v>43750</v>
      </c>
      <c r="I41" s="3">
        <f>I14</f>
        <v>50</v>
      </c>
      <c r="J41" s="3">
        <f t="shared" ref="J41:L41" si="20">J14</f>
        <v>0</v>
      </c>
      <c r="K41" s="3">
        <f t="shared" si="20"/>
        <v>0</v>
      </c>
      <c r="L41" s="3">
        <f t="shared" si="20"/>
        <v>0</v>
      </c>
      <c r="M41" s="3">
        <f t="shared" ref="M41:N41" si="21">M14</f>
        <v>0</v>
      </c>
      <c r="N41" s="3">
        <f t="shared" si="21"/>
        <v>0</v>
      </c>
      <c r="O41" s="138"/>
      <c r="P41" s="138"/>
      <c r="Q41" s="138"/>
      <c r="R41" s="138"/>
      <c r="S41" s="138"/>
    </row>
    <row r="42" spans="1:19" ht="13.2" customHeight="1">
      <c r="A42" s="1"/>
      <c r="B42" s="2"/>
      <c r="C42" s="11"/>
      <c r="D42" s="1"/>
      <c r="E42" s="1"/>
      <c r="F42" s="13"/>
      <c r="G42" s="5"/>
      <c r="I42" s="1"/>
      <c r="J42" s="1"/>
      <c r="K42" s="1"/>
      <c r="L42" s="103"/>
      <c r="M42" s="1"/>
      <c r="N42" s="103"/>
      <c r="O42" s="108"/>
      <c r="P42" s="9"/>
      <c r="Q42" s="9"/>
      <c r="R42" s="9"/>
      <c r="S42" s="9"/>
    </row>
    <row r="43" spans="1:19" ht="21.6" customHeight="1">
      <c r="A43" s="1"/>
      <c r="B43" s="2" t="s">
        <v>100</v>
      </c>
      <c r="C43" s="31" t="s">
        <v>79</v>
      </c>
      <c r="D43" s="1"/>
      <c r="E43" s="3"/>
      <c r="F43" s="14"/>
      <c r="G43" s="5"/>
      <c r="I43" s="3"/>
      <c r="J43" s="3"/>
      <c r="K43" s="3"/>
      <c r="L43" s="103"/>
      <c r="M43" s="3"/>
      <c r="N43" s="103"/>
      <c r="O43" s="108"/>
      <c r="P43" s="9"/>
      <c r="Q43" s="9"/>
      <c r="R43" s="9"/>
      <c r="S43" s="9"/>
    </row>
    <row r="44" spans="1:19" ht="13.95" customHeight="1">
      <c r="A44" s="1"/>
      <c r="B44" s="2"/>
      <c r="C44" s="8" t="s">
        <v>81</v>
      </c>
      <c r="D44" s="1"/>
      <c r="E44" s="3"/>
      <c r="F44" s="14"/>
      <c r="G44" s="5"/>
      <c r="I44" s="3"/>
      <c r="J44" s="3"/>
      <c r="K44" s="3"/>
      <c r="L44" s="103"/>
      <c r="M44" s="3"/>
      <c r="N44" s="103"/>
      <c r="O44" s="108"/>
      <c r="P44" s="9"/>
      <c r="Q44" s="9"/>
      <c r="R44" s="9"/>
      <c r="S44" s="9"/>
    </row>
    <row r="45" spans="1:19" ht="50.4" customHeight="1">
      <c r="A45" s="16">
        <v>9</v>
      </c>
      <c r="B45" s="33" t="s">
        <v>162</v>
      </c>
      <c r="C45" s="33" t="s">
        <v>163</v>
      </c>
      <c r="D45" s="9" t="s">
        <v>60</v>
      </c>
      <c r="E45" s="3">
        <f>SUM(I45:S45)</f>
        <v>935</v>
      </c>
      <c r="F45" s="13">
        <v>225</v>
      </c>
      <c r="G45" s="5">
        <f t="shared" ref="G45" si="22">+E45*F45</f>
        <v>210375</v>
      </c>
      <c r="I45" s="9"/>
      <c r="J45" s="9"/>
      <c r="K45" s="9">
        <v>935</v>
      </c>
      <c r="L45" s="103"/>
      <c r="M45" s="9"/>
      <c r="N45" s="103"/>
      <c r="O45" s="108"/>
      <c r="P45" s="9"/>
      <c r="Q45" s="9"/>
      <c r="R45" s="9"/>
      <c r="S45" s="9"/>
    </row>
    <row r="46" spans="1:19">
      <c r="A46" s="16"/>
      <c r="B46" s="33"/>
      <c r="D46" s="9"/>
      <c r="E46" s="3"/>
      <c r="F46" s="13"/>
      <c r="G46" s="5"/>
      <c r="I46" s="9"/>
      <c r="J46" s="9"/>
      <c r="K46" s="9"/>
      <c r="L46" s="103"/>
      <c r="M46" s="9"/>
      <c r="N46" s="103"/>
      <c r="O46" s="108"/>
      <c r="P46" s="9"/>
      <c r="Q46" s="9"/>
      <c r="R46" s="9"/>
      <c r="S46" s="9"/>
    </row>
    <row r="47" spans="1:19">
      <c r="A47" s="16"/>
      <c r="B47" s="33"/>
      <c r="D47" s="9"/>
      <c r="E47" s="3"/>
      <c r="F47" s="13"/>
      <c r="G47" s="5"/>
      <c r="I47" s="9"/>
      <c r="J47" s="9"/>
      <c r="K47" s="9"/>
      <c r="L47" s="103"/>
      <c r="M47" s="9"/>
      <c r="N47" s="103"/>
      <c r="O47" s="108"/>
      <c r="P47" s="9"/>
      <c r="Q47" s="9"/>
      <c r="R47" s="9"/>
      <c r="S47" s="9"/>
    </row>
    <row r="48" spans="1:19">
      <c r="A48" s="16"/>
      <c r="B48" s="33"/>
      <c r="D48" s="9"/>
      <c r="E48" s="3"/>
      <c r="F48" s="13"/>
      <c r="G48" s="5"/>
      <c r="I48" s="9"/>
      <c r="J48" s="9"/>
      <c r="K48" s="9"/>
      <c r="L48" s="103"/>
      <c r="M48" s="9"/>
      <c r="N48" s="103"/>
      <c r="O48" s="108"/>
      <c r="P48" s="9"/>
      <c r="Q48" s="9"/>
      <c r="R48" s="9"/>
      <c r="S48" s="9"/>
    </row>
    <row r="49" spans="1:19" ht="13.95" customHeight="1">
      <c r="A49" s="1"/>
      <c r="B49" s="2"/>
      <c r="C49" s="8"/>
      <c r="D49" s="9"/>
      <c r="E49" s="3"/>
      <c r="F49" s="4"/>
      <c r="G49" s="5"/>
      <c r="I49" s="9"/>
      <c r="J49" s="9"/>
      <c r="K49" s="9"/>
      <c r="L49" s="103"/>
      <c r="M49" s="9"/>
      <c r="N49" s="103"/>
      <c r="O49" s="108"/>
      <c r="P49" s="9"/>
      <c r="Q49" s="9"/>
      <c r="R49" s="9"/>
      <c r="S49" s="9"/>
    </row>
    <row r="50" spans="1:19" ht="20.100000000000001" customHeight="1">
      <c r="A50" s="149" t="s">
        <v>66</v>
      </c>
      <c r="B50" s="150"/>
      <c r="C50" s="150"/>
      <c r="D50" s="150"/>
      <c r="E50" s="150"/>
      <c r="F50" s="151"/>
      <c r="G50" s="116">
        <f>SUM(G7:G49)</f>
        <v>3182781.25</v>
      </c>
      <c r="I50" s="9"/>
      <c r="J50" s="9"/>
      <c r="K50" s="9"/>
      <c r="L50" s="103"/>
      <c r="M50" s="9"/>
      <c r="N50" s="103"/>
      <c r="O50" s="108"/>
      <c r="P50" s="9"/>
      <c r="Q50" s="9"/>
      <c r="R50" s="9"/>
      <c r="S50" s="9"/>
    </row>
    <row r="51" spans="1:19">
      <c r="A51" s="39"/>
      <c r="B51" s="39"/>
      <c r="C51" s="39"/>
      <c r="D51" s="39"/>
      <c r="E51" s="39"/>
      <c r="F51" s="39"/>
      <c r="G51" s="113"/>
      <c r="I51" s="9"/>
      <c r="J51" s="9"/>
      <c r="K51" s="9"/>
      <c r="L51" s="103"/>
      <c r="M51" s="9"/>
      <c r="N51" s="103"/>
      <c r="O51" s="108"/>
      <c r="P51" s="9"/>
      <c r="Q51" s="9"/>
      <c r="R51" s="9"/>
      <c r="S51" s="9"/>
    </row>
    <row r="52" spans="1:19">
      <c r="A52" s="39"/>
      <c r="B52" s="39"/>
      <c r="C52" s="39"/>
      <c r="D52" s="39"/>
      <c r="E52" s="39"/>
      <c r="F52" s="39"/>
      <c r="G52" s="113"/>
      <c r="I52" s="9"/>
      <c r="J52" s="9"/>
      <c r="K52" s="9"/>
      <c r="L52" s="103"/>
      <c r="M52" s="9"/>
      <c r="N52" s="103"/>
      <c r="O52" s="108"/>
      <c r="P52" s="9"/>
      <c r="Q52" s="9"/>
      <c r="R52" s="9"/>
      <c r="S52" s="9"/>
    </row>
    <row r="53" spans="1:19" ht="24" customHeight="1">
      <c r="A53" s="44" t="s">
        <v>8</v>
      </c>
      <c r="B53" s="48" t="s">
        <v>9</v>
      </c>
      <c r="C53" s="44" t="s">
        <v>10</v>
      </c>
      <c r="D53" s="48" t="s">
        <v>11</v>
      </c>
      <c r="E53" s="48" t="s">
        <v>59</v>
      </c>
      <c r="F53" s="49" t="s">
        <v>12</v>
      </c>
      <c r="G53" s="111" t="s">
        <v>13</v>
      </c>
      <c r="I53" s="9"/>
      <c r="J53" s="9"/>
      <c r="K53" s="9"/>
      <c r="L53" s="103"/>
      <c r="M53" s="9"/>
      <c r="N53" s="103"/>
      <c r="O53" s="108"/>
      <c r="P53" s="9"/>
      <c r="Q53" s="9"/>
      <c r="R53" s="9"/>
      <c r="S53" s="9"/>
    </row>
    <row r="54" spans="1:19" ht="20.100000000000001" customHeight="1">
      <c r="A54" s="149" t="s">
        <v>67</v>
      </c>
      <c r="B54" s="150"/>
      <c r="C54" s="150"/>
      <c r="D54" s="150"/>
      <c r="E54" s="150"/>
      <c r="F54" s="151"/>
      <c r="G54" s="116">
        <f>+G50</f>
        <v>3182781.25</v>
      </c>
      <c r="I54" s="9"/>
      <c r="J54" s="9"/>
      <c r="K54" s="9"/>
      <c r="L54" s="103"/>
      <c r="M54" s="9"/>
      <c r="N54" s="103"/>
      <c r="O54" s="108"/>
      <c r="P54" s="9"/>
      <c r="Q54" s="9"/>
      <c r="R54" s="9"/>
      <c r="S54" s="9"/>
    </row>
    <row r="55" spans="1:19" ht="9" customHeight="1">
      <c r="A55" s="1"/>
      <c r="B55" s="2"/>
      <c r="C55" s="8"/>
      <c r="D55" s="9"/>
      <c r="E55" s="3"/>
      <c r="F55" s="4"/>
      <c r="G55" s="5"/>
      <c r="I55" s="3"/>
      <c r="J55" s="3"/>
      <c r="K55" s="3"/>
      <c r="L55" s="103"/>
      <c r="M55" s="3"/>
      <c r="N55" s="103"/>
      <c r="O55" s="108"/>
      <c r="P55" s="9"/>
      <c r="Q55" s="9"/>
      <c r="R55" s="9"/>
      <c r="S55" s="9"/>
    </row>
    <row r="56" spans="1:19" ht="13.95" customHeight="1">
      <c r="A56" s="1"/>
      <c r="B56" s="2" t="s">
        <v>173</v>
      </c>
      <c r="C56" s="31" t="s">
        <v>79</v>
      </c>
      <c r="D56" s="1"/>
      <c r="E56" s="3"/>
      <c r="F56" s="4"/>
      <c r="G56" s="5"/>
      <c r="I56" s="3"/>
      <c r="J56" s="3"/>
      <c r="K56" s="3"/>
      <c r="L56" s="103"/>
      <c r="M56" s="3"/>
      <c r="N56" s="103"/>
      <c r="O56" s="108"/>
      <c r="P56" s="9"/>
      <c r="Q56" s="9"/>
      <c r="R56" s="9"/>
      <c r="S56" s="9"/>
    </row>
    <row r="57" spans="1:19" ht="13.95" customHeight="1">
      <c r="A57" s="1"/>
      <c r="B57" s="2"/>
      <c r="C57" s="8" t="s">
        <v>81</v>
      </c>
      <c r="D57" s="1"/>
      <c r="E57" s="3"/>
      <c r="F57" s="13"/>
      <c r="G57" s="5"/>
      <c r="I57" s="3"/>
      <c r="J57" s="3"/>
      <c r="K57" s="3"/>
      <c r="L57" s="103"/>
      <c r="M57" s="3"/>
      <c r="N57" s="103"/>
      <c r="O57" s="108"/>
      <c r="P57" s="9"/>
      <c r="Q57" s="9"/>
      <c r="R57" s="9"/>
      <c r="S57" s="9"/>
    </row>
    <row r="58" spans="1:19" ht="13.95" customHeight="1">
      <c r="A58" s="1"/>
      <c r="B58" s="1" t="s">
        <v>87</v>
      </c>
      <c r="C58" s="37" t="s">
        <v>0</v>
      </c>
      <c r="D58" s="1"/>
      <c r="E58" s="3"/>
      <c r="F58" s="13"/>
      <c r="G58" s="5"/>
      <c r="I58" s="3"/>
      <c r="J58" s="3"/>
      <c r="K58" s="3"/>
      <c r="L58" s="103"/>
      <c r="M58" s="3"/>
      <c r="N58" s="103"/>
      <c r="O58" s="108"/>
      <c r="P58" s="9"/>
      <c r="Q58" s="9"/>
      <c r="R58" s="9"/>
      <c r="S58" s="9"/>
    </row>
    <row r="59" spans="1:19" ht="13.95" customHeight="1">
      <c r="A59" s="1"/>
      <c r="B59" s="1"/>
      <c r="C59" s="33"/>
      <c r="D59" s="1"/>
      <c r="E59" s="3"/>
      <c r="F59" s="13"/>
      <c r="G59" s="5"/>
      <c r="I59" s="3"/>
      <c r="J59" s="3"/>
      <c r="K59" s="3"/>
      <c r="L59" s="103"/>
      <c r="M59" s="3"/>
      <c r="N59" s="103"/>
      <c r="O59" s="108"/>
      <c r="P59" s="9"/>
      <c r="Q59" s="9"/>
      <c r="R59" s="9"/>
      <c r="S59" s="9"/>
    </row>
    <row r="60" spans="1:19" ht="22.95" customHeight="1">
      <c r="A60" s="1"/>
      <c r="B60" s="1"/>
      <c r="C60" s="33" t="s">
        <v>61</v>
      </c>
      <c r="D60" s="1"/>
      <c r="E60" s="3"/>
      <c r="F60" s="13"/>
      <c r="G60" s="5"/>
      <c r="I60" s="3"/>
      <c r="J60" s="3"/>
      <c r="K60" s="3"/>
      <c r="L60" s="103"/>
      <c r="M60" s="3"/>
      <c r="N60" s="103"/>
      <c r="O60" s="108"/>
      <c r="P60" s="9"/>
      <c r="Q60" s="9"/>
      <c r="R60" s="9"/>
      <c r="S60" s="9"/>
    </row>
    <row r="61" spans="1:19" ht="13.95" customHeight="1">
      <c r="A61" s="1"/>
      <c r="B61" s="1"/>
      <c r="C61" s="6"/>
      <c r="D61" s="1"/>
      <c r="E61" s="3"/>
      <c r="F61" s="13"/>
      <c r="G61" s="5"/>
      <c r="I61" s="3"/>
      <c r="J61" s="3"/>
      <c r="K61" s="3"/>
      <c r="L61" s="103"/>
      <c r="M61" s="3"/>
      <c r="N61" s="103"/>
      <c r="O61" s="108"/>
      <c r="P61" s="9"/>
      <c r="Q61" s="9"/>
      <c r="R61" s="9"/>
      <c r="S61" s="9"/>
    </row>
    <row r="62" spans="1:19" ht="13.95" customHeight="1">
      <c r="A62" s="1">
        <v>10</v>
      </c>
      <c r="B62" s="1"/>
      <c r="C62" s="33" t="s">
        <v>14</v>
      </c>
      <c r="D62" s="1" t="s">
        <v>51</v>
      </c>
      <c r="E62" s="3">
        <f>SUM(I62:S62)</f>
        <v>567.20000000000005</v>
      </c>
      <c r="F62" s="13">
        <v>175</v>
      </c>
      <c r="G62" s="5">
        <f t="shared" ref="G62" si="23">+E62*F62</f>
        <v>99260.000000000015</v>
      </c>
      <c r="I62" s="3">
        <v>180</v>
      </c>
      <c r="J62" s="3">
        <v>103</v>
      </c>
      <c r="K62" s="3"/>
      <c r="L62" s="103">
        <v>187</v>
      </c>
      <c r="M62" s="3">
        <v>97.2</v>
      </c>
      <c r="N62" s="103"/>
      <c r="O62" s="108"/>
      <c r="P62" s="9"/>
      <c r="Q62" s="9"/>
      <c r="R62" s="9"/>
      <c r="S62" s="9"/>
    </row>
    <row r="63" spans="1:19" ht="13.95" customHeight="1">
      <c r="A63" s="1"/>
      <c r="B63" s="1"/>
      <c r="C63" s="33"/>
      <c r="D63" s="1"/>
      <c r="E63" s="3"/>
      <c r="F63" s="13"/>
      <c r="G63" s="5"/>
      <c r="I63" s="3"/>
      <c r="J63" s="3"/>
      <c r="K63" s="3"/>
      <c r="L63" s="103"/>
      <c r="M63" s="3"/>
      <c r="N63" s="103"/>
      <c r="O63" s="108"/>
      <c r="P63" s="9"/>
      <c r="Q63" s="9"/>
      <c r="R63" s="9"/>
      <c r="S63" s="9"/>
    </row>
    <row r="64" spans="1:19" ht="13.95" customHeight="1">
      <c r="A64" s="1"/>
      <c r="B64" s="1"/>
      <c r="C64" s="37" t="s">
        <v>111</v>
      </c>
      <c r="D64" s="1"/>
      <c r="E64" s="3"/>
      <c r="F64" s="13"/>
      <c r="G64" s="5"/>
      <c r="I64" s="3"/>
      <c r="J64" s="3"/>
      <c r="K64" s="3"/>
      <c r="L64" s="103"/>
      <c r="M64" s="3"/>
      <c r="N64" s="103"/>
      <c r="O64" s="108"/>
      <c r="P64" s="9"/>
      <c r="Q64" s="9"/>
      <c r="R64" s="9"/>
      <c r="S64" s="9"/>
    </row>
    <row r="65" spans="1:19" ht="13.95" customHeight="1">
      <c r="A65" s="1"/>
      <c r="B65" s="1"/>
      <c r="C65" s="33"/>
      <c r="D65" s="1"/>
      <c r="E65" s="3"/>
      <c r="F65" s="13"/>
      <c r="G65" s="5"/>
      <c r="I65" s="3"/>
      <c r="J65" s="3"/>
      <c r="K65" s="3"/>
      <c r="L65" s="103"/>
      <c r="M65" s="3"/>
      <c r="N65" s="103"/>
      <c r="O65" s="108"/>
      <c r="P65" s="9"/>
      <c r="Q65" s="9"/>
      <c r="R65" s="9"/>
      <c r="S65" s="9"/>
    </row>
    <row r="66" spans="1:19" ht="28.95" customHeight="1">
      <c r="A66" s="1">
        <v>11</v>
      </c>
      <c r="B66" s="1"/>
      <c r="C66" s="33" t="s">
        <v>54</v>
      </c>
      <c r="D66" s="1" t="s">
        <v>51</v>
      </c>
      <c r="E66" s="3">
        <f>SUM(I66:S66)</f>
        <v>0</v>
      </c>
      <c r="F66" s="13">
        <v>950</v>
      </c>
      <c r="G66" s="5">
        <f t="shared" ref="G66" si="24">+E66*F66</f>
        <v>0</v>
      </c>
      <c r="I66" s="3"/>
      <c r="J66" s="3"/>
      <c r="K66" s="3"/>
      <c r="L66" s="103"/>
      <c r="M66" s="3"/>
      <c r="N66" s="103"/>
      <c r="O66" s="108"/>
      <c r="P66" s="9"/>
      <c r="Q66" s="9"/>
      <c r="R66" s="9"/>
      <c r="S66" s="9"/>
    </row>
    <row r="67" spans="1:19" ht="13.95" customHeight="1">
      <c r="A67" s="1"/>
      <c r="B67" s="1"/>
      <c r="C67" s="33"/>
      <c r="D67" s="1"/>
      <c r="E67" s="3"/>
      <c r="F67" s="13"/>
      <c r="G67" s="5"/>
      <c r="I67" s="3"/>
      <c r="J67" s="3"/>
      <c r="K67" s="3"/>
      <c r="L67" s="103"/>
      <c r="M67" s="3"/>
      <c r="N67" s="103"/>
      <c r="O67" s="108"/>
      <c r="P67" s="9"/>
      <c r="Q67" s="9"/>
      <c r="R67" s="9"/>
      <c r="S67" s="9"/>
    </row>
    <row r="68" spans="1:19" ht="22.2" customHeight="1">
      <c r="A68" s="1"/>
      <c r="B68" s="1"/>
      <c r="C68" s="33" t="s">
        <v>57</v>
      </c>
      <c r="D68" s="1"/>
      <c r="E68" s="3"/>
      <c r="F68" s="13"/>
      <c r="G68" s="5"/>
      <c r="I68" s="3"/>
      <c r="J68" s="3"/>
      <c r="K68" s="3"/>
      <c r="L68" s="103"/>
      <c r="M68" s="3"/>
      <c r="N68" s="103"/>
      <c r="O68" s="108"/>
      <c r="P68" s="9"/>
      <c r="Q68" s="9"/>
      <c r="R68" s="9"/>
      <c r="S68" s="9"/>
    </row>
    <row r="69" spans="1:19" ht="13.95" customHeight="1">
      <c r="A69" s="1"/>
      <c r="B69" s="2"/>
      <c r="C69" s="8"/>
      <c r="D69" s="9"/>
      <c r="E69" s="3"/>
      <c r="F69" s="13"/>
      <c r="G69" s="5"/>
      <c r="I69" s="3"/>
      <c r="J69" s="3"/>
      <c r="K69" s="3"/>
      <c r="L69" s="103"/>
      <c r="M69" s="3"/>
      <c r="N69" s="103"/>
      <c r="O69" s="108"/>
      <c r="P69" s="9"/>
      <c r="Q69" s="9"/>
      <c r="R69" s="9"/>
      <c r="S69" s="9"/>
    </row>
    <row r="70" spans="1:19" ht="13.95" customHeight="1">
      <c r="A70" s="1"/>
      <c r="B70" s="1" t="s">
        <v>83</v>
      </c>
      <c r="C70" s="10" t="s">
        <v>25</v>
      </c>
      <c r="D70" s="9"/>
      <c r="E70" s="3"/>
      <c r="F70" s="13"/>
      <c r="G70" s="5"/>
      <c r="I70" s="3"/>
      <c r="J70" s="3"/>
      <c r="K70" s="3"/>
      <c r="L70" s="103"/>
      <c r="M70" s="3"/>
      <c r="N70" s="103"/>
      <c r="O70" s="108"/>
      <c r="P70" s="9"/>
      <c r="Q70" s="9"/>
      <c r="R70" s="9"/>
      <c r="S70" s="9"/>
    </row>
    <row r="71" spans="1:19" ht="13.95" customHeight="1">
      <c r="A71" s="1"/>
      <c r="B71" s="2"/>
      <c r="C71" s="8"/>
      <c r="D71" s="9"/>
      <c r="E71" s="3"/>
      <c r="F71" s="13"/>
      <c r="G71" s="5"/>
      <c r="I71" s="3"/>
      <c r="J71" s="3"/>
      <c r="K71" s="3"/>
      <c r="L71" s="103"/>
      <c r="M71" s="3"/>
      <c r="N71" s="103"/>
      <c r="O71" s="108"/>
      <c r="P71" s="9"/>
      <c r="Q71" s="9"/>
      <c r="R71" s="9"/>
      <c r="S71" s="9"/>
    </row>
    <row r="72" spans="1:19" ht="23.4" customHeight="1">
      <c r="A72" s="1"/>
      <c r="B72" s="2"/>
      <c r="C72" s="8" t="s">
        <v>109</v>
      </c>
      <c r="D72" s="9"/>
      <c r="E72" s="3"/>
      <c r="F72" s="13"/>
      <c r="G72" s="5"/>
      <c r="I72" s="3"/>
      <c r="J72" s="3"/>
      <c r="K72" s="3"/>
      <c r="L72" s="103"/>
      <c r="M72" s="3"/>
      <c r="N72" s="103"/>
      <c r="O72" s="108"/>
      <c r="P72" s="9"/>
      <c r="Q72" s="9"/>
      <c r="R72" s="9"/>
      <c r="S72" s="9"/>
    </row>
    <row r="73" spans="1:19" ht="13.95" customHeight="1">
      <c r="A73" s="1"/>
      <c r="B73" s="2"/>
      <c r="C73" s="8"/>
      <c r="D73" s="9"/>
      <c r="E73" s="3"/>
      <c r="F73" s="13"/>
      <c r="G73" s="5"/>
      <c r="I73" s="3"/>
      <c r="J73" s="3"/>
      <c r="K73" s="3"/>
      <c r="L73" s="103"/>
      <c r="M73" s="3"/>
      <c r="N73" s="103"/>
      <c r="O73" s="108"/>
      <c r="P73" s="9"/>
      <c r="Q73" s="9"/>
      <c r="R73" s="9"/>
      <c r="S73" s="9"/>
    </row>
    <row r="74" spans="1:19" ht="33.6" customHeight="1">
      <c r="A74" s="1">
        <v>12</v>
      </c>
      <c r="B74" s="2"/>
      <c r="C74" s="8" t="s">
        <v>108</v>
      </c>
      <c r="D74" s="9" t="s">
        <v>51</v>
      </c>
      <c r="E74" s="3">
        <f>SUM(I74:S74)</f>
        <v>334.5</v>
      </c>
      <c r="F74" s="13">
        <v>725</v>
      </c>
      <c r="G74" s="5">
        <f t="shared" ref="G74" si="25">+E74*F74</f>
        <v>242512.5</v>
      </c>
      <c r="I74" s="3">
        <v>102</v>
      </c>
      <c r="J74" s="3">
        <v>65</v>
      </c>
      <c r="K74" s="3"/>
      <c r="L74" s="103">
        <v>104</v>
      </c>
      <c r="M74" s="3">
        <v>63.5</v>
      </c>
      <c r="N74" s="103"/>
      <c r="O74" s="108"/>
      <c r="P74" s="9"/>
      <c r="Q74" s="9"/>
      <c r="R74" s="9"/>
      <c r="S74" s="9"/>
    </row>
    <row r="75" spans="1:19" ht="13.95" customHeight="1">
      <c r="A75" s="1"/>
      <c r="B75" s="2"/>
      <c r="C75" s="8"/>
      <c r="D75" s="9"/>
      <c r="E75" s="3"/>
      <c r="F75" s="13"/>
      <c r="G75" s="5"/>
      <c r="I75" s="3"/>
      <c r="J75" s="3"/>
      <c r="K75" s="3"/>
      <c r="L75" s="103"/>
      <c r="M75" s="3"/>
      <c r="N75" s="103"/>
      <c r="O75" s="108"/>
      <c r="P75" s="9"/>
      <c r="Q75" s="9"/>
      <c r="R75" s="9"/>
      <c r="S75" s="9"/>
    </row>
    <row r="76" spans="1:19" ht="21.6" customHeight="1">
      <c r="A76" s="1"/>
      <c r="B76" s="2" t="s">
        <v>101</v>
      </c>
      <c r="C76" s="34" t="s">
        <v>155</v>
      </c>
      <c r="D76" s="1"/>
      <c r="E76" s="3"/>
      <c r="F76" s="13"/>
      <c r="G76" s="5"/>
      <c r="I76" s="3"/>
      <c r="J76" s="3"/>
      <c r="K76" s="3"/>
      <c r="L76" s="103"/>
      <c r="M76" s="3"/>
      <c r="N76" s="103"/>
      <c r="O76" s="108"/>
      <c r="P76" s="9"/>
      <c r="Q76" s="9"/>
      <c r="R76" s="9"/>
      <c r="S76" s="9"/>
    </row>
    <row r="77" spans="1:19" ht="13.95" customHeight="1">
      <c r="A77" s="1"/>
      <c r="B77" s="1"/>
      <c r="C77" s="33"/>
      <c r="D77" s="1"/>
      <c r="E77" s="3"/>
      <c r="F77" s="13"/>
      <c r="G77" s="5"/>
      <c r="I77" s="3"/>
      <c r="J77" s="3"/>
      <c r="K77" s="3"/>
      <c r="L77" s="103"/>
      <c r="M77" s="3"/>
      <c r="N77" s="103"/>
      <c r="O77" s="108"/>
      <c r="P77" s="9"/>
      <c r="Q77" s="9"/>
      <c r="R77" s="9"/>
      <c r="S77" s="9"/>
    </row>
    <row r="78" spans="1:19" ht="13.95" customHeight="1">
      <c r="A78" s="1"/>
      <c r="B78" s="1" t="s">
        <v>88</v>
      </c>
      <c r="C78" s="32" t="s">
        <v>15</v>
      </c>
      <c r="D78" s="1"/>
      <c r="E78" s="3"/>
      <c r="F78" s="13"/>
      <c r="G78" s="5"/>
      <c r="I78" s="3"/>
      <c r="J78" s="3"/>
      <c r="K78" s="3"/>
      <c r="L78" s="103"/>
      <c r="M78" s="3"/>
      <c r="N78" s="103"/>
      <c r="O78" s="108"/>
      <c r="P78" s="9"/>
      <c r="Q78" s="9"/>
      <c r="R78" s="9"/>
      <c r="S78" s="9"/>
    </row>
    <row r="79" spans="1:19" ht="13.95" customHeight="1">
      <c r="A79" s="1"/>
      <c r="B79" s="1"/>
      <c r="C79" s="33"/>
      <c r="D79" s="1"/>
      <c r="E79" s="3"/>
      <c r="F79" s="13"/>
      <c r="G79" s="5"/>
      <c r="I79" s="3"/>
      <c r="J79" s="3"/>
      <c r="K79" s="3"/>
      <c r="L79" s="103"/>
      <c r="M79" s="3"/>
      <c r="N79" s="103"/>
      <c r="O79" s="108"/>
      <c r="P79" s="9"/>
      <c r="Q79" s="9"/>
      <c r="R79" s="9"/>
      <c r="S79" s="9"/>
    </row>
    <row r="80" spans="1:19" ht="13.95" customHeight="1">
      <c r="A80" s="1"/>
      <c r="B80" s="1" t="s">
        <v>82</v>
      </c>
      <c r="C80" s="34" t="s">
        <v>16</v>
      </c>
      <c r="D80" s="1"/>
      <c r="E80" s="3"/>
      <c r="F80" s="13"/>
      <c r="G80" s="5"/>
      <c r="I80" s="3"/>
      <c r="J80" s="3"/>
      <c r="K80" s="3"/>
      <c r="L80" s="103"/>
      <c r="M80" s="3"/>
      <c r="N80" s="103"/>
      <c r="O80" s="108"/>
      <c r="P80" s="9"/>
      <c r="Q80" s="9"/>
      <c r="R80" s="9"/>
      <c r="S80" s="9"/>
    </row>
    <row r="81" spans="1:19" ht="13.95" customHeight="1">
      <c r="A81" s="1"/>
      <c r="B81" s="1"/>
      <c r="C81" s="33"/>
      <c r="D81" s="1"/>
      <c r="E81" s="3"/>
      <c r="F81" s="13"/>
      <c r="G81" s="5"/>
      <c r="I81" s="3"/>
      <c r="J81" s="3"/>
      <c r="K81" s="3"/>
      <c r="L81" s="103"/>
      <c r="M81" s="3"/>
      <c r="N81" s="103"/>
      <c r="O81" s="108"/>
      <c r="P81" s="9"/>
      <c r="Q81" s="9"/>
      <c r="R81" s="9"/>
      <c r="S81" s="9"/>
    </row>
    <row r="82" spans="1:19" ht="13.95" customHeight="1">
      <c r="A82" s="1"/>
      <c r="B82" s="1"/>
      <c r="C82" s="37" t="s">
        <v>17</v>
      </c>
      <c r="D82" s="1"/>
      <c r="E82" s="3"/>
      <c r="F82" s="13"/>
      <c r="G82" s="5"/>
      <c r="I82" s="3"/>
      <c r="J82" s="3"/>
      <c r="K82" s="3"/>
      <c r="L82" s="103"/>
      <c r="M82" s="3"/>
      <c r="N82" s="103"/>
      <c r="O82" s="108"/>
      <c r="P82" s="9"/>
      <c r="Q82" s="9"/>
      <c r="R82" s="9"/>
      <c r="S82" s="9"/>
    </row>
    <row r="83" spans="1:19" ht="13.95" customHeight="1">
      <c r="A83" s="1"/>
      <c r="B83" s="1"/>
      <c r="C83" s="37"/>
      <c r="D83" s="1"/>
      <c r="E83" s="3"/>
      <c r="F83" s="13"/>
      <c r="G83" s="5"/>
      <c r="I83" s="3"/>
      <c r="J83" s="3"/>
      <c r="K83" s="3"/>
      <c r="L83" s="103"/>
      <c r="M83" s="3"/>
      <c r="N83" s="103"/>
      <c r="O83" s="108"/>
      <c r="P83" s="9"/>
      <c r="Q83" s="9"/>
      <c r="R83" s="9"/>
      <c r="S83" s="9"/>
    </row>
    <row r="84" spans="1:19" ht="13.95" customHeight="1">
      <c r="A84" s="1">
        <v>13</v>
      </c>
      <c r="B84" s="1"/>
      <c r="C84" s="33" t="s">
        <v>28</v>
      </c>
      <c r="D84" s="1" t="s">
        <v>60</v>
      </c>
      <c r="E84" s="3">
        <f>SUM(I84:S84)</f>
        <v>578</v>
      </c>
      <c r="F84" s="13">
        <v>475</v>
      </c>
      <c r="G84" s="5">
        <f t="shared" ref="G84" si="26">+E84*F84</f>
        <v>274550</v>
      </c>
      <c r="I84" s="3">
        <v>250</v>
      </c>
      <c r="J84" s="3">
        <v>189</v>
      </c>
      <c r="K84" s="3"/>
      <c r="L84" s="103">
        <v>128</v>
      </c>
      <c r="M84" s="3">
        <v>11</v>
      </c>
      <c r="N84" s="103"/>
      <c r="O84" s="108"/>
      <c r="P84" s="9"/>
      <c r="Q84" s="9"/>
      <c r="R84" s="9"/>
      <c r="S84" s="9"/>
    </row>
    <row r="85" spans="1:19" ht="13.95" customHeight="1">
      <c r="A85" s="1"/>
      <c r="B85" s="1"/>
      <c r="C85" s="33"/>
      <c r="D85" s="1"/>
      <c r="E85" s="3"/>
      <c r="F85" s="13"/>
      <c r="G85" s="5"/>
      <c r="I85" s="3"/>
      <c r="J85" s="3"/>
      <c r="K85" s="3"/>
      <c r="L85" s="103"/>
      <c r="M85" s="3"/>
      <c r="N85" s="103"/>
      <c r="O85" s="108"/>
      <c r="P85" s="9"/>
      <c r="Q85" s="9"/>
      <c r="R85" s="9"/>
      <c r="S85" s="9"/>
    </row>
    <row r="86" spans="1:19" ht="19.95" customHeight="1">
      <c r="A86" s="1"/>
      <c r="B86" s="1" t="s">
        <v>86</v>
      </c>
      <c r="C86" s="34" t="s">
        <v>26</v>
      </c>
      <c r="D86" s="1"/>
      <c r="E86" s="3"/>
      <c r="F86" s="13"/>
      <c r="G86" s="5"/>
      <c r="I86" s="3"/>
      <c r="J86" s="3"/>
      <c r="K86" s="3"/>
      <c r="L86" s="103"/>
      <c r="M86" s="3"/>
      <c r="N86" s="103"/>
      <c r="O86" s="108"/>
      <c r="P86" s="9"/>
      <c r="Q86" s="9"/>
      <c r="R86" s="9"/>
      <c r="S86" s="9"/>
    </row>
    <row r="87" spans="1:19" ht="13.95" customHeight="1">
      <c r="A87" s="1"/>
      <c r="B87" s="1"/>
      <c r="C87" s="33"/>
      <c r="D87" s="1"/>
      <c r="E87" s="3"/>
      <c r="F87" s="13"/>
      <c r="G87" s="5"/>
      <c r="I87" s="3"/>
      <c r="J87" s="3"/>
      <c r="K87" s="3"/>
      <c r="L87" s="103"/>
      <c r="M87" s="3"/>
      <c r="N87" s="103"/>
      <c r="O87" s="108"/>
      <c r="P87" s="9"/>
      <c r="Q87" s="9"/>
      <c r="R87" s="9"/>
      <c r="S87" s="9"/>
    </row>
    <row r="88" spans="1:19" ht="13.95" customHeight="1">
      <c r="A88" s="1"/>
      <c r="B88" s="1"/>
      <c r="C88" s="37" t="s">
        <v>17</v>
      </c>
      <c r="D88" s="1"/>
      <c r="E88" s="3"/>
      <c r="F88" s="13"/>
      <c r="G88" s="5"/>
      <c r="I88" s="3"/>
      <c r="J88" s="3"/>
      <c r="K88" s="3"/>
      <c r="L88" s="103"/>
      <c r="M88" s="3"/>
      <c r="N88" s="103"/>
      <c r="O88" s="108"/>
      <c r="P88" s="9"/>
      <c r="Q88" s="9"/>
      <c r="R88" s="9"/>
      <c r="S88" s="9"/>
    </row>
    <row r="89" spans="1:19" ht="13.95" customHeight="1">
      <c r="A89" s="1"/>
      <c r="B89" s="1"/>
      <c r="C89" s="33"/>
      <c r="D89" s="1"/>
      <c r="E89" s="3"/>
      <c r="F89" s="13"/>
      <c r="G89" s="5"/>
      <c r="I89" s="3"/>
      <c r="J89" s="3"/>
      <c r="K89" s="3"/>
      <c r="L89" s="103"/>
      <c r="M89" s="3"/>
      <c r="N89" s="103"/>
      <c r="O89" s="108"/>
      <c r="P89" s="9"/>
      <c r="Q89" s="9"/>
      <c r="R89" s="9"/>
      <c r="S89" s="9"/>
    </row>
    <row r="90" spans="1:19" ht="13.95" customHeight="1">
      <c r="A90" s="1">
        <v>14</v>
      </c>
      <c r="B90" s="1"/>
      <c r="C90" s="33" t="s">
        <v>201</v>
      </c>
      <c r="D90" s="1" t="s">
        <v>60</v>
      </c>
      <c r="E90" s="3">
        <f>SUM(I90:S90)</f>
        <v>147</v>
      </c>
      <c r="F90" s="13">
        <v>750</v>
      </c>
      <c r="G90" s="5">
        <f t="shared" ref="G90" si="27">+E90*F90</f>
        <v>110250</v>
      </c>
      <c r="I90" s="3">
        <v>132</v>
      </c>
      <c r="J90" s="3"/>
      <c r="K90" s="3"/>
      <c r="L90" s="103"/>
      <c r="M90" s="3"/>
      <c r="N90" s="103">
        <v>15</v>
      </c>
      <c r="O90" s="108"/>
      <c r="P90" s="9"/>
      <c r="Q90" s="9"/>
      <c r="R90" s="9"/>
      <c r="S90" s="9"/>
    </row>
    <row r="91" spans="1:19" ht="13.95" customHeight="1">
      <c r="A91" s="1"/>
      <c r="B91" s="1"/>
      <c r="C91" s="33"/>
      <c r="D91" s="1"/>
      <c r="E91" s="3"/>
      <c r="F91" s="13"/>
      <c r="G91" s="5"/>
      <c r="I91" s="3"/>
      <c r="J91" s="3"/>
      <c r="K91" s="3"/>
      <c r="L91" s="103"/>
      <c r="M91" s="3"/>
      <c r="N91" s="103"/>
      <c r="O91" s="108"/>
      <c r="P91" s="9"/>
      <c r="Q91" s="9"/>
      <c r="R91" s="9"/>
      <c r="S91" s="9"/>
    </row>
    <row r="92" spans="1:19" ht="13.95" customHeight="1">
      <c r="A92" s="1">
        <v>15</v>
      </c>
      <c r="B92" s="1"/>
      <c r="C92" s="33" t="s">
        <v>224</v>
      </c>
      <c r="D92" s="1" t="s">
        <v>60</v>
      </c>
      <c r="E92" s="3">
        <f>SUM(I92:S92)</f>
        <v>0</v>
      </c>
      <c r="F92" s="13">
        <v>635</v>
      </c>
      <c r="G92" s="5">
        <f t="shared" ref="G92" si="28">+E92*F92</f>
        <v>0</v>
      </c>
      <c r="I92" s="3"/>
      <c r="J92" s="3"/>
      <c r="K92" s="3"/>
      <c r="L92" s="103"/>
      <c r="M92" s="3"/>
      <c r="N92" s="103"/>
      <c r="O92" s="108"/>
      <c r="P92" s="9"/>
      <c r="Q92" s="9"/>
      <c r="R92" s="9"/>
      <c r="S92" s="9"/>
    </row>
    <row r="93" spans="1:19" ht="13.95" customHeight="1">
      <c r="A93" s="1"/>
      <c r="B93" s="1"/>
      <c r="C93" s="33"/>
      <c r="D93" s="1"/>
      <c r="E93" s="3"/>
      <c r="F93" s="13"/>
      <c r="G93" s="5"/>
      <c r="I93" s="3"/>
      <c r="J93" s="3"/>
      <c r="K93" s="3"/>
      <c r="L93" s="103"/>
      <c r="M93" s="3"/>
      <c r="N93" s="103"/>
      <c r="O93" s="108"/>
      <c r="P93" s="9"/>
      <c r="Q93" s="9"/>
      <c r="R93" s="9"/>
      <c r="S93" s="9"/>
    </row>
    <row r="94" spans="1:19" ht="13.95" customHeight="1">
      <c r="A94" s="1">
        <v>16</v>
      </c>
      <c r="B94" s="1"/>
      <c r="C94" s="33" t="s">
        <v>39</v>
      </c>
      <c r="D94" s="1" t="s">
        <v>60</v>
      </c>
      <c r="E94" s="3">
        <f>SUM(I94:S94)</f>
        <v>612</v>
      </c>
      <c r="F94" s="13">
        <v>850</v>
      </c>
      <c r="G94" s="5">
        <f t="shared" ref="G94" si="29">+E94*F94</f>
        <v>520200</v>
      </c>
      <c r="I94" s="3"/>
      <c r="J94" s="3"/>
      <c r="K94" s="3"/>
      <c r="L94" s="103">
        <v>576</v>
      </c>
      <c r="M94" s="3">
        <v>36</v>
      </c>
      <c r="N94" s="103"/>
      <c r="O94" s="108"/>
      <c r="P94" s="9"/>
      <c r="Q94" s="9"/>
      <c r="R94" s="9"/>
      <c r="S94" s="9"/>
    </row>
    <row r="95" spans="1:19" ht="13.95" customHeight="1">
      <c r="A95" s="1"/>
      <c r="B95" s="1"/>
      <c r="C95" s="33"/>
      <c r="D95" s="1"/>
      <c r="E95" s="3"/>
      <c r="F95" s="13"/>
      <c r="G95" s="5"/>
      <c r="I95" s="3"/>
      <c r="J95" s="3"/>
      <c r="K95" s="3"/>
      <c r="L95" s="103"/>
      <c r="M95" s="3"/>
      <c r="N95" s="103"/>
      <c r="O95" s="108"/>
      <c r="P95" s="9"/>
      <c r="Q95" s="9"/>
      <c r="R95" s="9"/>
      <c r="S95" s="9"/>
    </row>
    <row r="96" spans="1:19" ht="13.95" customHeight="1">
      <c r="A96" s="1">
        <v>17</v>
      </c>
      <c r="B96" s="1"/>
      <c r="C96" s="33" t="s">
        <v>247</v>
      </c>
      <c r="D96" s="1" t="s">
        <v>60</v>
      </c>
      <c r="E96" s="3">
        <f>SUM(I96:S96)</f>
        <v>0</v>
      </c>
      <c r="F96" s="13">
        <v>775</v>
      </c>
      <c r="G96" s="5">
        <f t="shared" ref="G96" si="30">+E96*F96</f>
        <v>0</v>
      </c>
      <c r="I96" s="3"/>
      <c r="J96" s="3"/>
      <c r="K96" s="3"/>
      <c r="L96" s="103"/>
      <c r="M96" s="3"/>
      <c r="N96" s="103"/>
      <c r="O96" s="108"/>
      <c r="P96" s="9"/>
      <c r="Q96" s="9"/>
      <c r="R96" s="9"/>
      <c r="S96" s="9"/>
    </row>
    <row r="97" spans="1:19" ht="13.95" customHeight="1">
      <c r="A97" s="1"/>
      <c r="B97" s="1"/>
      <c r="C97" s="33"/>
      <c r="D97" s="1"/>
      <c r="E97" s="3"/>
      <c r="F97" s="13"/>
      <c r="G97" s="5"/>
      <c r="I97" s="3"/>
      <c r="J97" s="3"/>
      <c r="K97" s="3"/>
      <c r="L97" s="103"/>
      <c r="M97" s="3"/>
      <c r="N97" s="103"/>
      <c r="O97" s="108"/>
      <c r="P97" s="9"/>
      <c r="Q97" s="9"/>
      <c r="R97" s="9"/>
      <c r="S97" s="9"/>
    </row>
    <row r="98" spans="1:19" ht="20.100000000000001" customHeight="1">
      <c r="A98" s="149" t="s">
        <v>66</v>
      </c>
      <c r="B98" s="150"/>
      <c r="C98" s="150"/>
      <c r="D98" s="150"/>
      <c r="E98" s="150"/>
      <c r="F98" s="151"/>
      <c r="G98" s="116">
        <f>SUM(G54:G97)</f>
        <v>4429553.75</v>
      </c>
      <c r="I98" s="9"/>
      <c r="J98" s="9"/>
      <c r="K98" s="9"/>
      <c r="L98" s="103"/>
      <c r="M98" s="9"/>
      <c r="N98" s="103"/>
      <c r="O98" s="108"/>
      <c r="P98" s="9"/>
      <c r="Q98" s="9"/>
      <c r="R98" s="9"/>
      <c r="S98" s="9"/>
    </row>
    <row r="99" spans="1:19" ht="13.95" customHeight="1">
      <c r="A99" s="39"/>
      <c r="B99" s="39"/>
      <c r="C99" s="39"/>
      <c r="D99" s="39"/>
      <c r="E99" s="39"/>
      <c r="F99" s="39"/>
      <c r="G99" s="113"/>
      <c r="I99" s="9"/>
      <c r="J99" s="9"/>
      <c r="K99" s="9"/>
      <c r="L99" s="103"/>
      <c r="M99" s="9"/>
      <c r="N99" s="103"/>
      <c r="O99" s="108"/>
      <c r="P99" s="9"/>
      <c r="Q99" s="9"/>
      <c r="R99" s="9"/>
      <c r="S99" s="9"/>
    </row>
    <row r="100" spans="1:19" ht="13.95" customHeight="1">
      <c r="A100" s="39"/>
      <c r="B100" s="39"/>
      <c r="C100" s="39"/>
      <c r="D100" s="39"/>
      <c r="E100" s="39"/>
      <c r="F100" s="39"/>
      <c r="G100" s="113"/>
      <c r="I100" s="9"/>
      <c r="J100" s="9"/>
      <c r="K100" s="9"/>
      <c r="L100" s="103"/>
      <c r="M100" s="9"/>
      <c r="N100" s="103"/>
      <c r="O100" s="108"/>
      <c r="P100" s="9"/>
      <c r="Q100" s="9"/>
      <c r="R100" s="9"/>
      <c r="S100" s="9"/>
    </row>
    <row r="101" spans="1:19" ht="22.2" customHeight="1">
      <c r="A101" s="44" t="s">
        <v>8</v>
      </c>
      <c r="B101" s="48" t="s">
        <v>9</v>
      </c>
      <c r="C101" s="44" t="s">
        <v>10</v>
      </c>
      <c r="D101" s="48" t="s">
        <v>11</v>
      </c>
      <c r="E101" s="48" t="s">
        <v>59</v>
      </c>
      <c r="F101" s="49" t="s">
        <v>12</v>
      </c>
      <c r="G101" s="111" t="s">
        <v>13</v>
      </c>
      <c r="I101" s="9"/>
      <c r="J101" s="9"/>
      <c r="K101" s="9"/>
      <c r="L101" s="103"/>
      <c r="M101" s="9"/>
      <c r="N101" s="103"/>
      <c r="O101" s="108"/>
      <c r="P101" s="9"/>
      <c r="Q101" s="9"/>
      <c r="R101" s="9"/>
      <c r="S101" s="9"/>
    </row>
    <row r="102" spans="1:19" ht="20.100000000000001" customHeight="1">
      <c r="A102" s="149" t="s">
        <v>67</v>
      </c>
      <c r="B102" s="150"/>
      <c r="C102" s="150"/>
      <c r="D102" s="150"/>
      <c r="E102" s="150"/>
      <c r="F102" s="151"/>
      <c r="G102" s="116">
        <f>+G98</f>
        <v>4429553.75</v>
      </c>
      <c r="I102" s="9"/>
      <c r="J102" s="9"/>
      <c r="K102" s="9"/>
      <c r="L102" s="103"/>
      <c r="M102" s="9"/>
      <c r="N102" s="103"/>
      <c r="O102" s="108"/>
      <c r="P102" s="9"/>
      <c r="Q102" s="9"/>
      <c r="R102" s="9"/>
      <c r="S102" s="9"/>
    </row>
    <row r="103" spans="1:19" ht="13.95" customHeight="1">
      <c r="A103" s="1"/>
      <c r="B103" s="1"/>
      <c r="C103" s="33"/>
      <c r="D103" s="1"/>
      <c r="E103" s="3"/>
      <c r="F103" s="13"/>
      <c r="G103" s="5"/>
      <c r="I103" s="3"/>
      <c r="J103" s="3"/>
      <c r="K103" s="3"/>
      <c r="L103" s="103"/>
      <c r="M103" s="3"/>
      <c r="N103" s="103"/>
      <c r="O103" s="108"/>
      <c r="P103" s="9"/>
      <c r="Q103" s="9"/>
      <c r="R103" s="9"/>
      <c r="S103" s="9"/>
    </row>
    <row r="104" spans="1:19" ht="13.95" customHeight="1">
      <c r="A104" s="1"/>
      <c r="B104" s="1"/>
      <c r="C104" s="37" t="s">
        <v>248</v>
      </c>
      <c r="D104" s="1"/>
      <c r="E104" s="3"/>
      <c r="F104" s="13"/>
      <c r="G104" s="5"/>
      <c r="I104" s="3"/>
      <c r="J104" s="3"/>
      <c r="K104" s="3"/>
      <c r="L104" s="103"/>
      <c r="M104" s="3"/>
      <c r="N104" s="103"/>
      <c r="O104" s="108"/>
      <c r="P104" s="9"/>
      <c r="Q104" s="9"/>
      <c r="R104" s="9"/>
      <c r="S104" s="9"/>
    </row>
    <row r="105" spans="1:19" ht="13.95" customHeight="1">
      <c r="A105" s="1"/>
      <c r="B105" s="1"/>
      <c r="C105" s="33"/>
      <c r="D105" s="1"/>
      <c r="E105" s="3"/>
      <c r="F105" s="13"/>
      <c r="G105" s="5"/>
      <c r="I105" s="3"/>
      <c r="J105" s="3"/>
      <c r="K105" s="3"/>
      <c r="L105" s="103"/>
      <c r="M105" s="3"/>
      <c r="N105" s="103"/>
      <c r="O105" s="108"/>
      <c r="P105" s="9"/>
      <c r="Q105" s="9"/>
      <c r="R105" s="9"/>
      <c r="S105" s="9"/>
    </row>
    <row r="106" spans="1:19" ht="13.95" customHeight="1">
      <c r="A106" s="1">
        <v>18</v>
      </c>
      <c r="B106" s="1"/>
      <c r="C106" s="33" t="s">
        <v>249</v>
      </c>
      <c r="D106" s="1" t="s">
        <v>60</v>
      </c>
      <c r="E106" s="3">
        <f>SUM(I106:S106)</f>
        <v>0</v>
      </c>
      <c r="F106" s="13">
        <v>1150</v>
      </c>
      <c r="G106" s="5">
        <f t="shared" ref="G106" si="31">+E106*F106</f>
        <v>0</v>
      </c>
      <c r="I106" s="3"/>
      <c r="J106" s="3"/>
      <c r="K106" s="3"/>
      <c r="L106" s="103"/>
      <c r="M106" s="3"/>
      <c r="N106" s="103"/>
      <c r="O106" s="108"/>
      <c r="P106" s="9"/>
      <c r="Q106" s="9"/>
      <c r="R106" s="9"/>
      <c r="S106" s="9"/>
    </row>
    <row r="107" spans="1:19" ht="13.95" customHeight="1">
      <c r="A107" s="1"/>
      <c r="B107" s="1"/>
      <c r="C107" s="33"/>
      <c r="D107" s="1"/>
      <c r="E107" s="3"/>
      <c r="F107" s="13"/>
      <c r="G107" s="5"/>
      <c r="I107" s="3"/>
      <c r="J107" s="3"/>
      <c r="K107" s="3"/>
      <c r="L107" s="103"/>
      <c r="M107" s="3"/>
      <c r="N107" s="103"/>
      <c r="O107" s="108"/>
      <c r="P107" s="9"/>
      <c r="Q107" s="9"/>
      <c r="R107" s="9"/>
      <c r="S107" s="9"/>
    </row>
    <row r="108" spans="1:19" ht="13.95" customHeight="1">
      <c r="A108" s="1"/>
      <c r="B108" s="1" t="s">
        <v>89</v>
      </c>
      <c r="C108" s="32" t="s">
        <v>156</v>
      </c>
      <c r="D108" s="1"/>
      <c r="E108" s="3"/>
      <c r="F108" s="4"/>
      <c r="G108" s="5"/>
      <c r="I108" s="9"/>
      <c r="J108" s="9"/>
      <c r="K108" s="9"/>
      <c r="L108" s="103"/>
      <c r="M108" s="9"/>
      <c r="N108" s="103"/>
      <c r="O108" s="108"/>
      <c r="P108" s="9"/>
      <c r="Q108" s="9"/>
      <c r="R108" s="9"/>
      <c r="S108" s="9"/>
    </row>
    <row r="109" spans="1:19" ht="13.95" customHeight="1">
      <c r="A109" s="1"/>
      <c r="B109" s="1"/>
      <c r="C109" s="33"/>
      <c r="D109" s="1"/>
      <c r="E109" s="3"/>
      <c r="F109" s="4"/>
      <c r="G109" s="5"/>
      <c r="I109" s="9"/>
      <c r="J109" s="9"/>
      <c r="K109" s="9"/>
      <c r="L109" s="103"/>
      <c r="M109" s="9"/>
      <c r="N109" s="103"/>
      <c r="O109" s="108"/>
      <c r="P109" s="9"/>
      <c r="Q109" s="9"/>
      <c r="R109" s="9"/>
      <c r="S109" s="9"/>
    </row>
    <row r="110" spans="1:19" ht="13.95" customHeight="1">
      <c r="A110" s="1">
        <v>19</v>
      </c>
      <c r="B110" s="1"/>
      <c r="C110" s="47" t="s">
        <v>244</v>
      </c>
      <c r="D110" s="1" t="s">
        <v>1</v>
      </c>
      <c r="E110" s="3">
        <f>SUM(I110:S110)</f>
        <v>160</v>
      </c>
      <c r="F110" s="3">
        <v>135</v>
      </c>
      <c r="G110" s="5">
        <f t="shared" ref="G110" si="32">+E110*F110</f>
        <v>21600</v>
      </c>
      <c r="I110" s="3"/>
      <c r="J110" s="3"/>
      <c r="K110" s="3">
        <v>160</v>
      </c>
      <c r="L110" s="103"/>
      <c r="M110" s="3"/>
      <c r="N110" s="103"/>
      <c r="O110" s="108"/>
      <c r="P110" s="9"/>
      <c r="Q110" s="9"/>
      <c r="R110" s="9"/>
      <c r="S110" s="9"/>
    </row>
    <row r="111" spans="1:19" ht="13.95" customHeight="1">
      <c r="A111" s="1"/>
      <c r="B111" s="1"/>
      <c r="C111" s="33"/>
      <c r="D111" s="1"/>
      <c r="E111" s="3"/>
      <c r="F111" s="4"/>
      <c r="G111" s="5"/>
      <c r="I111" s="3"/>
      <c r="J111" s="3"/>
      <c r="K111" s="3"/>
      <c r="L111" s="103"/>
      <c r="M111" s="3"/>
      <c r="N111" s="103"/>
      <c r="O111" s="108"/>
      <c r="P111" s="9"/>
      <c r="Q111" s="9"/>
      <c r="R111" s="9"/>
      <c r="S111" s="9"/>
    </row>
    <row r="112" spans="1:19" ht="13.95" customHeight="1">
      <c r="A112" s="1"/>
      <c r="B112" s="1" t="s">
        <v>90</v>
      </c>
      <c r="C112" s="32" t="s">
        <v>36</v>
      </c>
      <c r="D112" s="1"/>
      <c r="E112" s="3"/>
      <c r="F112" s="4"/>
      <c r="G112" s="5"/>
      <c r="I112" s="3"/>
      <c r="J112" s="3"/>
      <c r="K112" s="3"/>
      <c r="L112" s="103"/>
      <c r="M112" s="3"/>
      <c r="N112" s="103"/>
      <c r="O112" s="108"/>
      <c r="P112" s="9"/>
      <c r="Q112" s="9"/>
      <c r="R112" s="9"/>
      <c r="S112" s="9"/>
    </row>
    <row r="113" spans="1:19" ht="13.95" customHeight="1">
      <c r="A113" s="1"/>
      <c r="B113" s="1"/>
      <c r="C113" s="33"/>
      <c r="D113" s="1"/>
      <c r="E113" s="3"/>
      <c r="F113" s="4"/>
      <c r="G113" s="5"/>
      <c r="I113" s="3"/>
      <c r="J113" s="3"/>
      <c r="K113" s="3"/>
      <c r="L113" s="103"/>
      <c r="M113" s="3"/>
      <c r="N113" s="103"/>
      <c r="O113" s="108"/>
      <c r="P113" s="9"/>
      <c r="Q113" s="9"/>
      <c r="R113" s="9"/>
      <c r="S113" s="9"/>
    </row>
    <row r="114" spans="1:19" ht="24" customHeight="1">
      <c r="A114" s="1"/>
      <c r="B114" s="1"/>
      <c r="C114" s="33" t="s">
        <v>225</v>
      </c>
      <c r="D114" s="1"/>
      <c r="E114" s="3"/>
      <c r="F114" s="4"/>
      <c r="G114" s="5"/>
      <c r="I114" s="3"/>
      <c r="J114" s="3"/>
      <c r="K114" s="3"/>
      <c r="L114" s="103"/>
      <c r="M114" s="3"/>
      <c r="N114" s="103"/>
      <c r="O114" s="108"/>
      <c r="P114" s="9"/>
      <c r="Q114" s="9"/>
      <c r="R114" s="9"/>
      <c r="S114" s="9"/>
    </row>
    <row r="115" spans="1:19" ht="13.95" customHeight="1">
      <c r="A115" s="1"/>
      <c r="B115" s="1"/>
      <c r="C115" s="33"/>
      <c r="D115" s="1"/>
      <c r="E115" s="3"/>
      <c r="F115" s="4"/>
      <c r="G115" s="5"/>
      <c r="I115" s="3"/>
      <c r="J115" s="3"/>
      <c r="K115" s="3"/>
      <c r="L115" s="103"/>
      <c r="M115" s="3"/>
      <c r="N115" s="103"/>
      <c r="O115" s="108"/>
      <c r="P115" s="9"/>
      <c r="Q115" s="9"/>
      <c r="R115" s="9"/>
      <c r="S115" s="9"/>
    </row>
    <row r="116" spans="1:19" ht="13.95" customHeight="1">
      <c r="A116" s="1">
        <v>20</v>
      </c>
      <c r="B116" s="1"/>
      <c r="C116" s="33" t="s">
        <v>37</v>
      </c>
      <c r="D116" s="1" t="s">
        <v>6</v>
      </c>
      <c r="E116" s="3">
        <f>SUM(I116:S116)</f>
        <v>264</v>
      </c>
      <c r="F116" s="3">
        <v>75</v>
      </c>
      <c r="G116" s="5">
        <f t="shared" ref="G116" si="33">+E116*F116</f>
        <v>19800</v>
      </c>
      <c r="I116" s="3">
        <v>200</v>
      </c>
      <c r="J116" s="3"/>
      <c r="K116" s="3"/>
      <c r="L116" s="103"/>
      <c r="M116" s="3"/>
      <c r="N116" s="103">
        <v>64</v>
      </c>
      <c r="O116" s="108"/>
      <c r="P116" s="9"/>
      <c r="Q116" s="9"/>
      <c r="R116" s="9"/>
      <c r="S116" s="9"/>
    </row>
    <row r="117" spans="1:19" ht="13.95" customHeight="1">
      <c r="A117" s="1"/>
      <c r="B117" s="1"/>
      <c r="C117" s="33"/>
      <c r="D117" s="1"/>
      <c r="E117" s="3"/>
      <c r="F117" s="3"/>
      <c r="G117" s="5"/>
      <c r="I117" s="3"/>
      <c r="J117" s="3"/>
      <c r="K117" s="3"/>
      <c r="L117" s="103"/>
      <c r="M117" s="3"/>
      <c r="N117" s="103"/>
      <c r="O117" s="108"/>
      <c r="P117" s="9"/>
      <c r="Q117" s="9"/>
      <c r="R117" s="9"/>
      <c r="S117" s="9"/>
    </row>
    <row r="118" spans="1:19" ht="13.95" customHeight="1">
      <c r="A118" s="1"/>
      <c r="B118" s="1"/>
      <c r="C118" s="33" t="s">
        <v>226</v>
      </c>
      <c r="D118" s="1" t="s">
        <v>6</v>
      </c>
      <c r="E118" s="3">
        <f>SUM(I118:S118)</f>
        <v>0</v>
      </c>
      <c r="F118" s="3">
        <v>275</v>
      </c>
      <c r="G118" s="5">
        <f t="shared" ref="G118" si="34">+E118*F118</f>
        <v>0</v>
      </c>
      <c r="I118" s="3"/>
      <c r="J118" s="3"/>
      <c r="K118" s="3"/>
      <c r="L118" s="103"/>
      <c r="M118" s="3"/>
      <c r="N118" s="103"/>
      <c r="O118" s="108"/>
      <c r="P118" s="9"/>
      <c r="Q118" s="9"/>
      <c r="R118" s="9"/>
      <c r="S118" s="9"/>
    </row>
    <row r="119" spans="1:19" ht="13.95" customHeight="1">
      <c r="A119" s="1"/>
      <c r="B119" s="1"/>
      <c r="D119" s="1"/>
      <c r="E119" s="3"/>
      <c r="F119" s="4"/>
      <c r="G119" s="5"/>
      <c r="I119" s="3"/>
      <c r="J119" s="3"/>
      <c r="K119" s="3"/>
      <c r="L119" s="103"/>
      <c r="M119" s="3"/>
      <c r="N119" s="103"/>
      <c r="O119" s="108"/>
      <c r="P119" s="9"/>
      <c r="Q119" s="9"/>
      <c r="R119" s="9"/>
      <c r="S119" s="9"/>
    </row>
    <row r="120" spans="1:19" ht="13.95" customHeight="1">
      <c r="A120" s="1"/>
      <c r="B120" s="1"/>
      <c r="C120" s="42" t="s">
        <v>104</v>
      </c>
      <c r="D120" s="1"/>
      <c r="E120" s="3"/>
      <c r="F120" s="4"/>
      <c r="G120" s="5"/>
      <c r="I120" s="3"/>
      <c r="J120" s="3"/>
      <c r="K120" s="3"/>
      <c r="L120" s="103"/>
      <c r="M120" s="3"/>
      <c r="N120" s="103"/>
      <c r="O120" s="108"/>
      <c r="P120" s="9"/>
      <c r="Q120" s="9"/>
      <c r="R120" s="9"/>
      <c r="S120" s="9"/>
    </row>
    <row r="121" spans="1:19" ht="13.95" customHeight="1">
      <c r="A121" s="1"/>
      <c r="B121" s="1"/>
      <c r="C121" s="6"/>
      <c r="D121" s="1"/>
      <c r="E121" s="3"/>
      <c r="F121" s="4"/>
      <c r="G121" s="5"/>
      <c r="I121" s="3"/>
      <c r="J121" s="3"/>
      <c r="K121" s="3"/>
      <c r="L121" s="103"/>
      <c r="M121" s="3"/>
      <c r="N121" s="103"/>
      <c r="O121" s="108"/>
      <c r="P121" s="9"/>
      <c r="Q121" s="9"/>
      <c r="R121" s="9"/>
      <c r="S121" s="9"/>
    </row>
    <row r="122" spans="1:19" ht="13.95" customHeight="1">
      <c r="A122" s="1">
        <f>A116+1</f>
        <v>21</v>
      </c>
      <c r="B122" s="1"/>
      <c r="C122" s="6" t="s">
        <v>106</v>
      </c>
      <c r="D122" s="1" t="s">
        <v>1</v>
      </c>
      <c r="E122" s="3">
        <f>SUM(I122:S122)</f>
        <v>1066</v>
      </c>
      <c r="F122" s="3">
        <v>36</v>
      </c>
      <c r="G122" s="5">
        <f t="shared" ref="G122" si="35">+E122*F122</f>
        <v>38376</v>
      </c>
      <c r="I122" s="3">
        <v>370</v>
      </c>
      <c r="J122" s="3">
        <v>316</v>
      </c>
      <c r="K122" s="3"/>
      <c r="L122" s="103">
        <v>320</v>
      </c>
      <c r="M122" s="3"/>
      <c r="N122" s="103">
        <v>60</v>
      </c>
      <c r="O122" s="108"/>
      <c r="P122" s="9"/>
      <c r="Q122" s="9"/>
      <c r="R122" s="9"/>
      <c r="S122" s="9"/>
    </row>
    <row r="123" spans="1:19" ht="13.95" customHeight="1">
      <c r="A123" s="1"/>
      <c r="B123" s="1"/>
      <c r="C123" s="6"/>
      <c r="D123" s="1"/>
      <c r="E123" s="3"/>
      <c r="F123" s="4"/>
      <c r="G123" s="5"/>
      <c r="I123" s="3"/>
      <c r="J123" s="3"/>
      <c r="K123" s="3"/>
      <c r="L123" s="103"/>
      <c r="M123" s="3"/>
      <c r="N123" s="103"/>
      <c r="O123" s="108"/>
      <c r="P123" s="9"/>
      <c r="Q123" s="9"/>
      <c r="R123" s="9"/>
      <c r="S123" s="9"/>
    </row>
    <row r="124" spans="1:19" ht="13.95" customHeight="1">
      <c r="A124" s="1"/>
      <c r="B124" s="2" t="s">
        <v>91</v>
      </c>
      <c r="C124" s="34" t="s">
        <v>18</v>
      </c>
      <c r="D124" s="1"/>
      <c r="E124" s="3"/>
      <c r="F124" s="4"/>
      <c r="G124" s="5"/>
      <c r="I124" s="3"/>
      <c r="J124" s="3"/>
      <c r="K124" s="3"/>
      <c r="L124" s="103"/>
      <c r="M124" s="3"/>
      <c r="N124" s="103"/>
      <c r="O124" s="108"/>
      <c r="P124" s="9"/>
      <c r="Q124" s="9"/>
      <c r="R124" s="9"/>
      <c r="S124" s="9"/>
    </row>
    <row r="125" spans="1:19" ht="13.95" customHeight="1">
      <c r="A125" s="1"/>
      <c r="B125" s="1"/>
      <c r="C125" s="33"/>
      <c r="D125" s="1"/>
      <c r="E125" s="3"/>
      <c r="F125" s="4"/>
      <c r="G125" s="5"/>
      <c r="I125" s="3"/>
      <c r="J125" s="3"/>
      <c r="K125" s="3"/>
      <c r="L125" s="103"/>
      <c r="M125" s="3"/>
      <c r="N125" s="103"/>
      <c r="O125" s="108"/>
      <c r="P125" s="9"/>
      <c r="Q125" s="9"/>
      <c r="R125" s="9"/>
      <c r="S125" s="9"/>
    </row>
    <row r="126" spans="1:19" ht="13.95" customHeight="1">
      <c r="A126" s="1"/>
      <c r="B126" s="1" t="s">
        <v>84</v>
      </c>
      <c r="C126" s="32" t="s">
        <v>19</v>
      </c>
      <c r="D126" s="1"/>
      <c r="E126" s="3"/>
      <c r="F126" s="4"/>
      <c r="G126" s="5"/>
      <c r="I126" s="3"/>
      <c r="J126" s="3"/>
      <c r="K126" s="3"/>
      <c r="L126" s="103"/>
      <c r="M126" s="3"/>
      <c r="N126" s="103"/>
      <c r="O126" s="108"/>
      <c r="P126" s="9"/>
      <c r="Q126" s="9"/>
      <c r="R126" s="9"/>
      <c r="S126" s="9"/>
    </row>
    <row r="127" spans="1:19" ht="13.95" customHeight="1">
      <c r="A127" s="1"/>
      <c r="B127" s="1"/>
      <c r="C127" s="33"/>
      <c r="D127" s="1"/>
      <c r="E127" s="3"/>
      <c r="F127" s="4"/>
      <c r="G127" s="5"/>
      <c r="I127" s="3"/>
      <c r="J127" s="3"/>
      <c r="K127" s="3"/>
      <c r="L127" s="103"/>
      <c r="M127" s="3"/>
      <c r="N127" s="103"/>
      <c r="O127" s="108"/>
      <c r="P127" s="9"/>
      <c r="Q127" s="9"/>
      <c r="R127" s="9"/>
      <c r="S127" s="9"/>
    </row>
    <row r="128" spans="1:19" ht="13.95" customHeight="1">
      <c r="A128" s="1">
        <f>A122+1</f>
        <v>22</v>
      </c>
      <c r="B128" s="1"/>
      <c r="C128" s="33" t="s">
        <v>72</v>
      </c>
      <c r="D128" s="1" t="s">
        <v>2</v>
      </c>
      <c r="E128" s="3">
        <f>SUM(I128:S128)</f>
        <v>35.299999999999997</v>
      </c>
      <c r="F128" s="3">
        <v>25750</v>
      </c>
      <c r="G128" s="5">
        <f t="shared" ref="G128" si="36">+E128*F128</f>
        <v>908974.99999999988</v>
      </c>
      <c r="I128" s="4">
        <v>11.3</v>
      </c>
      <c r="J128" s="4">
        <v>3</v>
      </c>
      <c r="K128" s="4"/>
      <c r="L128" s="103">
        <v>18</v>
      </c>
      <c r="M128" s="4">
        <v>2.2999999999999998</v>
      </c>
      <c r="N128" s="103">
        <v>0.7</v>
      </c>
      <c r="O128" s="108"/>
      <c r="P128" s="9"/>
      <c r="Q128" s="9"/>
      <c r="R128" s="9"/>
      <c r="S128" s="9"/>
    </row>
    <row r="129" spans="1:19" ht="13.95" customHeight="1">
      <c r="A129" s="1"/>
      <c r="B129" s="1"/>
      <c r="C129" s="33"/>
      <c r="D129" s="1"/>
      <c r="E129" s="3"/>
      <c r="F129" s="4"/>
      <c r="G129" s="5"/>
      <c r="I129" s="3"/>
      <c r="J129" s="3"/>
      <c r="K129" s="3"/>
      <c r="L129" s="103"/>
      <c r="M129" s="3"/>
      <c r="N129" s="103"/>
      <c r="O129" s="108"/>
      <c r="P129" s="9"/>
      <c r="Q129" s="9"/>
      <c r="R129" s="9"/>
      <c r="S129" s="9"/>
    </row>
    <row r="130" spans="1:19" ht="13.95" customHeight="1">
      <c r="A130" s="1"/>
      <c r="B130" s="1" t="s">
        <v>92</v>
      </c>
      <c r="C130" s="32" t="s">
        <v>3</v>
      </c>
      <c r="D130" s="1"/>
      <c r="E130" s="3"/>
      <c r="F130" s="4"/>
      <c r="G130" s="5"/>
      <c r="I130" s="3"/>
      <c r="J130" s="3"/>
      <c r="K130" s="3"/>
      <c r="L130" s="103"/>
      <c r="M130" s="3"/>
      <c r="N130" s="103"/>
      <c r="O130" s="108"/>
      <c r="P130" s="9"/>
      <c r="Q130" s="9"/>
      <c r="R130" s="9"/>
      <c r="S130" s="9"/>
    </row>
    <row r="131" spans="1:19" ht="13.95" customHeight="1">
      <c r="A131" s="1"/>
      <c r="B131" s="1"/>
      <c r="C131" s="33"/>
      <c r="D131" s="1"/>
      <c r="E131" s="3"/>
      <c r="F131" s="4"/>
      <c r="G131" s="5"/>
      <c r="I131" s="3"/>
      <c r="J131" s="3"/>
      <c r="K131" s="3"/>
      <c r="L131" s="103"/>
      <c r="M131" s="3"/>
      <c r="N131" s="103"/>
      <c r="O131" s="108"/>
      <c r="P131" s="9"/>
      <c r="Q131" s="9"/>
      <c r="R131" s="9"/>
      <c r="S131" s="9"/>
    </row>
    <row r="132" spans="1:19" ht="13.95" customHeight="1">
      <c r="A132" s="1">
        <f>A128+1</f>
        <v>23</v>
      </c>
      <c r="B132" s="1"/>
      <c r="C132" s="33" t="s">
        <v>73</v>
      </c>
      <c r="D132" s="1" t="s">
        <v>60</v>
      </c>
      <c r="E132" s="3">
        <f>SUM(I132:S132)</f>
        <v>850</v>
      </c>
      <c r="F132" s="13">
        <v>345</v>
      </c>
      <c r="G132" s="15">
        <f t="shared" ref="G132" si="37">+E132*F132</f>
        <v>293250</v>
      </c>
      <c r="I132" s="3"/>
      <c r="J132" s="4"/>
      <c r="K132" s="3">
        <v>850</v>
      </c>
      <c r="L132" s="103"/>
      <c r="M132" s="3"/>
      <c r="N132" s="103"/>
      <c r="O132" s="108"/>
      <c r="P132" s="9"/>
      <c r="Q132" s="9"/>
      <c r="R132" s="9"/>
      <c r="S132" s="9"/>
    </row>
    <row r="133" spans="1:19" ht="13.95" customHeight="1">
      <c r="A133" s="1"/>
      <c r="B133" s="1"/>
      <c r="C133" s="33"/>
      <c r="D133" s="1"/>
      <c r="E133" s="3"/>
      <c r="F133" s="4"/>
      <c r="G133" s="5"/>
      <c r="I133" s="3"/>
      <c r="J133" s="3"/>
      <c r="K133" s="3"/>
      <c r="L133" s="103"/>
      <c r="M133" s="3"/>
      <c r="N133" s="103"/>
      <c r="O133" s="108"/>
      <c r="P133" s="9"/>
      <c r="Q133" s="9"/>
      <c r="R133" s="9"/>
      <c r="S133" s="9"/>
    </row>
    <row r="134" spans="1:19" ht="13.95" customHeight="1">
      <c r="A134" s="1"/>
      <c r="B134" s="36" t="s">
        <v>93</v>
      </c>
      <c r="C134" s="34" t="s">
        <v>4</v>
      </c>
      <c r="D134" s="1"/>
      <c r="E134" s="3"/>
      <c r="F134" s="4"/>
      <c r="G134" s="5"/>
      <c r="I134" s="3"/>
      <c r="J134" s="3"/>
      <c r="K134" s="3"/>
      <c r="L134" s="103"/>
      <c r="M134" s="3"/>
      <c r="N134" s="103"/>
      <c r="O134" s="108"/>
      <c r="P134" s="9"/>
      <c r="Q134" s="9"/>
      <c r="R134" s="9"/>
      <c r="S134" s="9"/>
    </row>
    <row r="135" spans="1:19" ht="13.95" customHeight="1">
      <c r="A135" s="1"/>
      <c r="C135" s="33"/>
      <c r="D135" s="1"/>
      <c r="E135" s="3"/>
      <c r="F135" s="4"/>
      <c r="G135" s="5"/>
      <c r="I135" s="3"/>
      <c r="J135" s="3"/>
      <c r="K135" s="3"/>
      <c r="L135" s="103"/>
      <c r="M135" s="3"/>
      <c r="N135" s="103"/>
      <c r="O135" s="108"/>
      <c r="P135" s="9"/>
      <c r="Q135" s="9"/>
      <c r="R135" s="9"/>
      <c r="S135" s="9"/>
    </row>
    <row r="136" spans="1:19" ht="13.95" customHeight="1">
      <c r="A136" s="1"/>
      <c r="B136" s="20" t="s">
        <v>94</v>
      </c>
      <c r="C136" s="32" t="s">
        <v>5</v>
      </c>
      <c r="D136" s="1"/>
      <c r="E136" s="3"/>
      <c r="F136" s="4"/>
      <c r="G136" s="5"/>
      <c r="I136" s="3"/>
      <c r="J136" s="3"/>
      <c r="K136" s="3"/>
      <c r="L136" s="103"/>
      <c r="M136" s="3"/>
      <c r="N136" s="103"/>
      <c r="O136" s="108"/>
      <c r="P136" s="9"/>
      <c r="Q136" s="9"/>
      <c r="R136" s="9"/>
      <c r="S136" s="9"/>
    </row>
    <row r="137" spans="1:19" ht="13.95" customHeight="1">
      <c r="A137" s="1"/>
      <c r="C137" s="33"/>
      <c r="D137" s="1"/>
      <c r="E137" s="3"/>
      <c r="F137" s="4"/>
      <c r="G137" s="5"/>
      <c r="I137" s="3"/>
      <c r="J137" s="3"/>
      <c r="K137" s="3"/>
      <c r="L137" s="103"/>
      <c r="M137" s="3"/>
      <c r="N137" s="103"/>
      <c r="O137" s="108"/>
      <c r="P137" s="9"/>
      <c r="Q137" s="9"/>
      <c r="R137" s="9"/>
      <c r="S137" s="9"/>
    </row>
    <row r="138" spans="1:19" ht="13.95" customHeight="1">
      <c r="A138" s="1"/>
      <c r="C138" s="33" t="s">
        <v>74</v>
      </c>
      <c r="D138" s="1"/>
      <c r="E138" s="3"/>
      <c r="F138" s="4"/>
      <c r="G138" s="5"/>
      <c r="I138" s="3"/>
      <c r="J138" s="3"/>
      <c r="K138" s="3"/>
      <c r="L138" s="103"/>
      <c r="M138" s="3"/>
      <c r="N138" s="103"/>
      <c r="O138" s="108"/>
      <c r="P138" s="9"/>
      <c r="Q138" s="9"/>
      <c r="R138" s="9"/>
      <c r="S138" s="9"/>
    </row>
    <row r="139" spans="1:19" ht="13.95" customHeight="1">
      <c r="A139" s="1"/>
      <c r="C139" s="33"/>
      <c r="D139" s="1"/>
      <c r="E139" s="3"/>
      <c r="F139" s="4"/>
      <c r="G139" s="5"/>
      <c r="I139" s="3"/>
      <c r="J139" s="3"/>
      <c r="K139" s="3"/>
      <c r="L139" s="103"/>
      <c r="M139" s="3"/>
      <c r="N139" s="103"/>
      <c r="O139" s="108"/>
      <c r="P139" s="9"/>
      <c r="Q139" s="9"/>
      <c r="R139" s="9"/>
      <c r="S139" s="9"/>
    </row>
    <row r="140" spans="1:19" ht="13.95" customHeight="1">
      <c r="A140" s="1">
        <f>A132+1</f>
        <v>24</v>
      </c>
      <c r="C140" s="33" t="s">
        <v>24</v>
      </c>
      <c r="D140" s="1" t="s">
        <v>60</v>
      </c>
      <c r="E140" s="3">
        <f>SUM(I140:S140)</f>
        <v>559.1</v>
      </c>
      <c r="F140" s="3">
        <v>175</v>
      </c>
      <c r="G140" s="5">
        <f t="shared" ref="G140" si="38">+E140*F140</f>
        <v>97842.5</v>
      </c>
      <c r="I140" s="3">
        <v>171.1</v>
      </c>
      <c r="J140" s="3">
        <v>158</v>
      </c>
      <c r="K140" s="3"/>
      <c r="L140" s="103">
        <v>208</v>
      </c>
      <c r="M140" s="3">
        <v>22</v>
      </c>
      <c r="N140" s="103"/>
      <c r="O140" s="108"/>
      <c r="P140" s="9"/>
      <c r="Q140" s="9"/>
      <c r="R140" s="9"/>
      <c r="S140" s="9"/>
    </row>
    <row r="141" spans="1:19" ht="13.95" customHeight="1">
      <c r="A141" s="1"/>
      <c r="B141" s="1"/>
      <c r="C141" s="33"/>
      <c r="D141" s="1"/>
      <c r="E141" s="3"/>
      <c r="F141" s="4"/>
      <c r="G141" s="5"/>
      <c r="I141" s="3"/>
      <c r="J141" s="3"/>
      <c r="K141" s="3"/>
      <c r="L141" s="103"/>
      <c r="M141" s="3"/>
      <c r="N141" s="103"/>
      <c r="O141" s="108"/>
      <c r="P141" s="9"/>
      <c r="Q141" s="9"/>
      <c r="R141" s="9"/>
      <c r="S141" s="9"/>
    </row>
    <row r="142" spans="1:19" ht="13.95" customHeight="1">
      <c r="A142" s="1"/>
      <c r="B142" s="1"/>
      <c r="C142" s="32" t="s">
        <v>158</v>
      </c>
      <c r="D142" s="1"/>
      <c r="E142" s="3"/>
      <c r="F142" s="4"/>
      <c r="G142" s="5"/>
      <c r="I142" s="3"/>
      <c r="J142" s="3"/>
      <c r="K142" s="3"/>
      <c r="L142" s="103"/>
      <c r="M142" s="3"/>
      <c r="N142" s="103"/>
      <c r="O142" s="108"/>
      <c r="P142" s="9"/>
      <c r="Q142" s="9"/>
      <c r="R142" s="9"/>
      <c r="S142" s="9"/>
    </row>
    <row r="143" spans="1:19" ht="13.95" customHeight="1">
      <c r="A143" s="1"/>
      <c r="B143" s="1"/>
      <c r="C143" s="33"/>
      <c r="D143" s="1"/>
      <c r="E143" s="3"/>
      <c r="F143" s="4"/>
      <c r="G143" s="5"/>
      <c r="I143" s="3"/>
      <c r="J143" s="3"/>
      <c r="K143" s="3"/>
      <c r="L143" s="103"/>
      <c r="M143" s="3"/>
      <c r="N143" s="103"/>
      <c r="O143" s="108"/>
      <c r="P143" s="9"/>
      <c r="Q143" s="9"/>
      <c r="R143" s="9"/>
      <c r="S143" s="9"/>
    </row>
    <row r="144" spans="1:19" ht="13.95" customHeight="1">
      <c r="A144" s="1">
        <f>A140+1</f>
        <v>25</v>
      </c>
      <c r="B144" s="1"/>
      <c r="C144" s="33" t="s">
        <v>202</v>
      </c>
      <c r="D144" s="1" t="s">
        <v>51</v>
      </c>
      <c r="E144" s="3">
        <f>SUM(I144:S144)</f>
        <v>26.1</v>
      </c>
      <c r="F144" s="3">
        <v>3550</v>
      </c>
      <c r="G144" s="5">
        <f t="shared" ref="G144" si="39">+E144*F144</f>
        <v>92655</v>
      </c>
      <c r="I144" s="3">
        <v>19.8</v>
      </c>
      <c r="J144" s="3"/>
      <c r="K144" s="3"/>
      <c r="L144" s="103"/>
      <c r="M144" s="3"/>
      <c r="N144" s="103">
        <v>6.3</v>
      </c>
      <c r="O144" s="108"/>
      <c r="P144" s="9"/>
      <c r="Q144" s="9"/>
      <c r="R144" s="9"/>
      <c r="S144" s="9"/>
    </row>
    <row r="145" spans="1:19" ht="13.95" customHeight="1">
      <c r="A145" s="1"/>
      <c r="B145" s="1"/>
      <c r="C145" s="33"/>
      <c r="D145" s="1"/>
      <c r="E145" s="3"/>
      <c r="F145" s="3"/>
      <c r="G145" s="5"/>
      <c r="I145" s="3"/>
      <c r="J145" s="3"/>
      <c r="K145" s="3"/>
      <c r="L145" s="103"/>
      <c r="M145" s="3"/>
      <c r="N145" s="103"/>
      <c r="O145" s="108"/>
      <c r="P145" s="9"/>
      <c r="Q145" s="9"/>
      <c r="R145" s="9"/>
      <c r="S145" s="9"/>
    </row>
    <row r="146" spans="1:19" ht="13.95" customHeight="1">
      <c r="A146" s="1">
        <f>A144+1</f>
        <v>26</v>
      </c>
      <c r="B146" s="1"/>
      <c r="C146" s="33" t="s">
        <v>28</v>
      </c>
      <c r="D146" s="1" t="s">
        <v>51</v>
      </c>
      <c r="E146" s="3">
        <f>SUM(I146:S146)</f>
        <v>208.1</v>
      </c>
      <c r="F146" s="3">
        <v>3200</v>
      </c>
      <c r="G146" s="5">
        <f t="shared" ref="G146" si="40">+E146*F146</f>
        <v>665920</v>
      </c>
      <c r="I146" s="3">
        <v>78.099999999999994</v>
      </c>
      <c r="J146" s="3">
        <v>38</v>
      </c>
      <c r="K146" s="3"/>
      <c r="L146" s="103">
        <v>83</v>
      </c>
      <c r="M146" s="3">
        <v>9</v>
      </c>
      <c r="N146" s="103"/>
      <c r="O146" s="108"/>
      <c r="P146" s="9"/>
      <c r="Q146" s="9"/>
      <c r="R146" s="9"/>
      <c r="S146" s="9"/>
    </row>
    <row r="147" spans="1:19" ht="13.95" customHeight="1">
      <c r="A147" s="1"/>
      <c r="B147" s="1"/>
      <c r="C147" s="33"/>
      <c r="D147" s="1"/>
      <c r="E147" s="3"/>
      <c r="F147" s="3"/>
      <c r="G147" s="5"/>
      <c r="I147" s="3"/>
      <c r="J147" s="3"/>
      <c r="K147" s="3"/>
      <c r="L147" s="103"/>
      <c r="M147" s="3"/>
      <c r="N147" s="103"/>
      <c r="O147" s="108"/>
      <c r="P147" s="9"/>
      <c r="Q147" s="9"/>
      <c r="R147" s="9"/>
      <c r="S147" s="9"/>
    </row>
    <row r="148" spans="1:19" ht="13.95" customHeight="1">
      <c r="A148" s="1">
        <v>25</v>
      </c>
      <c r="B148" s="1"/>
      <c r="C148" s="33" t="s">
        <v>62</v>
      </c>
      <c r="D148" s="1" t="s">
        <v>51</v>
      </c>
      <c r="E148" s="3">
        <f>SUM(I148:S148)</f>
        <v>67</v>
      </c>
      <c r="F148" s="3">
        <v>3350</v>
      </c>
      <c r="G148" s="5">
        <f t="shared" ref="G148" si="41">+E148*F148</f>
        <v>224450</v>
      </c>
      <c r="I148" s="3"/>
      <c r="J148" s="3"/>
      <c r="K148" s="3"/>
      <c r="L148" s="103">
        <v>58</v>
      </c>
      <c r="M148" s="3">
        <v>9</v>
      </c>
      <c r="N148" s="103"/>
      <c r="O148" s="108"/>
      <c r="P148" s="9"/>
      <c r="Q148" s="9"/>
      <c r="R148" s="9"/>
      <c r="S148" s="9"/>
    </row>
    <row r="149" spans="1:19" ht="13.95" customHeight="1">
      <c r="A149" s="53"/>
      <c r="B149" s="117"/>
      <c r="C149" s="38"/>
      <c r="D149" s="53"/>
      <c r="E149" s="53"/>
      <c r="F149" s="118"/>
      <c r="G149" s="119"/>
      <c r="I149" s="9"/>
      <c r="J149" s="9"/>
      <c r="K149" s="9"/>
      <c r="L149" s="103"/>
      <c r="M149" s="9"/>
      <c r="N149" s="103"/>
      <c r="O149" s="108"/>
      <c r="P149" s="9"/>
      <c r="Q149" s="9"/>
      <c r="R149" s="9"/>
      <c r="S149" s="9"/>
    </row>
    <row r="150" spans="1:19" s="42" customFormat="1" ht="20.100000000000001" customHeight="1">
      <c r="A150" s="149" t="s">
        <v>66</v>
      </c>
      <c r="B150" s="150"/>
      <c r="C150" s="150"/>
      <c r="D150" s="150"/>
      <c r="E150" s="150"/>
      <c r="F150" s="151"/>
      <c r="G150" s="111">
        <f>SUM(G102:G149)</f>
        <v>6792422.25</v>
      </c>
      <c r="I150" s="40"/>
      <c r="J150" s="40"/>
      <c r="K150" s="40"/>
      <c r="L150" s="102"/>
      <c r="M150" s="40"/>
      <c r="N150" s="102"/>
      <c r="O150" s="107"/>
      <c r="P150" s="40"/>
      <c r="Q150" s="40"/>
      <c r="R150" s="40"/>
      <c r="S150" s="40"/>
    </row>
    <row r="151" spans="1:19" s="42" customFormat="1" ht="13.95" customHeight="1">
      <c r="A151" s="39"/>
      <c r="B151" s="39"/>
      <c r="C151" s="39"/>
      <c r="D151" s="39"/>
      <c r="E151" s="39"/>
      <c r="F151" s="39"/>
      <c r="G151" s="112"/>
      <c r="I151" s="40"/>
      <c r="J151" s="40"/>
      <c r="K151" s="40"/>
      <c r="L151" s="102"/>
      <c r="M151" s="40"/>
      <c r="N151" s="102"/>
      <c r="O151" s="107"/>
      <c r="P151" s="40"/>
      <c r="Q151" s="40"/>
      <c r="R151" s="40"/>
      <c r="S151" s="40"/>
    </row>
    <row r="152" spans="1:19" s="42" customFormat="1" ht="13.95" customHeight="1">
      <c r="A152" s="50"/>
      <c r="B152" s="50"/>
      <c r="C152" s="50"/>
      <c r="D152" s="50"/>
      <c r="E152" s="50"/>
      <c r="F152" s="50"/>
      <c r="G152" s="112"/>
      <c r="I152" s="40"/>
      <c r="J152" s="40"/>
      <c r="K152" s="40"/>
      <c r="L152" s="102"/>
      <c r="M152" s="40"/>
      <c r="N152" s="102"/>
      <c r="O152" s="107"/>
      <c r="P152" s="40"/>
      <c r="Q152" s="40"/>
      <c r="R152" s="40"/>
      <c r="S152" s="40"/>
    </row>
    <row r="153" spans="1:19" s="42" customFormat="1" ht="23.4" customHeight="1">
      <c r="A153" s="44" t="s">
        <v>8</v>
      </c>
      <c r="B153" s="48" t="s">
        <v>9</v>
      </c>
      <c r="C153" s="44" t="s">
        <v>10</v>
      </c>
      <c r="D153" s="48" t="s">
        <v>11</v>
      </c>
      <c r="E153" s="48" t="s">
        <v>59</v>
      </c>
      <c r="F153" s="49" t="s">
        <v>12</v>
      </c>
      <c r="G153" s="111" t="s">
        <v>13</v>
      </c>
      <c r="I153" s="40"/>
      <c r="J153" s="40"/>
      <c r="K153" s="40"/>
      <c r="L153" s="102"/>
      <c r="M153" s="40"/>
      <c r="N153" s="102"/>
      <c r="O153" s="107"/>
      <c r="P153" s="40"/>
      <c r="Q153" s="40"/>
      <c r="R153" s="40"/>
      <c r="S153" s="40"/>
    </row>
    <row r="154" spans="1:19" s="42" customFormat="1" ht="20.100000000000001" customHeight="1">
      <c r="A154" s="149" t="s">
        <v>67</v>
      </c>
      <c r="B154" s="150"/>
      <c r="C154" s="150"/>
      <c r="D154" s="150"/>
      <c r="E154" s="150"/>
      <c r="F154" s="151"/>
      <c r="G154" s="111">
        <f>+G150</f>
        <v>6792422.25</v>
      </c>
      <c r="I154" s="40"/>
      <c r="J154" s="40"/>
      <c r="K154" s="40"/>
      <c r="L154" s="102"/>
      <c r="M154" s="40"/>
      <c r="N154" s="102"/>
      <c r="O154" s="107"/>
      <c r="P154" s="40"/>
      <c r="Q154" s="40"/>
      <c r="R154" s="40"/>
      <c r="S154" s="40"/>
    </row>
    <row r="155" spans="1:19" ht="13.95" customHeight="1">
      <c r="A155" s="9"/>
      <c r="B155" s="114"/>
      <c r="C155" s="33"/>
      <c r="D155" s="9"/>
      <c r="E155" s="9"/>
      <c r="F155" s="43"/>
      <c r="G155" s="115"/>
      <c r="I155" s="9"/>
      <c r="J155" s="9"/>
      <c r="K155" s="9"/>
      <c r="L155" s="103"/>
      <c r="M155" s="9"/>
      <c r="N155" s="103"/>
      <c r="O155" s="108"/>
      <c r="P155" s="9"/>
      <c r="Q155" s="9"/>
      <c r="R155" s="9"/>
      <c r="S155" s="9"/>
    </row>
    <row r="156" spans="1:19" ht="13.95" customHeight="1">
      <c r="A156" s="1">
        <v>26</v>
      </c>
      <c r="B156" s="1"/>
      <c r="C156" s="33" t="s">
        <v>27</v>
      </c>
      <c r="D156" s="1" t="s">
        <v>51</v>
      </c>
      <c r="E156" s="3">
        <f>SUM(I156:S156)</f>
        <v>170</v>
      </c>
      <c r="F156" s="3">
        <v>3200</v>
      </c>
      <c r="G156" s="5">
        <f t="shared" ref="G156" si="42">+E156*F156</f>
        <v>544000</v>
      </c>
      <c r="I156" s="3"/>
      <c r="J156" s="3"/>
      <c r="K156" s="3">
        <v>170</v>
      </c>
      <c r="L156" s="103"/>
      <c r="M156" s="3"/>
      <c r="N156" s="103"/>
      <c r="O156" s="108"/>
      <c r="P156" s="9"/>
      <c r="Q156" s="9"/>
      <c r="R156" s="9"/>
      <c r="S156" s="9"/>
    </row>
    <row r="157" spans="1:19" ht="13.95" customHeight="1">
      <c r="A157" s="1"/>
      <c r="B157" s="1"/>
      <c r="C157" s="33"/>
      <c r="D157" s="1"/>
      <c r="E157" s="3"/>
      <c r="F157" s="3"/>
      <c r="G157" s="5"/>
      <c r="I157" s="3"/>
      <c r="J157" s="3"/>
      <c r="K157" s="3"/>
      <c r="L157" s="103"/>
      <c r="M157" s="3"/>
      <c r="N157" s="103"/>
      <c r="O157" s="108"/>
      <c r="P157" s="9"/>
      <c r="Q157" s="9"/>
      <c r="R157" s="9"/>
      <c r="S157" s="9"/>
    </row>
    <row r="158" spans="1:19" ht="13.95" customHeight="1">
      <c r="A158" s="1">
        <f>A156+1</f>
        <v>27</v>
      </c>
      <c r="B158" s="1"/>
      <c r="C158" s="33" t="s">
        <v>250</v>
      </c>
      <c r="D158" s="1" t="s">
        <v>51</v>
      </c>
      <c r="E158" s="3">
        <f>SUM(I158:S158)</f>
        <v>0</v>
      </c>
      <c r="F158" s="3">
        <v>3650</v>
      </c>
      <c r="G158" s="5">
        <f t="shared" ref="G158" si="43">+E158*F158</f>
        <v>0</v>
      </c>
      <c r="I158" s="3"/>
      <c r="J158" s="3"/>
      <c r="K158" s="3"/>
      <c r="L158" s="103"/>
      <c r="M158" s="3"/>
      <c r="N158" s="103"/>
      <c r="O158" s="108"/>
      <c r="P158" s="9"/>
      <c r="Q158" s="9"/>
      <c r="R158" s="9"/>
      <c r="S158" s="9"/>
    </row>
    <row r="159" spans="1:19" ht="13.95" customHeight="1">
      <c r="A159" s="9"/>
      <c r="B159" s="114"/>
      <c r="C159" s="33"/>
      <c r="D159" s="9"/>
      <c r="E159" s="9"/>
      <c r="F159" s="43"/>
      <c r="G159" s="115"/>
      <c r="I159" s="9"/>
      <c r="J159" s="9"/>
      <c r="K159" s="9"/>
      <c r="L159" s="103"/>
      <c r="M159" s="9"/>
      <c r="N159" s="103"/>
      <c r="O159" s="108"/>
      <c r="P159" s="9"/>
      <c r="Q159" s="9"/>
      <c r="R159" s="9"/>
      <c r="S159" s="9"/>
    </row>
    <row r="160" spans="1:19" ht="13.95" customHeight="1">
      <c r="A160" s="1"/>
      <c r="B160" s="1" t="s">
        <v>96</v>
      </c>
      <c r="C160" s="32" t="s">
        <v>159</v>
      </c>
      <c r="D160" s="1"/>
      <c r="E160" s="3"/>
      <c r="F160" s="4"/>
      <c r="G160" s="5"/>
      <c r="I160" s="9"/>
      <c r="J160" s="9"/>
      <c r="K160" s="9"/>
      <c r="L160" s="103"/>
      <c r="M160" s="9"/>
      <c r="N160" s="103"/>
      <c r="O160" s="108"/>
      <c r="P160" s="9"/>
      <c r="Q160" s="9"/>
      <c r="R160" s="9"/>
      <c r="S160" s="9"/>
    </row>
    <row r="161" spans="1:19" ht="13.95" customHeight="1">
      <c r="A161" s="1"/>
      <c r="B161" s="1"/>
      <c r="C161" s="33"/>
      <c r="D161" s="1"/>
      <c r="E161" s="3"/>
      <c r="F161" s="4"/>
      <c r="G161" s="5"/>
      <c r="I161" s="9"/>
      <c r="J161" s="9"/>
      <c r="K161" s="9"/>
      <c r="L161" s="103"/>
      <c r="M161" s="9"/>
      <c r="N161" s="103"/>
      <c r="O161" s="108"/>
      <c r="P161" s="9"/>
      <c r="Q161" s="9"/>
      <c r="R161" s="9"/>
      <c r="S161" s="9"/>
    </row>
    <row r="162" spans="1:19" ht="13.95" customHeight="1">
      <c r="A162" s="1"/>
      <c r="B162" s="1"/>
      <c r="C162" s="33" t="s">
        <v>160</v>
      </c>
      <c r="D162" s="1"/>
      <c r="E162" s="3"/>
      <c r="F162" s="4"/>
      <c r="G162" s="5"/>
      <c r="I162" s="9"/>
      <c r="J162" s="9"/>
      <c r="K162" s="9"/>
      <c r="L162" s="103"/>
      <c r="M162" s="9"/>
      <c r="N162" s="103"/>
      <c r="O162" s="108"/>
      <c r="P162" s="9"/>
      <c r="Q162" s="9"/>
      <c r="R162" s="9"/>
      <c r="S162" s="9"/>
    </row>
    <row r="163" spans="1:19" ht="13.95" customHeight="1">
      <c r="A163" s="1"/>
      <c r="B163" s="1"/>
      <c r="C163" s="33"/>
      <c r="D163" s="1"/>
      <c r="E163" s="3"/>
      <c r="F163" s="4"/>
      <c r="G163" s="5"/>
      <c r="I163" s="9"/>
      <c r="J163" s="9"/>
      <c r="K163" s="9"/>
      <c r="L163" s="103"/>
      <c r="M163" s="9"/>
      <c r="N163" s="103"/>
      <c r="O163" s="108"/>
      <c r="P163" s="9"/>
      <c r="Q163" s="9"/>
      <c r="R163" s="9"/>
      <c r="S163" s="9"/>
    </row>
    <row r="164" spans="1:19" ht="13.95" customHeight="1">
      <c r="A164" s="1">
        <f>+A158+1</f>
        <v>28</v>
      </c>
      <c r="B164" s="1"/>
      <c r="C164" s="33" t="s">
        <v>28</v>
      </c>
      <c r="D164" s="1" t="s">
        <v>60</v>
      </c>
      <c r="E164" s="3">
        <f>SUM(I164:S164)</f>
        <v>371.1</v>
      </c>
      <c r="F164" s="3">
        <v>46</v>
      </c>
      <c r="G164" s="5">
        <f t="shared" ref="G164" si="44">+E164*F164</f>
        <v>17070.600000000002</v>
      </c>
      <c r="I164" s="3">
        <v>78.099999999999994</v>
      </c>
      <c r="J164" s="3">
        <v>63</v>
      </c>
      <c r="K164" s="3"/>
      <c r="L164" s="103">
        <v>208</v>
      </c>
      <c r="M164" s="3">
        <v>22</v>
      </c>
      <c r="N164" s="103"/>
      <c r="O164" s="108"/>
      <c r="P164" s="9"/>
      <c r="Q164" s="9"/>
      <c r="R164" s="9"/>
      <c r="S164" s="9"/>
    </row>
    <row r="165" spans="1:19" ht="13.95" customHeight="1">
      <c r="A165" s="1"/>
      <c r="B165" s="1"/>
      <c r="C165" s="33"/>
      <c r="D165" s="1"/>
      <c r="E165" s="3"/>
      <c r="F165" s="3"/>
      <c r="G165" s="5"/>
      <c r="I165" s="3"/>
      <c r="J165" s="3"/>
      <c r="K165" s="3"/>
      <c r="L165" s="103"/>
      <c r="M165" s="3"/>
      <c r="N165" s="103"/>
      <c r="O165" s="108"/>
      <c r="P165" s="9"/>
      <c r="Q165" s="9"/>
      <c r="R165" s="9"/>
      <c r="S165" s="9"/>
    </row>
    <row r="166" spans="1:19" ht="13.95" customHeight="1">
      <c r="A166" s="1"/>
      <c r="B166" s="1"/>
      <c r="C166" s="33" t="s">
        <v>196</v>
      </c>
      <c r="D166" s="1"/>
      <c r="E166" s="3"/>
      <c r="F166" s="3"/>
      <c r="G166" s="5"/>
      <c r="I166" s="3"/>
      <c r="J166" s="3"/>
      <c r="K166" s="3"/>
      <c r="L166" s="103"/>
      <c r="M166" s="3"/>
      <c r="N166" s="103"/>
      <c r="O166" s="108"/>
      <c r="P166" s="9"/>
      <c r="Q166" s="9"/>
      <c r="R166" s="9"/>
      <c r="S166" s="9"/>
    </row>
    <row r="167" spans="1:19" ht="13.95" customHeight="1">
      <c r="A167" s="1"/>
      <c r="B167" s="1"/>
      <c r="C167" s="33"/>
      <c r="D167" s="1"/>
      <c r="E167" s="3"/>
      <c r="F167" s="3"/>
      <c r="G167" s="5"/>
      <c r="I167" s="3"/>
      <c r="J167" s="3"/>
      <c r="K167" s="3"/>
      <c r="L167" s="103"/>
      <c r="M167" s="3"/>
      <c r="N167" s="103"/>
      <c r="O167" s="108"/>
      <c r="P167" s="9"/>
      <c r="Q167" s="9"/>
      <c r="R167" s="9"/>
      <c r="S167" s="9"/>
    </row>
    <row r="168" spans="1:19" ht="13.95" customHeight="1">
      <c r="A168" s="1">
        <f>A164+1</f>
        <v>29</v>
      </c>
      <c r="B168" s="1"/>
      <c r="C168" s="33" t="s">
        <v>29</v>
      </c>
      <c r="D168" s="1" t="s">
        <v>60</v>
      </c>
      <c r="E168" s="3">
        <f>SUM(I168:S168)</f>
        <v>850</v>
      </c>
      <c r="F168" s="3">
        <v>75</v>
      </c>
      <c r="G168" s="5">
        <f t="shared" ref="G168" si="45">+E168*F168</f>
        <v>63750</v>
      </c>
      <c r="I168" s="3"/>
      <c r="J168" s="3"/>
      <c r="K168" s="3">
        <v>850</v>
      </c>
      <c r="L168" s="103"/>
      <c r="M168" s="3"/>
      <c r="N168" s="103"/>
      <c r="O168" s="108"/>
      <c r="P168" s="9"/>
      <c r="Q168" s="9"/>
      <c r="R168" s="9"/>
      <c r="S168" s="9"/>
    </row>
    <row r="169" spans="1:19" ht="13.95" customHeight="1">
      <c r="A169" s="1"/>
      <c r="B169" s="1"/>
      <c r="C169" s="33"/>
      <c r="D169" s="1"/>
      <c r="E169" s="3"/>
      <c r="F169" s="4"/>
      <c r="G169" s="5"/>
      <c r="I169" s="3"/>
      <c r="J169" s="3"/>
      <c r="K169" s="3"/>
      <c r="L169" s="103"/>
      <c r="M169" s="3"/>
      <c r="N169" s="103"/>
      <c r="O169" s="108"/>
      <c r="P169" s="9"/>
      <c r="Q169" s="9"/>
      <c r="R169" s="9"/>
      <c r="S169" s="9"/>
    </row>
    <row r="170" spans="1:19" ht="13.95" customHeight="1">
      <c r="A170" s="1"/>
      <c r="B170" s="1" t="s">
        <v>97</v>
      </c>
      <c r="C170" s="34" t="s">
        <v>20</v>
      </c>
      <c r="D170" s="1"/>
      <c r="E170" s="3"/>
      <c r="F170" s="4"/>
      <c r="G170" s="5"/>
      <c r="I170" s="3"/>
      <c r="J170" s="3"/>
      <c r="K170" s="3"/>
      <c r="L170" s="103"/>
      <c r="M170" s="3"/>
      <c r="N170" s="103"/>
      <c r="O170" s="108"/>
      <c r="P170" s="9"/>
      <c r="Q170" s="9"/>
      <c r="R170" s="9"/>
      <c r="S170" s="9"/>
    </row>
    <row r="171" spans="1:19" ht="13.95" customHeight="1">
      <c r="A171" s="1"/>
      <c r="B171" s="1"/>
      <c r="C171" s="34"/>
      <c r="D171" s="1"/>
      <c r="E171" s="3"/>
      <c r="F171" s="4"/>
      <c r="G171" s="5"/>
      <c r="I171" s="3"/>
      <c r="J171" s="3"/>
      <c r="K171" s="3"/>
      <c r="L171" s="103"/>
      <c r="M171" s="3"/>
      <c r="N171" s="103"/>
      <c r="O171" s="108"/>
      <c r="P171" s="9"/>
      <c r="Q171" s="9"/>
      <c r="R171" s="9"/>
      <c r="S171" s="9"/>
    </row>
    <row r="172" spans="1:19" ht="13.95" customHeight="1">
      <c r="A172" s="1"/>
      <c r="B172" s="1"/>
      <c r="C172" s="32" t="s">
        <v>213</v>
      </c>
      <c r="D172" s="1"/>
      <c r="E172" s="3"/>
      <c r="F172" s="4"/>
      <c r="G172" s="5"/>
      <c r="I172" s="3"/>
      <c r="J172" s="3"/>
      <c r="K172" s="3"/>
      <c r="L172" s="103"/>
      <c r="M172" s="3"/>
      <c r="N172" s="103"/>
      <c r="O172" s="108"/>
      <c r="P172" s="9"/>
      <c r="Q172" s="9"/>
      <c r="R172" s="9"/>
      <c r="S172" s="9"/>
    </row>
    <row r="173" spans="1:19" ht="13.95" customHeight="1">
      <c r="A173" s="1"/>
      <c r="B173" s="1"/>
      <c r="C173" s="34"/>
      <c r="D173" s="1"/>
      <c r="E173" s="3"/>
      <c r="F173" s="4"/>
      <c r="G173" s="5"/>
      <c r="I173" s="3"/>
      <c r="J173" s="3"/>
      <c r="K173" s="3"/>
      <c r="L173" s="103"/>
      <c r="M173" s="3"/>
      <c r="N173" s="103"/>
      <c r="O173" s="108"/>
      <c r="P173" s="9"/>
      <c r="Q173" s="9"/>
      <c r="R173" s="9"/>
      <c r="S173" s="9"/>
    </row>
    <row r="174" spans="1:19" ht="27" customHeight="1">
      <c r="A174" s="1">
        <f>A168+1</f>
        <v>30</v>
      </c>
      <c r="B174" s="1"/>
      <c r="C174" s="33" t="s">
        <v>237</v>
      </c>
      <c r="D174" s="1" t="s">
        <v>1</v>
      </c>
      <c r="E174" s="3">
        <f>SUM(I174:S174)</f>
        <v>0</v>
      </c>
      <c r="F174" s="3">
        <v>375</v>
      </c>
      <c r="G174" s="5">
        <f t="shared" ref="G174" si="46">+E174*F174</f>
        <v>0</v>
      </c>
      <c r="I174" s="3"/>
      <c r="J174" s="3"/>
      <c r="K174" s="3"/>
      <c r="L174" s="103"/>
      <c r="M174" s="3"/>
      <c r="N174" s="103"/>
      <c r="O174" s="108"/>
      <c r="P174" s="9"/>
      <c r="Q174" s="9"/>
      <c r="R174" s="9"/>
      <c r="S174" s="9"/>
    </row>
    <row r="175" spans="1:19" ht="13.95" customHeight="1">
      <c r="A175" s="1"/>
      <c r="B175" s="1"/>
      <c r="C175" s="33"/>
      <c r="D175" s="1"/>
      <c r="E175" s="3"/>
      <c r="F175" s="3"/>
      <c r="G175" s="5"/>
      <c r="I175" s="3"/>
      <c r="J175" s="3"/>
      <c r="K175" s="3"/>
      <c r="L175" s="103"/>
      <c r="M175" s="3"/>
      <c r="N175" s="103"/>
      <c r="O175" s="108"/>
      <c r="P175" s="9"/>
      <c r="Q175" s="9"/>
      <c r="R175" s="9"/>
      <c r="S175" s="9"/>
    </row>
    <row r="176" spans="1:19">
      <c r="A176" s="1">
        <f>A174+1</f>
        <v>31</v>
      </c>
      <c r="B176" s="1"/>
      <c r="C176" s="33" t="s">
        <v>285</v>
      </c>
      <c r="D176" s="1" t="s">
        <v>1</v>
      </c>
      <c r="E176" s="3">
        <f>SUM(I176:S176)</f>
        <v>160</v>
      </c>
      <c r="F176" s="3">
        <v>355</v>
      </c>
      <c r="G176" s="5">
        <f t="shared" ref="G176" si="47">+E176*F176</f>
        <v>56800</v>
      </c>
      <c r="I176" s="3"/>
      <c r="J176" s="3"/>
      <c r="K176" s="3">
        <v>160</v>
      </c>
      <c r="L176" s="104"/>
      <c r="M176" s="3"/>
      <c r="N176" s="104"/>
      <c r="O176" s="108"/>
      <c r="P176" s="9"/>
      <c r="Q176" s="9"/>
      <c r="R176" s="9"/>
      <c r="S176" s="9"/>
    </row>
    <row r="177" spans="1:19" ht="13.95" customHeight="1">
      <c r="A177" s="1"/>
      <c r="B177" s="1"/>
      <c r="C177" s="33"/>
      <c r="D177" s="1"/>
      <c r="E177" s="3"/>
      <c r="F177" s="3"/>
      <c r="G177" s="5"/>
      <c r="I177" s="3"/>
      <c r="J177" s="3"/>
      <c r="K177" s="3"/>
      <c r="L177" s="103"/>
      <c r="M177" s="3"/>
      <c r="N177" s="103"/>
      <c r="O177" s="108"/>
      <c r="P177" s="9"/>
      <c r="Q177" s="9"/>
      <c r="R177" s="9"/>
      <c r="S177" s="9"/>
    </row>
    <row r="178" spans="1:19" ht="23.4" customHeight="1">
      <c r="A178" s="1">
        <f>A176+1</f>
        <v>32</v>
      </c>
      <c r="B178" s="1"/>
      <c r="C178" s="33" t="s">
        <v>243</v>
      </c>
      <c r="D178" s="1" t="s">
        <v>1</v>
      </c>
      <c r="E178" s="3">
        <f>SUM(I178:S178)</f>
        <v>340</v>
      </c>
      <c r="F178" s="3">
        <v>195</v>
      </c>
      <c r="G178" s="5">
        <f t="shared" ref="G178" si="48">+E178*F178</f>
        <v>66300</v>
      </c>
      <c r="I178" s="3">
        <v>120</v>
      </c>
      <c r="J178" s="3"/>
      <c r="K178" s="3">
        <v>160</v>
      </c>
      <c r="L178" s="103"/>
      <c r="M178" s="3"/>
      <c r="N178" s="103">
        <v>60</v>
      </c>
      <c r="O178" s="108"/>
      <c r="P178" s="9"/>
      <c r="Q178" s="9"/>
      <c r="R178" s="9"/>
      <c r="S178" s="9"/>
    </row>
    <row r="179" spans="1:19" ht="13.95" customHeight="1">
      <c r="A179" s="1"/>
      <c r="B179" s="1"/>
      <c r="C179" s="33"/>
      <c r="D179" s="1"/>
      <c r="E179" s="3"/>
      <c r="F179" s="3"/>
      <c r="G179" s="5"/>
      <c r="I179" s="3"/>
      <c r="J179" s="3"/>
      <c r="K179" s="3"/>
      <c r="L179" s="103"/>
      <c r="M179" s="3"/>
      <c r="N179" s="103"/>
      <c r="O179" s="108"/>
      <c r="P179" s="9"/>
      <c r="Q179" s="9"/>
      <c r="R179" s="9"/>
      <c r="S179" s="9"/>
    </row>
    <row r="180" spans="1:19" ht="13.95" customHeight="1">
      <c r="A180" s="1"/>
      <c r="B180" s="1"/>
      <c r="C180" s="33" t="s">
        <v>239</v>
      </c>
      <c r="D180" s="1" t="s">
        <v>1</v>
      </c>
      <c r="E180" s="3">
        <f>SUM(I180:S180)</f>
        <v>160</v>
      </c>
      <c r="F180" s="3">
        <v>155</v>
      </c>
      <c r="G180" s="5">
        <f t="shared" ref="G180" si="49">+E180*F180</f>
        <v>24800</v>
      </c>
      <c r="I180" s="3"/>
      <c r="J180" s="3"/>
      <c r="K180" s="3">
        <v>160</v>
      </c>
      <c r="L180" s="103"/>
      <c r="M180" s="3"/>
      <c r="N180" s="103"/>
      <c r="O180" s="108"/>
      <c r="P180" s="9"/>
      <c r="Q180" s="9"/>
      <c r="R180" s="9"/>
      <c r="S180" s="9"/>
    </row>
    <row r="181" spans="1:19" ht="13.95" customHeight="1">
      <c r="A181" s="1"/>
      <c r="B181" s="1"/>
      <c r="C181" s="33"/>
      <c r="D181" s="1"/>
      <c r="E181" s="3"/>
      <c r="F181" s="4"/>
      <c r="G181" s="5"/>
      <c r="I181" s="3"/>
      <c r="J181" s="3"/>
      <c r="K181" s="3"/>
      <c r="L181" s="103"/>
      <c r="M181" s="3"/>
      <c r="N181" s="103"/>
      <c r="O181" s="108"/>
      <c r="P181" s="9"/>
      <c r="Q181" s="9"/>
      <c r="R181" s="9"/>
      <c r="S181" s="9"/>
    </row>
    <row r="182" spans="1:19" ht="13.95" customHeight="1">
      <c r="A182" s="1"/>
      <c r="B182" s="1"/>
      <c r="C182" s="32" t="s">
        <v>198</v>
      </c>
      <c r="D182" s="1"/>
      <c r="E182" s="3"/>
      <c r="F182" s="4"/>
      <c r="G182" s="5"/>
      <c r="I182" s="3"/>
      <c r="J182" s="3"/>
      <c r="K182" s="3"/>
      <c r="L182" s="103"/>
      <c r="M182" s="3"/>
      <c r="N182" s="103"/>
      <c r="O182" s="108"/>
      <c r="P182" s="9"/>
      <c r="Q182" s="9"/>
      <c r="R182" s="9"/>
      <c r="S182" s="9"/>
    </row>
    <row r="183" spans="1:19" ht="13.95" customHeight="1">
      <c r="A183" s="1"/>
      <c r="B183" s="1"/>
      <c r="C183" s="33"/>
      <c r="D183" s="1"/>
      <c r="E183" s="3"/>
      <c r="F183" s="4"/>
      <c r="G183" s="5"/>
      <c r="I183" s="3"/>
      <c r="J183" s="3"/>
      <c r="K183" s="3"/>
      <c r="L183" s="103"/>
      <c r="M183" s="3"/>
      <c r="N183" s="103"/>
      <c r="O183" s="108"/>
      <c r="P183" s="9"/>
      <c r="Q183" s="9"/>
      <c r="R183" s="9"/>
      <c r="S183" s="9"/>
    </row>
    <row r="184" spans="1:19" ht="13.95" customHeight="1">
      <c r="A184" s="1">
        <f>A178+1</f>
        <v>33</v>
      </c>
      <c r="B184" s="1"/>
      <c r="C184" s="33" t="s">
        <v>199</v>
      </c>
      <c r="D184" s="1" t="s">
        <v>1</v>
      </c>
      <c r="E184" s="3">
        <f>SUM(I184:S184)</f>
        <v>61</v>
      </c>
      <c r="F184" s="3">
        <f>F174</f>
        <v>375</v>
      </c>
      <c r="G184" s="5">
        <f t="shared" ref="G184" si="50">+E184*F184</f>
        <v>22875</v>
      </c>
      <c r="I184" s="3"/>
      <c r="J184" s="3"/>
      <c r="K184" s="3"/>
      <c r="L184" s="103">
        <v>61</v>
      </c>
      <c r="M184" s="3"/>
      <c r="N184" s="103"/>
      <c r="O184" s="108"/>
      <c r="P184" s="9"/>
      <c r="Q184" s="9"/>
      <c r="R184" s="9"/>
      <c r="S184" s="9"/>
    </row>
    <row r="185" spans="1:19" ht="13.95" customHeight="1">
      <c r="A185" s="1"/>
      <c r="B185" s="1"/>
      <c r="C185" s="33"/>
      <c r="D185" s="1"/>
      <c r="E185" s="3"/>
      <c r="F185" s="3"/>
      <c r="G185" s="5"/>
      <c r="I185" s="3"/>
      <c r="J185" s="3"/>
      <c r="K185" s="3"/>
      <c r="L185" s="103"/>
      <c r="M185" s="3"/>
      <c r="N185" s="103"/>
      <c r="O185" s="108"/>
      <c r="P185" s="9"/>
      <c r="Q185" s="9"/>
      <c r="R185" s="9"/>
      <c r="S185" s="9"/>
    </row>
    <row r="186" spans="1:19" ht="13.95" customHeight="1">
      <c r="A186" s="1">
        <f>A184+1</f>
        <v>34</v>
      </c>
      <c r="B186" s="1"/>
      <c r="C186" s="33" t="s">
        <v>200</v>
      </c>
      <c r="D186" s="1" t="s">
        <v>1</v>
      </c>
      <c r="E186" s="3">
        <f>SUM(I186:S186)</f>
        <v>49</v>
      </c>
      <c r="F186" s="3">
        <v>395</v>
      </c>
      <c r="G186" s="5">
        <f t="shared" ref="G186" si="51">+E186*F186</f>
        <v>19355</v>
      </c>
      <c r="I186" s="3"/>
      <c r="J186" s="3"/>
      <c r="K186" s="3"/>
      <c r="L186" s="103">
        <v>49</v>
      </c>
      <c r="M186" s="3"/>
      <c r="N186" s="103"/>
      <c r="O186" s="108"/>
      <c r="P186" s="9"/>
      <c r="Q186" s="9"/>
      <c r="R186" s="9"/>
      <c r="S186" s="9"/>
    </row>
    <row r="187" spans="1:19" ht="13.95" customHeight="1">
      <c r="A187" s="1"/>
      <c r="B187" s="1"/>
      <c r="C187" s="33"/>
      <c r="D187" s="1"/>
      <c r="E187" s="3"/>
      <c r="F187" s="3"/>
      <c r="G187" s="5"/>
      <c r="I187" s="3"/>
      <c r="J187" s="3"/>
      <c r="K187" s="3"/>
      <c r="L187" s="103"/>
      <c r="M187" s="3"/>
      <c r="N187" s="103"/>
      <c r="O187" s="108"/>
      <c r="P187" s="9"/>
      <c r="Q187" s="9"/>
      <c r="R187" s="9"/>
      <c r="S187" s="9"/>
    </row>
    <row r="188" spans="1:19" ht="13.95" customHeight="1">
      <c r="A188" s="1">
        <f>A186+1</f>
        <v>35</v>
      </c>
      <c r="B188" s="1"/>
      <c r="C188" s="33" t="s">
        <v>214</v>
      </c>
      <c r="D188" s="1" t="s">
        <v>1</v>
      </c>
      <c r="E188" s="3">
        <f>SUM(I188:S188)</f>
        <v>33</v>
      </c>
      <c r="F188" s="3">
        <v>395</v>
      </c>
      <c r="G188" s="5">
        <f t="shared" ref="G188" si="52">+E188*F188</f>
        <v>13035</v>
      </c>
      <c r="I188" s="3"/>
      <c r="J188" s="3"/>
      <c r="K188" s="3"/>
      <c r="L188" s="103">
        <v>33</v>
      </c>
      <c r="M188" s="3"/>
      <c r="N188" s="103"/>
      <c r="O188" s="108"/>
      <c r="P188" s="9"/>
      <c r="Q188" s="9"/>
      <c r="R188" s="9"/>
      <c r="S188" s="9"/>
    </row>
    <row r="189" spans="1:19" ht="13.95" customHeight="1">
      <c r="A189" s="1"/>
      <c r="B189" s="1"/>
      <c r="C189" s="33"/>
      <c r="D189" s="1"/>
      <c r="E189" s="3"/>
      <c r="F189" s="4"/>
      <c r="G189" s="5"/>
      <c r="I189" s="3"/>
      <c r="J189" s="3"/>
      <c r="K189" s="3"/>
      <c r="L189" s="103"/>
      <c r="M189" s="3"/>
      <c r="N189" s="103"/>
      <c r="O189" s="108"/>
      <c r="P189" s="9"/>
      <c r="Q189" s="9"/>
      <c r="R189" s="9"/>
      <c r="S189" s="9"/>
    </row>
    <row r="190" spans="1:19" ht="13.95" customHeight="1">
      <c r="A190" s="9"/>
      <c r="B190" s="1" t="s">
        <v>98</v>
      </c>
      <c r="C190" s="34" t="s">
        <v>30</v>
      </c>
      <c r="D190" s="1"/>
      <c r="E190" s="3"/>
      <c r="F190" s="4"/>
      <c r="G190" s="5"/>
      <c r="I190" s="3"/>
      <c r="J190" s="3"/>
      <c r="K190" s="3"/>
      <c r="L190" s="103"/>
      <c r="M190" s="3"/>
      <c r="N190" s="103"/>
      <c r="O190" s="108"/>
      <c r="P190" s="9"/>
      <c r="Q190" s="9"/>
      <c r="R190" s="9"/>
      <c r="S190" s="9"/>
    </row>
    <row r="191" spans="1:19" ht="13.95" customHeight="1">
      <c r="A191" s="9"/>
      <c r="B191" s="1"/>
      <c r="C191" s="33"/>
      <c r="D191" s="1"/>
      <c r="E191" s="3"/>
      <c r="F191" s="4"/>
      <c r="G191" s="5"/>
      <c r="I191" s="3"/>
      <c r="J191" s="3"/>
      <c r="K191" s="3"/>
      <c r="L191" s="103"/>
      <c r="M191" s="3"/>
      <c r="N191" s="103"/>
      <c r="O191" s="108"/>
      <c r="P191" s="9"/>
      <c r="Q191" s="9"/>
      <c r="R191" s="9"/>
      <c r="S191" s="9"/>
    </row>
    <row r="192" spans="1:19" ht="13.95" customHeight="1">
      <c r="A192" s="9"/>
      <c r="B192" s="1"/>
      <c r="C192" s="33" t="s">
        <v>31</v>
      </c>
      <c r="D192" s="1"/>
      <c r="E192" s="3"/>
      <c r="F192" s="4"/>
      <c r="G192" s="5"/>
      <c r="I192" s="3"/>
      <c r="J192" s="3"/>
      <c r="K192" s="3"/>
      <c r="L192" s="103"/>
      <c r="M192" s="3"/>
      <c r="N192" s="103"/>
      <c r="O192" s="108"/>
      <c r="P192" s="9"/>
      <c r="Q192" s="9"/>
      <c r="R192" s="9"/>
      <c r="S192" s="9"/>
    </row>
    <row r="193" spans="1:19" ht="13.95" customHeight="1">
      <c r="A193" s="9"/>
      <c r="B193" s="1"/>
      <c r="C193" s="33"/>
      <c r="D193" s="1"/>
      <c r="E193" s="3"/>
      <c r="F193" s="4"/>
      <c r="G193" s="5"/>
      <c r="I193" s="3"/>
      <c r="J193" s="3"/>
      <c r="K193" s="3"/>
      <c r="L193" s="103"/>
      <c r="M193" s="3"/>
      <c r="N193" s="103"/>
      <c r="O193" s="108"/>
      <c r="P193" s="9"/>
      <c r="Q193" s="9"/>
      <c r="R193" s="9"/>
      <c r="S193" s="9"/>
    </row>
    <row r="194" spans="1:19" ht="13.95" customHeight="1">
      <c r="A194" s="9">
        <f>A188+1</f>
        <v>36</v>
      </c>
      <c r="B194" s="1"/>
      <c r="C194" s="33" t="s">
        <v>32</v>
      </c>
      <c r="D194" s="1" t="s">
        <v>51</v>
      </c>
      <c r="E194" s="3">
        <f>SUM(I194:S194)</f>
        <v>3.25</v>
      </c>
      <c r="F194" s="3">
        <v>35000</v>
      </c>
      <c r="G194" s="5">
        <f t="shared" ref="G194" si="53">+E194*F194</f>
        <v>113750</v>
      </c>
      <c r="I194" s="4">
        <v>1.35</v>
      </c>
      <c r="J194" s="4"/>
      <c r="K194" s="4"/>
      <c r="L194" s="103"/>
      <c r="M194" s="4"/>
      <c r="N194" s="103">
        <v>1.9</v>
      </c>
      <c r="O194" s="108"/>
      <c r="P194" s="9"/>
      <c r="Q194" s="9"/>
      <c r="R194" s="9"/>
      <c r="S194" s="9"/>
    </row>
    <row r="195" spans="1:19" ht="13.95" customHeight="1">
      <c r="A195" s="9"/>
      <c r="B195" s="1"/>
      <c r="C195" s="33"/>
      <c r="D195" s="1"/>
      <c r="E195" s="4"/>
      <c r="F195" s="3"/>
      <c r="G195" s="5"/>
      <c r="I195" s="4"/>
      <c r="J195" s="4"/>
      <c r="K195" s="4"/>
      <c r="L195" s="103"/>
      <c r="M195" s="4"/>
      <c r="N195" s="103"/>
      <c r="O195" s="108"/>
      <c r="P195" s="9"/>
      <c r="Q195" s="9"/>
      <c r="R195" s="9"/>
      <c r="S195" s="9"/>
    </row>
    <row r="196" spans="1:19" ht="13.95" customHeight="1">
      <c r="A196" s="9"/>
      <c r="B196" s="1"/>
      <c r="C196" s="37" t="s">
        <v>40</v>
      </c>
      <c r="D196" s="1"/>
      <c r="E196" s="4"/>
      <c r="F196" s="3"/>
      <c r="G196" s="5"/>
      <c r="I196" s="4"/>
      <c r="J196" s="4"/>
      <c r="K196" s="4"/>
      <c r="L196" s="103"/>
      <c r="M196" s="4"/>
      <c r="N196" s="103"/>
      <c r="O196" s="108"/>
      <c r="P196" s="9"/>
      <c r="Q196" s="9"/>
      <c r="R196" s="9"/>
      <c r="S196" s="9"/>
    </row>
    <row r="197" spans="1:19" ht="13.95" customHeight="1">
      <c r="A197" s="9"/>
      <c r="B197" s="1"/>
      <c r="C197" s="33"/>
      <c r="D197" s="1"/>
      <c r="E197" s="4"/>
      <c r="F197" s="3"/>
      <c r="G197" s="5"/>
      <c r="I197" s="4"/>
      <c r="J197" s="4"/>
      <c r="K197" s="4"/>
      <c r="L197" s="103"/>
      <c r="M197" s="4"/>
      <c r="N197" s="103"/>
      <c r="O197" s="108"/>
      <c r="P197" s="9"/>
      <c r="Q197" s="9"/>
      <c r="R197" s="9"/>
      <c r="S197" s="9"/>
    </row>
    <row r="198" spans="1:19" ht="13.95" customHeight="1">
      <c r="A198" s="9">
        <f>A194+1</f>
        <v>37</v>
      </c>
      <c r="B198" s="1"/>
      <c r="C198" s="33" t="s">
        <v>32</v>
      </c>
      <c r="D198" s="1" t="s">
        <v>51</v>
      </c>
      <c r="E198" s="3">
        <f>SUM(I198:S198)</f>
        <v>1.2</v>
      </c>
      <c r="F198" s="3">
        <f>F194</f>
        <v>35000</v>
      </c>
      <c r="G198" s="5">
        <f t="shared" ref="G198" si="54">+E198*F198</f>
        <v>42000</v>
      </c>
      <c r="I198" s="4">
        <v>0.9</v>
      </c>
      <c r="J198" s="4"/>
      <c r="K198" s="4"/>
      <c r="L198" s="103"/>
      <c r="M198" s="4"/>
      <c r="N198" s="103">
        <v>0.3</v>
      </c>
      <c r="O198" s="108"/>
      <c r="P198" s="9"/>
      <c r="Q198" s="9"/>
      <c r="R198" s="9"/>
      <c r="S198" s="9"/>
    </row>
    <row r="199" spans="1:19" ht="13.95" customHeight="1">
      <c r="A199" s="1"/>
      <c r="B199" s="1"/>
      <c r="C199" s="33"/>
      <c r="D199" s="1"/>
      <c r="E199" s="3"/>
      <c r="F199" s="4"/>
      <c r="G199" s="5"/>
      <c r="I199" s="3"/>
      <c r="J199" s="3"/>
      <c r="K199" s="3"/>
      <c r="L199" s="103"/>
      <c r="M199" s="3"/>
      <c r="N199" s="103"/>
      <c r="O199" s="108"/>
      <c r="P199" s="9"/>
      <c r="Q199" s="9"/>
      <c r="R199" s="9"/>
      <c r="S199" s="9"/>
    </row>
    <row r="200" spans="1:19" ht="20.100000000000001" customHeight="1">
      <c r="A200" s="149" t="s">
        <v>66</v>
      </c>
      <c r="B200" s="150"/>
      <c r="C200" s="150"/>
      <c r="D200" s="150"/>
      <c r="E200" s="150"/>
      <c r="F200" s="151"/>
      <c r="G200" s="111">
        <f>SUM(G154:G199)</f>
        <v>7776157.8499999996</v>
      </c>
      <c r="I200" s="9"/>
      <c r="J200" s="9"/>
      <c r="K200" s="9"/>
      <c r="L200" s="103"/>
      <c r="M200" s="9"/>
      <c r="N200" s="103"/>
      <c r="O200" s="108"/>
      <c r="P200" s="9"/>
      <c r="Q200" s="9"/>
      <c r="R200" s="9"/>
      <c r="S200" s="9"/>
    </row>
    <row r="201" spans="1:19" ht="13.95" customHeight="1">
      <c r="A201" s="39"/>
      <c r="B201" s="39"/>
      <c r="C201" s="39"/>
      <c r="D201" s="39"/>
      <c r="E201" s="39"/>
      <c r="F201" s="39"/>
      <c r="G201" s="112"/>
      <c r="I201" s="9"/>
      <c r="J201" s="9"/>
      <c r="K201" s="9"/>
      <c r="L201" s="103"/>
      <c r="M201" s="9"/>
      <c r="N201" s="103"/>
      <c r="O201" s="108"/>
      <c r="P201" s="9"/>
      <c r="Q201" s="9"/>
      <c r="R201" s="9"/>
      <c r="S201" s="9"/>
    </row>
    <row r="202" spans="1:19" ht="13.95" customHeight="1">
      <c r="A202" s="50"/>
      <c r="B202" s="50"/>
      <c r="C202" s="50"/>
      <c r="D202" s="50"/>
      <c r="E202" s="50"/>
      <c r="F202" s="50"/>
      <c r="G202" s="112"/>
      <c r="I202" s="9"/>
      <c r="J202" s="9"/>
      <c r="K202" s="9"/>
      <c r="L202" s="103"/>
      <c r="M202" s="9"/>
      <c r="N202" s="103"/>
      <c r="O202" s="108"/>
      <c r="P202" s="9"/>
      <c r="Q202" s="9"/>
      <c r="R202" s="9"/>
      <c r="S202" s="9"/>
    </row>
    <row r="203" spans="1:19" ht="24" customHeight="1">
      <c r="A203" s="44" t="s">
        <v>8</v>
      </c>
      <c r="B203" s="48" t="s">
        <v>9</v>
      </c>
      <c r="C203" s="44" t="s">
        <v>10</v>
      </c>
      <c r="D203" s="48" t="s">
        <v>11</v>
      </c>
      <c r="E203" s="48" t="s">
        <v>59</v>
      </c>
      <c r="F203" s="49" t="s">
        <v>12</v>
      </c>
      <c r="G203" s="111" t="s">
        <v>13</v>
      </c>
      <c r="I203" s="9"/>
      <c r="J203" s="9"/>
      <c r="K203" s="9"/>
      <c r="L203" s="103"/>
      <c r="M203" s="9"/>
      <c r="N203" s="103"/>
      <c r="O203" s="108"/>
      <c r="P203" s="9"/>
      <c r="Q203" s="9"/>
      <c r="R203" s="9"/>
      <c r="S203" s="9"/>
    </row>
    <row r="204" spans="1:19" ht="20.100000000000001" customHeight="1">
      <c r="A204" s="149" t="s">
        <v>67</v>
      </c>
      <c r="B204" s="150"/>
      <c r="C204" s="150"/>
      <c r="D204" s="150"/>
      <c r="E204" s="150"/>
      <c r="F204" s="151"/>
      <c r="G204" s="111">
        <f>+G200</f>
        <v>7776157.8499999996</v>
      </c>
      <c r="I204" s="9"/>
      <c r="J204" s="9"/>
      <c r="K204" s="9"/>
      <c r="L204" s="103"/>
      <c r="M204" s="9"/>
      <c r="N204" s="103"/>
      <c r="O204" s="108"/>
      <c r="P204" s="9"/>
      <c r="Q204" s="9"/>
      <c r="R204" s="9"/>
      <c r="S204" s="9"/>
    </row>
    <row r="205" spans="1:19" ht="13.95" customHeight="1">
      <c r="A205" s="120"/>
      <c r="B205" s="120"/>
      <c r="C205" s="120"/>
      <c r="D205" s="120"/>
      <c r="E205" s="120"/>
      <c r="F205" s="120"/>
      <c r="G205" s="121"/>
      <c r="I205" s="9"/>
      <c r="J205" s="9"/>
      <c r="K205" s="9"/>
      <c r="L205" s="103"/>
      <c r="M205" s="9"/>
      <c r="N205" s="103"/>
      <c r="O205" s="108"/>
      <c r="P205" s="9"/>
      <c r="Q205" s="9"/>
      <c r="R205" s="9"/>
      <c r="S205" s="9"/>
    </row>
    <row r="206" spans="1:19" ht="24.6" customHeight="1">
      <c r="A206" s="9"/>
      <c r="B206" s="1" t="s">
        <v>99</v>
      </c>
      <c r="C206" s="34" t="s">
        <v>63</v>
      </c>
      <c r="D206" s="1"/>
      <c r="E206" s="3"/>
      <c r="F206" s="4"/>
      <c r="G206" s="5"/>
      <c r="I206" s="9"/>
      <c r="J206" s="9"/>
      <c r="K206" s="9"/>
      <c r="L206" s="103"/>
      <c r="M206" s="9"/>
      <c r="N206" s="103"/>
      <c r="O206" s="108"/>
      <c r="P206" s="9"/>
      <c r="Q206" s="9"/>
      <c r="R206" s="9"/>
      <c r="S206" s="9"/>
    </row>
    <row r="207" spans="1:19" ht="13.95" customHeight="1">
      <c r="A207" s="9"/>
      <c r="B207" s="1"/>
      <c r="C207" s="34"/>
      <c r="D207" s="1"/>
      <c r="E207" s="3"/>
      <c r="F207" s="4"/>
      <c r="G207" s="5"/>
      <c r="I207" s="9"/>
      <c r="J207" s="9"/>
      <c r="K207" s="9"/>
      <c r="L207" s="103"/>
      <c r="M207" s="9"/>
      <c r="N207" s="103"/>
      <c r="O207" s="108"/>
      <c r="P207" s="9"/>
      <c r="Q207" s="9"/>
      <c r="R207" s="9"/>
      <c r="S207" s="9"/>
    </row>
    <row r="208" spans="1:19" ht="22.95" customHeight="1">
      <c r="A208" s="9"/>
      <c r="B208" s="1"/>
      <c r="C208" s="34" t="s">
        <v>58</v>
      </c>
      <c r="D208" s="1"/>
      <c r="E208" s="3"/>
      <c r="F208" s="4"/>
      <c r="G208" s="5"/>
      <c r="I208" s="9"/>
      <c r="J208" s="9"/>
      <c r="K208" s="9"/>
      <c r="L208" s="103"/>
      <c r="M208" s="9"/>
      <c r="N208" s="103"/>
      <c r="O208" s="108"/>
      <c r="P208" s="9"/>
      <c r="Q208" s="9"/>
      <c r="R208" s="9"/>
      <c r="S208" s="9"/>
    </row>
    <row r="209" spans="1:19" ht="13.95" customHeight="1">
      <c r="A209" s="9"/>
      <c r="B209" s="1"/>
      <c r="C209" s="33"/>
      <c r="D209" s="1"/>
      <c r="E209" s="3"/>
      <c r="F209" s="4"/>
      <c r="G209" s="5"/>
      <c r="I209" s="9"/>
      <c r="J209" s="9"/>
      <c r="K209" s="9"/>
      <c r="L209" s="103"/>
      <c r="M209" s="9"/>
      <c r="N209" s="103"/>
      <c r="O209" s="108"/>
      <c r="P209" s="9"/>
      <c r="Q209" s="9"/>
      <c r="R209" s="9"/>
      <c r="S209" s="9"/>
    </row>
    <row r="210" spans="1:19" ht="46.2" customHeight="1">
      <c r="A210" s="9">
        <f>A198+1</f>
        <v>38</v>
      </c>
      <c r="B210" s="1"/>
      <c r="C210" s="33" t="s">
        <v>240</v>
      </c>
      <c r="D210" s="1" t="s">
        <v>6</v>
      </c>
      <c r="E210" s="3">
        <f>SUM(I210:S210)</f>
        <v>264</v>
      </c>
      <c r="F210" s="3">
        <v>275</v>
      </c>
      <c r="G210" s="5">
        <f t="shared" ref="G210" si="55">+E210*F210</f>
        <v>72600</v>
      </c>
      <c r="I210" s="9">
        <v>200</v>
      </c>
      <c r="J210" s="9"/>
      <c r="K210" s="9"/>
      <c r="L210" s="103"/>
      <c r="M210" s="9"/>
      <c r="N210" s="103">
        <v>64</v>
      </c>
      <c r="O210" s="108"/>
      <c r="P210" s="9"/>
      <c r="Q210" s="9"/>
      <c r="R210" s="9"/>
      <c r="S210" s="9"/>
    </row>
    <row r="211" spans="1:19" ht="13.95" customHeight="1">
      <c r="A211" s="9"/>
      <c r="B211" s="1"/>
      <c r="C211" s="33"/>
      <c r="D211" s="1"/>
      <c r="E211" s="3"/>
      <c r="F211" s="3"/>
      <c r="G211" s="5"/>
      <c r="I211" s="9"/>
      <c r="J211" s="9"/>
      <c r="K211" s="9"/>
      <c r="L211" s="103"/>
      <c r="M211" s="9"/>
      <c r="N211" s="103"/>
      <c r="O211" s="108"/>
      <c r="P211" s="9"/>
      <c r="Q211" s="9"/>
      <c r="R211" s="9"/>
      <c r="S211" s="9"/>
    </row>
    <row r="212" spans="1:19" ht="48" customHeight="1">
      <c r="A212" s="9">
        <f>A210+1</f>
        <v>39</v>
      </c>
      <c r="B212" s="1"/>
      <c r="C212" s="33" t="s">
        <v>227</v>
      </c>
      <c r="D212" s="1" t="s">
        <v>6</v>
      </c>
      <c r="E212" s="3">
        <f>SUM(I212:S212)</f>
        <v>0</v>
      </c>
      <c r="F212" s="3">
        <v>975</v>
      </c>
      <c r="G212" s="5">
        <f t="shared" ref="G212" si="56">+E212*F212</f>
        <v>0</v>
      </c>
      <c r="I212" s="45"/>
      <c r="J212" s="45"/>
      <c r="K212" s="45"/>
      <c r="L212" s="103"/>
      <c r="M212" s="45"/>
      <c r="N212" s="103"/>
      <c r="O212" s="108"/>
      <c r="P212" s="9"/>
      <c r="Q212" s="9"/>
      <c r="R212" s="9"/>
      <c r="S212" s="9"/>
    </row>
    <row r="213" spans="1:19" ht="12.6" customHeight="1">
      <c r="A213" s="9"/>
      <c r="B213" s="1"/>
      <c r="C213" s="33"/>
      <c r="D213" s="1"/>
      <c r="E213" s="3"/>
      <c r="F213" s="4"/>
      <c r="G213" s="5"/>
      <c r="I213" s="9"/>
      <c r="J213" s="9"/>
      <c r="K213" s="9"/>
      <c r="L213" s="103"/>
      <c r="M213" s="9"/>
      <c r="N213" s="103"/>
      <c r="O213" s="108"/>
      <c r="P213" s="9"/>
      <c r="Q213" s="9"/>
      <c r="R213" s="9"/>
      <c r="S213" s="9"/>
    </row>
    <row r="214" spans="1:19" ht="13.95" customHeight="1">
      <c r="A214" s="1"/>
      <c r="B214" s="1" t="s">
        <v>103</v>
      </c>
      <c r="C214" s="34" t="s">
        <v>7</v>
      </c>
      <c r="D214" s="1"/>
      <c r="E214" s="3"/>
      <c r="F214" s="4"/>
      <c r="G214" s="5"/>
      <c r="I214" s="9"/>
      <c r="J214" s="9"/>
      <c r="K214" s="9"/>
      <c r="L214" s="103"/>
      <c r="M214" s="9"/>
      <c r="N214" s="103"/>
      <c r="O214" s="108"/>
      <c r="P214" s="9"/>
      <c r="Q214" s="9"/>
      <c r="R214" s="9"/>
      <c r="S214" s="9"/>
    </row>
    <row r="215" spans="1:19" ht="13.95" customHeight="1">
      <c r="A215" s="1"/>
      <c r="B215" s="1"/>
      <c r="C215" s="33"/>
      <c r="D215" s="1"/>
      <c r="E215" s="3"/>
      <c r="F215" s="4"/>
      <c r="G215" s="5"/>
      <c r="I215" s="9"/>
      <c r="J215" s="9"/>
      <c r="K215" s="9"/>
      <c r="L215" s="103"/>
      <c r="M215" s="9"/>
      <c r="N215" s="103"/>
      <c r="O215" s="108"/>
      <c r="P215" s="9"/>
      <c r="Q215" s="9"/>
      <c r="R215" s="9"/>
      <c r="S215" s="9"/>
    </row>
    <row r="216" spans="1:19" ht="13.95" customHeight="1">
      <c r="A216" s="1"/>
      <c r="B216" s="1"/>
      <c r="C216" s="33" t="s">
        <v>68</v>
      </c>
      <c r="D216" s="1"/>
      <c r="E216" s="3"/>
      <c r="F216" s="4"/>
      <c r="G216" s="5"/>
      <c r="I216" s="9"/>
      <c r="J216" s="9"/>
      <c r="K216" s="9"/>
      <c r="L216" s="103"/>
      <c r="M216" s="9"/>
      <c r="N216" s="103"/>
      <c r="O216" s="108"/>
      <c r="P216" s="9"/>
      <c r="Q216" s="9"/>
      <c r="R216" s="9"/>
      <c r="S216" s="9"/>
    </row>
    <row r="217" spans="1:19" ht="13.95" customHeight="1">
      <c r="A217" s="1"/>
      <c r="B217" s="1"/>
      <c r="C217" s="33"/>
      <c r="D217" s="1"/>
      <c r="E217" s="3"/>
      <c r="F217" s="4"/>
      <c r="G217" s="5"/>
      <c r="I217" s="9"/>
      <c r="J217" s="9"/>
      <c r="K217" s="9"/>
      <c r="L217" s="103"/>
      <c r="M217" s="9"/>
      <c r="N217" s="103"/>
      <c r="O217" s="108"/>
      <c r="P217" s="9"/>
      <c r="Q217" s="9"/>
      <c r="R217" s="9"/>
      <c r="S217" s="9"/>
    </row>
    <row r="218" spans="1:19" ht="22.95" customHeight="1">
      <c r="A218" s="1">
        <f>A212+1</f>
        <v>40</v>
      </c>
      <c r="B218" s="1"/>
      <c r="C218" s="33" t="s">
        <v>197</v>
      </c>
      <c r="D218" s="1" t="s">
        <v>60</v>
      </c>
      <c r="E218" s="3">
        <f>SUM(I218:S218)</f>
        <v>850</v>
      </c>
      <c r="F218" s="13">
        <v>165</v>
      </c>
      <c r="G218" s="5">
        <f t="shared" ref="G218" si="57">+E218*F218</f>
        <v>140250</v>
      </c>
      <c r="I218" s="9"/>
      <c r="J218" s="9"/>
      <c r="K218" s="9">
        <v>850</v>
      </c>
      <c r="L218" s="103"/>
      <c r="M218" s="9"/>
      <c r="N218" s="103"/>
      <c r="O218" s="108"/>
      <c r="P218" s="9"/>
      <c r="Q218" s="9"/>
      <c r="R218" s="9"/>
      <c r="S218" s="9"/>
    </row>
    <row r="219" spans="1:19" ht="13.95" customHeight="1">
      <c r="A219" s="1"/>
      <c r="B219" s="1"/>
      <c r="C219" s="33"/>
      <c r="D219" s="35"/>
      <c r="E219" s="3"/>
      <c r="F219" s="4"/>
      <c r="G219" s="5"/>
      <c r="I219" s="9"/>
      <c r="J219" s="9"/>
      <c r="K219" s="9"/>
      <c r="L219" s="103"/>
      <c r="M219" s="9"/>
      <c r="N219" s="103"/>
      <c r="O219" s="108"/>
      <c r="P219" s="9"/>
      <c r="Q219" s="9"/>
      <c r="R219" s="9"/>
      <c r="S219" s="9"/>
    </row>
    <row r="220" spans="1:19" ht="13.95" customHeight="1">
      <c r="A220" s="1"/>
      <c r="B220" s="1"/>
      <c r="C220" s="46" t="s">
        <v>231</v>
      </c>
      <c r="D220" s="1"/>
      <c r="E220" s="3"/>
      <c r="F220" s="4"/>
      <c r="G220" s="5"/>
      <c r="I220" s="9"/>
      <c r="J220" s="9"/>
      <c r="K220" s="9"/>
      <c r="L220" s="103"/>
      <c r="M220" s="9"/>
      <c r="N220" s="103"/>
      <c r="O220" s="108"/>
      <c r="P220" s="9"/>
      <c r="Q220" s="9"/>
      <c r="R220" s="9"/>
      <c r="S220" s="9"/>
    </row>
    <row r="221" spans="1:19" ht="13.95" customHeight="1">
      <c r="A221" s="1"/>
      <c r="B221" s="1"/>
      <c r="C221" s="47"/>
      <c r="D221" s="35"/>
      <c r="E221" s="3"/>
      <c r="F221" s="4"/>
      <c r="G221" s="5"/>
      <c r="I221" s="9"/>
      <c r="J221" s="9"/>
      <c r="K221" s="9"/>
      <c r="L221" s="103"/>
      <c r="M221" s="9"/>
      <c r="N221" s="103"/>
      <c r="O221" s="108"/>
      <c r="P221" s="9"/>
      <c r="Q221" s="9"/>
      <c r="R221" s="9"/>
      <c r="S221" s="9"/>
    </row>
    <row r="222" spans="1:19" ht="49.2" customHeight="1">
      <c r="A222" s="1">
        <f>A218+1</f>
        <v>41</v>
      </c>
      <c r="B222" s="1"/>
      <c r="C222" s="55" t="s">
        <v>75</v>
      </c>
      <c r="D222" s="1" t="s">
        <v>51</v>
      </c>
      <c r="E222" s="3">
        <f>SUM(I222:S222)</f>
        <v>0</v>
      </c>
      <c r="F222" s="3">
        <v>1185</v>
      </c>
      <c r="G222" s="5">
        <f t="shared" ref="G222" si="58">+E222*F222</f>
        <v>0</v>
      </c>
      <c r="I222" s="9"/>
      <c r="J222" s="9"/>
      <c r="K222" s="9"/>
      <c r="L222" s="103"/>
      <c r="M222" s="9"/>
      <c r="N222" s="103"/>
      <c r="O222" s="108"/>
      <c r="P222" s="9"/>
      <c r="Q222" s="9"/>
      <c r="R222" s="9"/>
      <c r="S222" s="9"/>
    </row>
    <row r="223" spans="1:19" ht="10.5" customHeight="1">
      <c r="A223" s="1"/>
      <c r="B223" s="1"/>
      <c r="C223" s="55"/>
      <c r="D223" s="35"/>
      <c r="E223" s="3"/>
      <c r="F223" s="4"/>
      <c r="G223" s="5"/>
      <c r="I223" s="9"/>
      <c r="J223" s="9"/>
      <c r="K223" s="9"/>
      <c r="L223" s="103"/>
      <c r="M223" s="9"/>
      <c r="N223" s="103"/>
      <c r="O223" s="108"/>
      <c r="P223" s="9"/>
      <c r="Q223" s="9"/>
      <c r="R223" s="9"/>
      <c r="S223" s="9"/>
    </row>
    <row r="224" spans="1:19" ht="13.95" customHeight="1">
      <c r="A224" s="1"/>
      <c r="B224" s="1"/>
      <c r="C224" s="56" t="s">
        <v>230</v>
      </c>
      <c r="D224" s="9"/>
      <c r="E224" s="9"/>
      <c r="F224" s="122"/>
      <c r="G224" s="5"/>
      <c r="I224" s="9"/>
      <c r="J224" s="9"/>
      <c r="K224" s="9"/>
      <c r="L224" s="103"/>
      <c r="M224" s="9"/>
      <c r="N224" s="103"/>
      <c r="O224" s="108"/>
      <c r="P224" s="9"/>
      <c r="Q224" s="9"/>
      <c r="R224" s="9"/>
      <c r="S224" s="9"/>
    </row>
    <row r="225" spans="1:19" ht="9.75" customHeight="1">
      <c r="A225" s="1"/>
      <c r="B225" s="1"/>
      <c r="C225" s="57"/>
      <c r="D225" s="9"/>
      <c r="E225" s="9"/>
      <c r="F225" s="122"/>
      <c r="G225" s="5"/>
      <c r="I225" s="9"/>
      <c r="J225" s="9"/>
      <c r="K225" s="9"/>
      <c r="L225" s="103"/>
      <c r="M225" s="9"/>
      <c r="N225" s="103"/>
      <c r="O225" s="108"/>
      <c r="P225" s="9"/>
      <c r="Q225" s="9"/>
      <c r="R225" s="9"/>
      <c r="S225" s="9"/>
    </row>
    <row r="226" spans="1:19" ht="48" customHeight="1">
      <c r="A226" s="1"/>
      <c r="B226" s="1"/>
      <c r="C226" s="33" t="s">
        <v>242</v>
      </c>
      <c r="D226" s="57"/>
      <c r="E226" s="57"/>
      <c r="F226" s="57"/>
      <c r="G226" s="5"/>
      <c r="I226" s="9"/>
      <c r="J226" s="9"/>
      <c r="K226" s="9"/>
      <c r="L226" s="103"/>
      <c r="M226" s="9"/>
      <c r="N226" s="103"/>
      <c r="O226" s="108"/>
      <c r="P226" s="9"/>
      <c r="Q226" s="9"/>
      <c r="R226" s="9"/>
      <c r="S226" s="9"/>
    </row>
    <row r="227" spans="1:19" ht="13.95" customHeight="1">
      <c r="A227" s="1"/>
      <c r="B227" s="1"/>
      <c r="C227" s="33"/>
      <c r="D227" s="9"/>
      <c r="E227" s="9"/>
      <c r="F227" s="122"/>
      <c r="G227" s="5"/>
      <c r="I227" s="9"/>
      <c r="J227" s="9"/>
      <c r="K227" s="9"/>
      <c r="L227" s="103"/>
      <c r="M227" s="9"/>
      <c r="N227" s="103"/>
      <c r="O227" s="108"/>
      <c r="P227" s="9"/>
      <c r="Q227" s="9"/>
      <c r="R227" s="9"/>
      <c r="S227" s="9"/>
    </row>
    <row r="228" spans="1:19" ht="25.95" customHeight="1">
      <c r="A228" s="1"/>
      <c r="B228" s="1"/>
      <c r="C228" s="33" t="s">
        <v>232</v>
      </c>
      <c r="D228" s="9"/>
      <c r="E228" s="9"/>
      <c r="F228" s="122"/>
      <c r="G228" s="5"/>
      <c r="I228" s="9"/>
      <c r="J228" s="9"/>
      <c r="K228" s="9"/>
      <c r="L228" s="103"/>
      <c r="M228" s="9"/>
      <c r="N228" s="103"/>
      <c r="O228" s="108"/>
      <c r="P228" s="9"/>
      <c r="Q228" s="9"/>
      <c r="R228" s="9"/>
      <c r="S228" s="9"/>
    </row>
    <row r="229" spans="1:19" ht="13.95" customHeight="1">
      <c r="A229" s="1"/>
      <c r="B229" s="1"/>
      <c r="C229" s="33"/>
      <c r="D229" s="9"/>
      <c r="E229" s="9"/>
      <c r="F229" s="122"/>
      <c r="G229" s="5"/>
      <c r="I229" s="9"/>
      <c r="J229" s="9"/>
      <c r="K229" s="9"/>
      <c r="L229" s="103"/>
      <c r="M229" s="9"/>
      <c r="N229" s="103"/>
      <c r="O229" s="108"/>
      <c r="P229" s="9"/>
      <c r="Q229" s="9"/>
      <c r="R229" s="9"/>
      <c r="S229" s="9"/>
    </row>
    <row r="230" spans="1:19" ht="38.4" customHeight="1">
      <c r="A230" s="1">
        <f>A222+1</f>
        <v>42</v>
      </c>
      <c r="B230" s="1"/>
      <c r="C230" s="33" t="s">
        <v>233</v>
      </c>
      <c r="D230" s="9" t="s">
        <v>1</v>
      </c>
      <c r="E230" s="3">
        <f>SUM(I230:S230)</f>
        <v>16</v>
      </c>
      <c r="F230" s="144">
        <v>775</v>
      </c>
      <c r="G230" s="5">
        <f t="shared" ref="G230" si="59">+E230*F230</f>
        <v>12400</v>
      </c>
      <c r="I230" s="9"/>
      <c r="J230" s="9"/>
      <c r="K230" s="9"/>
      <c r="L230" s="103"/>
      <c r="M230" s="9">
        <v>16</v>
      </c>
      <c r="N230" s="103"/>
      <c r="O230" s="108"/>
      <c r="P230" s="9"/>
      <c r="Q230" s="9"/>
      <c r="R230" s="9"/>
      <c r="S230" s="9"/>
    </row>
    <row r="231" spans="1:19" ht="13.95" customHeight="1">
      <c r="A231" s="1"/>
      <c r="B231" s="1"/>
      <c r="C231" s="33"/>
      <c r="D231" s="9"/>
      <c r="E231" s="9"/>
      <c r="F231" s="144"/>
      <c r="G231" s="5"/>
      <c r="I231" s="9"/>
      <c r="J231" s="9"/>
      <c r="K231" s="9"/>
      <c r="L231" s="103"/>
      <c r="M231" s="9"/>
      <c r="N231" s="103"/>
      <c r="O231" s="108"/>
      <c r="P231" s="9"/>
      <c r="Q231" s="9"/>
      <c r="R231" s="9"/>
      <c r="S231" s="9"/>
    </row>
    <row r="232" spans="1:19" ht="25.95" customHeight="1">
      <c r="A232" s="1">
        <f>A230+1</f>
        <v>43</v>
      </c>
      <c r="B232" s="1"/>
      <c r="C232" s="33" t="s">
        <v>228</v>
      </c>
      <c r="D232" s="9" t="s">
        <v>6</v>
      </c>
      <c r="E232" s="3">
        <f>SUM(I232:S232)</f>
        <v>0</v>
      </c>
      <c r="F232" s="144">
        <v>275</v>
      </c>
      <c r="G232" s="5">
        <f t="shared" ref="G232" si="60">+E232*F232</f>
        <v>0</v>
      </c>
      <c r="I232" s="9"/>
      <c r="J232" s="9"/>
      <c r="K232" s="9"/>
      <c r="L232" s="103"/>
      <c r="M232" s="9"/>
      <c r="N232" s="103"/>
      <c r="O232" s="108"/>
      <c r="P232" s="9"/>
      <c r="Q232" s="9"/>
      <c r="R232" s="9"/>
      <c r="S232" s="9"/>
    </row>
    <row r="233" spans="1:19" ht="9" customHeight="1">
      <c r="A233" s="1"/>
      <c r="B233" s="1"/>
      <c r="C233" s="33"/>
      <c r="D233" s="9"/>
      <c r="E233" s="9"/>
      <c r="F233" s="144"/>
      <c r="G233" s="5"/>
      <c r="I233" s="9"/>
      <c r="J233" s="9"/>
      <c r="K233" s="9"/>
      <c r="L233" s="103"/>
      <c r="M233" s="9"/>
      <c r="N233" s="103"/>
      <c r="O233" s="108"/>
      <c r="P233" s="9"/>
      <c r="Q233" s="9"/>
      <c r="R233" s="9"/>
      <c r="S233" s="9"/>
    </row>
    <row r="234" spans="1:19" ht="13.95" customHeight="1">
      <c r="A234" s="1">
        <f>A232+1</f>
        <v>44</v>
      </c>
      <c r="B234" s="1"/>
      <c r="C234" s="33" t="s">
        <v>229</v>
      </c>
      <c r="D234" s="9" t="s">
        <v>6</v>
      </c>
      <c r="E234" s="3">
        <f>SUM(I234:S234)</f>
        <v>0</v>
      </c>
      <c r="F234" s="144">
        <v>650</v>
      </c>
      <c r="G234" s="5">
        <f t="shared" ref="G234" si="61">+E234*F234</f>
        <v>0</v>
      </c>
      <c r="I234" s="9"/>
      <c r="J234" s="9"/>
      <c r="K234" s="9"/>
      <c r="L234" s="103"/>
      <c r="M234" s="9"/>
      <c r="N234" s="103"/>
      <c r="O234" s="108"/>
      <c r="P234" s="9"/>
      <c r="Q234" s="9"/>
      <c r="R234" s="9"/>
      <c r="S234" s="9"/>
    </row>
    <row r="235" spans="1:19" ht="11.25" customHeight="1">
      <c r="A235" s="1"/>
      <c r="B235" s="1"/>
      <c r="C235" s="17"/>
      <c r="D235" s="35"/>
      <c r="E235" s="3"/>
      <c r="F235" s="14"/>
      <c r="G235" s="5"/>
      <c r="I235" s="9"/>
      <c r="J235" s="9"/>
      <c r="K235" s="9"/>
      <c r="L235" s="103"/>
      <c r="M235" s="9"/>
      <c r="N235" s="103"/>
      <c r="O235" s="108"/>
      <c r="P235" s="9"/>
      <c r="Q235" s="9"/>
      <c r="R235" s="9"/>
      <c r="S235" s="9"/>
    </row>
    <row r="236" spans="1:19">
      <c r="A236" s="16">
        <f>+A234+1</f>
        <v>45</v>
      </c>
      <c r="B236" s="16"/>
      <c r="C236" s="47" t="s">
        <v>241</v>
      </c>
      <c r="D236" s="58" t="s">
        <v>1</v>
      </c>
      <c r="E236" s="3">
        <f>SUM(I236:S236)</f>
        <v>0</v>
      </c>
      <c r="F236" s="13">
        <v>425</v>
      </c>
      <c r="G236" s="15">
        <f t="shared" ref="G236" si="62">+E236*F236</f>
        <v>0</v>
      </c>
      <c r="I236" s="9"/>
      <c r="J236" s="9"/>
      <c r="K236" s="9"/>
      <c r="L236" s="103"/>
      <c r="M236" s="9"/>
      <c r="N236" s="103"/>
      <c r="O236" s="108"/>
      <c r="P236" s="9"/>
      <c r="Q236" s="9"/>
      <c r="R236" s="9"/>
      <c r="S236" s="9"/>
    </row>
    <row r="237" spans="1:19" ht="13.95" customHeight="1">
      <c r="A237" s="1"/>
      <c r="B237" s="1"/>
      <c r="C237" s="17"/>
      <c r="D237" s="35"/>
      <c r="E237" s="3"/>
      <c r="F237" s="14"/>
      <c r="G237" s="5"/>
      <c r="I237" s="9"/>
      <c r="J237" s="9"/>
      <c r="K237" s="9"/>
      <c r="L237" s="103"/>
      <c r="M237" s="9"/>
      <c r="N237" s="103"/>
      <c r="O237" s="108"/>
      <c r="P237" s="9"/>
      <c r="Q237" s="9"/>
      <c r="R237" s="9"/>
      <c r="S237" s="9"/>
    </row>
    <row r="238" spans="1:19" ht="20.100000000000001" customHeight="1">
      <c r="A238" s="149" t="s">
        <v>66</v>
      </c>
      <c r="B238" s="150"/>
      <c r="C238" s="150"/>
      <c r="D238" s="150"/>
      <c r="E238" s="150"/>
      <c r="F238" s="151"/>
      <c r="G238" s="111">
        <f>SUM(G204:G237)</f>
        <v>8001407.8499999996</v>
      </c>
      <c r="I238" s="9"/>
      <c r="J238" s="9"/>
      <c r="K238" s="9"/>
      <c r="L238" s="103"/>
      <c r="M238" s="9"/>
      <c r="N238" s="103"/>
      <c r="O238" s="108"/>
      <c r="P238" s="9"/>
      <c r="Q238" s="9"/>
      <c r="R238" s="9"/>
      <c r="S238" s="9"/>
    </row>
    <row r="239" spans="1:19" ht="13.95" customHeight="1">
      <c r="A239" s="39"/>
      <c r="B239" s="39"/>
      <c r="C239" s="39"/>
      <c r="D239" s="39"/>
      <c r="E239" s="39"/>
      <c r="F239" s="39"/>
      <c r="G239" s="112"/>
      <c r="I239" s="9"/>
      <c r="J239" s="9"/>
      <c r="K239" s="9"/>
      <c r="L239" s="103"/>
      <c r="M239" s="9"/>
      <c r="N239" s="103"/>
      <c r="O239" s="108"/>
      <c r="P239" s="9"/>
      <c r="Q239" s="9"/>
      <c r="R239" s="9"/>
      <c r="S239" s="9"/>
    </row>
    <row r="240" spans="1:19" ht="13.95" customHeight="1">
      <c r="A240" s="50"/>
      <c r="B240" s="50"/>
      <c r="C240" s="50"/>
      <c r="D240" s="50"/>
      <c r="E240" s="50"/>
      <c r="F240" s="50"/>
      <c r="G240" s="112"/>
      <c r="I240" s="9"/>
      <c r="J240" s="9"/>
      <c r="K240" s="9"/>
      <c r="L240" s="103"/>
      <c r="M240" s="9"/>
      <c r="N240" s="103"/>
      <c r="O240" s="108"/>
      <c r="P240" s="9"/>
      <c r="Q240" s="9"/>
      <c r="R240" s="9"/>
      <c r="S240" s="9"/>
    </row>
    <row r="241" spans="1:19" ht="21.6" customHeight="1">
      <c r="A241" s="44" t="s">
        <v>8</v>
      </c>
      <c r="B241" s="48" t="s">
        <v>9</v>
      </c>
      <c r="C241" s="44" t="s">
        <v>10</v>
      </c>
      <c r="D241" s="48" t="s">
        <v>11</v>
      </c>
      <c r="E241" s="48" t="s">
        <v>59</v>
      </c>
      <c r="F241" s="49" t="s">
        <v>12</v>
      </c>
      <c r="G241" s="111" t="s">
        <v>13</v>
      </c>
      <c r="I241" s="9"/>
      <c r="J241" s="9"/>
      <c r="K241" s="9"/>
      <c r="L241" s="103"/>
      <c r="M241" s="9"/>
      <c r="N241" s="103"/>
      <c r="O241" s="108"/>
      <c r="P241" s="9"/>
      <c r="Q241" s="9"/>
      <c r="R241" s="9"/>
      <c r="S241" s="9"/>
    </row>
    <row r="242" spans="1:19" ht="20.100000000000001" customHeight="1">
      <c r="A242" s="149" t="s">
        <v>67</v>
      </c>
      <c r="B242" s="150"/>
      <c r="C242" s="150"/>
      <c r="D242" s="150"/>
      <c r="E242" s="150"/>
      <c r="F242" s="151"/>
      <c r="G242" s="111">
        <f>+G238</f>
        <v>8001407.8499999996</v>
      </c>
      <c r="I242" s="9"/>
      <c r="J242" s="9"/>
      <c r="K242" s="9"/>
      <c r="L242" s="103"/>
      <c r="M242" s="9"/>
      <c r="N242" s="103"/>
      <c r="O242" s="108"/>
      <c r="P242" s="9"/>
      <c r="Q242" s="9"/>
      <c r="R242" s="9"/>
      <c r="S242" s="9"/>
    </row>
    <row r="243" spans="1:19" ht="13.95" customHeight="1">
      <c r="A243" s="120"/>
      <c r="B243" s="120"/>
      <c r="C243" s="120"/>
      <c r="D243" s="120"/>
      <c r="E243" s="120"/>
      <c r="F243" s="120"/>
      <c r="G243" s="121"/>
      <c r="I243" s="9"/>
      <c r="J243" s="9"/>
      <c r="K243" s="9"/>
      <c r="L243" s="103"/>
      <c r="M243" s="9"/>
      <c r="N243" s="103"/>
      <c r="O243" s="108"/>
      <c r="P243" s="9"/>
      <c r="Q243" s="9"/>
      <c r="R243" s="9"/>
      <c r="S243" s="9"/>
    </row>
    <row r="244" spans="1:19" ht="22.2" customHeight="1">
      <c r="A244" s="1"/>
      <c r="B244" s="51" t="s">
        <v>105</v>
      </c>
      <c r="C244" s="11" t="s">
        <v>204</v>
      </c>
      <c r="D244" s="40"/>
      <c r="E244" s="3"/>
      <c r="F244" s="4"/>
      <c r="G244" s="5"/>
      <c r="I244" s="9"/>
      <c r="J244" s="9"/>
      <c r="K244" s="9"/>
      <c r="L244" s="103"/>
      <c r="M244" s="9"/>
      <c r="N244" s="103"/>
      <c r="O244" s="108"/>
      <c r="P244" s="9"/>
      <c r="Q244" s="9"/>
      <c r="R244" s="9"/>
      <c r="S244" s="9"/>
    </row>
    <row r="245" spans="1:19" ht="13.95" customHeight="1">
      <c r="A245" s="1"/>
      <c r="B245" s="51"/>
      <c r="C245" s="6"/>
      <c r="D245" s="9"/>
      <c r="E245" s="3"/>
      <c r="F245" s="4"/>
      <c r="G245" s="5"/>
      <c r="I245" s="9"/>
      <c r="J245" s="9"/>
      <c r="K245" s="9"/>
      <c r="L245" s="103"/>
      <c r="M245" s="9"/>
      <c r="N245" s="103"/>
      <c r="O245" s="108"/>
      <c r="P245" s="9"/>
      <c r="Q245" s="9"/>
      <c r="R245" s="9"/>
      <c r="S245" s="9"/>
    </row>
    <row r="246" spans="1:19" ht="13.95" customHeight="1">
      <c r="A246" s="1"/>
      <c r="B246" s="51" t="s">
        <v>92</v>
      </c>
      <c r="C246" s="52" t="s">
        <v>205</v>
      </c>
      <c r="D246" s="9"/>
      <c r="E246" s="3"/>
      <c r="F246" s="4"/>
      <c r="G246" s="5"/>
      <c r="I246" s="9"/>
      <c r="J246" s="9"/>
      <c r="K246" s="9"/>
      <c r="L246" s="103"/>
      <c r="M246" s="9"/>
      <c r="N246" s="103"/>
      <c r="O246" s="108"/>
      <c r="P246" s="9"/>
      <c r="Q246" s="9"/>
      <c r="R246" s="9"/>
      <c r="S246" s="9"/>
    </row>
    <row r="247" spans="1:19" ht="13.95" customHeight="1">
      <c r="A247" s="1"/>
      <c r="B247" s="51"/>
      <c r="C247" s="6"/>
      <c r="D247" s="9"/>
      <c r="E247" s="3"/>
      <c r="F247" s="4"/>
      <c r="G247" s="5"/>
      <c r="I247" s="9"/>
      <c r="J247" s="9"/>
      <c r="K247" s="9"/>
      <c r="L247" s="103"/>
      <c r="M247" s="9"/>
      <c r="N247" s="103"/>
      <c r="O247" s="108"/>
      <c r="P247" s="9"/>
      <c r="Q247" s="9"/>
      <c r="R247" s="9"/>
      <c r="S247" s="9"/>
    </row>
    <row r="248" spans="1:19" ht="24" customHeight="1">
      <c r="A248" s="1"/>
      <c r="B248" s="51" t="s">
        <v>206</v>
      </c>
      <c r="C248" s="21" t="s">
        <v>207</v>
      </c>
      <c r="D248" s="9"/>
      <c r="E248" s="3"/>
      <c r="F248" s="3"/>
      <c r="G248" s="5"/>
      <c r="I248" s="9"/>
      <c r="J248" s="9"/>
      <c r="K248" s="9"/>
      <c r="L248" s="103"/>
      <c r="M248" s="9"/>
      <c r="N248" s="103"/>
      <c r="O248" s="108"/>
      <c r="P248" s="9"/>
      <c r="Q248" s="9"/>
      <c r="R248" s="9"/>
      <c r="S248" s="9"/>
    </row>
    <row r="249" spans="1:19" ht="13.95" customHeight="1">
      <c r="A249" s="1"/>
      <c r="B249" s="51"/>
      <c r="C249" s="6"/>
      <c r="D249" s="9"/>
      <c r="E249" s="3"/>
      <c r="F249" s="13"/>
      <c r="G249" s="5"/>
      <c r="I249" s="9"/>
      <c r="J249" s="9"/>
      <c r="K249" s="9"/>
      <c r="L249" s="103"/>
      <c r="M249" s="9"/>
      <c r="N249" s="103"/>
      <c r="O249" s="108"/>
      <c r="P249" s="9"/>
      <c r="Q249" s="9"/>
      <c r="R249" s="9"/>
      <c r="S249" s="9"/>
    </row>
    <row r="250" spans="1:19" ht="13.95" customHeight="1">
      <c r="A250" s="1">
        <f>A236+1</f>
        <v>46</v>
      </c>
      <c r="B250" s="51" t="s">
        <v>208</v>
      </c>
      <c r="C250" s="6" t="s">
        <v>21</v>
      </c>
      <c r="D250" s="9" t="s">
        <v>1</v>
      </c>
      <c r="E250" s="3">
        <f>SUM(I250:S250)</f>
        <v>0</v>
      </c>
      <c r="F250" s="13">
        <v>1950</v>
      </c>
      <c r="G250" s="5">
        <f t="shared" ref="G250" si="63">+E250*F250</f>
        <v>0</v>
      </c>
      <c r="I250" s="9"/>
      <c r="J250" s="9"/>
      <c r="K250" s="9"/>
      <c r="L250" s="103"/>
      <c r="M250" s="9"/>
      <c r="N250" s="103"/>
      <c r="O250" s="108"/>
      <c r="P250" s="9"/>
      <c r="Q250" s="9"/>
      <c r="R250" s="9"/>
      <c r="S250" s="9"/>
    </row>
    <row r="251" spans="1:19" ht="13.95" customHeight="1">
      <c r="A251" s="1"/>
      <c r="B251" s="51"/>
      <c r="C251" s="6"/>
      <c r="D251" s="9"/>
      <c r="E251" s="3"/>
      <c r="F251" s="13"/>
      <c r="G251" s="5"/>
      <c r="I251" s="9"/>
      <c r="J251" s="9"/>
      <c r="K251" s="9"/>
      <c r="L251" s="103"/>
      <c r="M251" s="9"/>
      <c r="N251" s="103"/>
      <c r="O251" s="108"/>
      <c r="P251" s="9"/>
      <c r="Q251" s="9"/>
      <c r="R251" s="9"/>
      <c r="S251" s="9"/>
    </row>
    <row r="252" spans="1:19" ht="12.6" customHeight="1">
      <c r="A252" s="1">
        <f>A250+1</f>
        <v>47</v>
      </c>
      <c r="B252" s="51" t="s">
        <v>209</v>
      </c>
      <c r="C252" s="18" t="s">
        <v>210</v>
      </c>
      <c r="D252" s="9" t="s">
        <v>6</v>
      </c>
      <c r="E252" s="3">
        <f>SUM(I252:S252)</f>
        <v>0</v>
      </c>
      <c r="F252" s="13">
        <v>350</v>
      </c>
      <c r="G252" s="5">
        <f t="shared" ref="G252" si="64">+E252*F252</f>
        <v>0</v>
      </c>
      <c r="I252" s="9"/>
      <c r="J252" s="9"/>
      <c r="K252" s="9"/>
      <c r="L252" s="103"/>
      <c r="M252" s="9"/>
      <c r="N252" s="103"/>
      <c r="O252" s="108"/>
      <c r="P252" s="9"/>
      <c r="Q252" s="9"/>
      <c r="R252" s="9"/>
      <c r="S252" s="9"/>
    </row>
    <row r="253" spans="1:19" ht="12.6" customHeight="1">
      <c r="A253" s="1"/>
      <c r="B253" s="1"/>
      <c r="C253" s="33"/>
      <c r="D253" s="35"/>
      <c r="E253" s="3"/>
      <c r="F253" s="13"/>
      <c r="G253" s="5"/>
      <c r="I253" s="9"/>
      <c r="J253" s="9"/>
      <c r="K253" s="9"/>
      <c r="L253" s="103"/>
      <c r="M253" s="9"/>
      <c r="N253" s="103"/>
      <c r="O253" s="108"/>
      <c r="P253" s="9"/>
      <c r="Q253" s="9"/>
      <c r="R253" s="9"/>
      <c r="S253" s="9"/>
    </row>
    <row r="254" spans="1:19" ht="12.6" customHeight="1">
      <c r="A254" s="1"/>
      <c r="B254" s="1"/>
      <c r="C254" s="123" t="s">
        <v>236</v>
      </c>
      <c r="D254" s="35"/>
      <c r="E254" s="3"/>
      <c r="F254" s="13"/>
      <c r="G254" s="5"/>
      <c r="I254" s="9"/>
      <c r="J254" s="9"/>
      <c r="K254" s="9"/>
      <c r="L254" s="103"/>
      <c r="M254" s="9"/>
      <c r="N254" s="103"/>
      <c r="O254" s="108"/>
      <c r="P254" s="9"/>
      <c r="Q254" s="9"/>
      <c r="R254" s="9"/>
      <c r="S254" s="9"/>
    </row>
    <row r="255" spans="1:19" ht="12.6" customHeight="1">
      <c r="A255" s="1"/>
      <c r="B255" s="1"/>
      <c r="C255" s="6"/>
      <c r="D255" s="35"/>
      <c r="E255" s="3"/>
      <c r="F255" s="13"/>
      <c r="G255" s="5"/>
      <c r="I255" s="9"/>
      <c r="J255" s="9"/>
      <c r="K255" s="9"/>
      <c r="L255" s="103"/>
      <c r="M255" s="9"/>
      <c r="N255" s="103"/>
      <c r="O255" s="108"/>
      <c r="P255" s="9"/>
      <c r="Q255" s="9"/>
      <c r="R255" s="9"/>
      <c r="S255" s="9"/>
    </row>
    <row r="256" spans="1:19" ht="12.6" customHeight="1">
      <c r="A256" s="1"/>
      <c r="B256" s="1"/>
      <c r="C256" s="124" t="s">
        <v>234</v>
      </c>
      <c r="D256" s="35"/>
      <c r="E256" s="3"/>
      <c r="F256" s="13"/>
      <c r="G256" s="5"/>
      <c r="I256" s="9"/>
      <c r="J256" s="9"/>
      <c r="K256" s="9"/>
      <c r="L256" s="103"/>
      <c r="M256" s="9"/>
      <c r="N256" s="103"/>
      <c r="O256" s="108"/>
      <c r="P256" s="9"/>
      <c r="Q256" s="9"/>
      <c r="R256" s="9"/>
      <c r="S256" s="9"/>
    </row>
    <row r="257" spans="1:19" ht="12.6" customHeight="1">
      <c r="A257" s="1"/>
      <c r="B257" s="1"/>
      <c r="C257" s="33"/>
      <c r="D257" s="35"/>
      <c r="E257" s="3"/>
      <c r="F257" s="13"/>
      <c r="G257" s="5"/>
      <c r="I257" s="9"/>
      <c r="J257" s="9"/>
      <c r="K257" s="9"/>
      <c r="L257" s="103"/>
      <c r="M257" s="9"/>
      <c r="N257" s="103"/>
      <c r="O257" s="108"/>
      <c r="P257" s="9"/>
      <c r="Q257" s="9"/>
      <c r="R257" s="9"/>
      <c r="S257" s="9"/>
    </row>
    <row r="258" spans="1:19" ht="38.4" customHeight="1">
      <c r="A258" s="1">
        <f>A252+1</f>
        <v>48</v>
      </c>
      <c r="B258" s="1"/>
      <c r="C258" s="125" t="s">
        <v>235</v>
      </c>
      <c r="D258" s="1" t="s">
        <v>60</v>
      </c>
      <c r="E258" s="3">
        <f>SUM(I258:S258)</f>
        <v>8</v>
      </c>
      <c r="F258" s="13">
        <v>3750</v>
      </c>
      <c r="G258" s="5">
        <f t="shared" ref="G258" si="65">+E258*F258</f>
        <v>30000</v>
      </c>
      <c r="I258" s="9"/>
      <c r="J258" s="9"/>
      <c r="K258" s="9"/>
      <c r="L258" s="103"/>
      <c r="M258" s="9">
        <v>8</v>
      </c>
      <c r="N258" s="103"/>
      <c r="O258" s="108"/>
      <c r="P258" s="9"/>
      <c r="Q258" s="9"/>
      <c r="R258" s="9"/>
      <c r="S258" s="9"/>
    </row>
    <row r="259" spans="1:19" ht="12.6" customHeight="1">
      <c r="A259" s="1"/>
      <c r="B259" s="1"/>
      <c r="C259" s="33"/>
      <c r="D259" s="35"/>
      <c r="E259" s="3"/>
      <c r="F259" s="13"/>
      <c r="G259" s="5"/>
      <c r="I259" s="9"/>
      <c r="J259" s="9"/>
      <c r="K259" s="9"/>
      <c r="L259" s="103"/>
      <c r="M259" s="9"/>
      <c r="N259" s="103"/>
      <c r="O259" s="108"/>
      <c r="P259" s="9"/>
      <c r="Q259" s="9"/>
      <c r="R259" s="9"/>
      <c r="S259" s="9"/>
    </row>
    <row r="260" spans="1:19" ht="13.95" customHeight="1">
      <c r="A260" s="1"/>
      <c r="B260" s="1"/>
      <c r="C260" s="34" t="s">
        <v>212</v>
      </c>
      <c r="D260" s="1" t="s">
        <v>64</v>
      </c>
      <c r="E260" s="3"/>
      <c r="F260" s="14"/>
      <c r="G260" s="5"/>
      <c r="I260" s="9"/>
      <c r="J260" s="9"/>
      <c r="K260" s="9"/>
      <c r="L260" s="103"/>
      <c r="M260" s="9"/>
      <c r="N260" s="103"/>
      <c r="O260" s="108"/>
      <c r="P260" s="9"/>
      <c r="Q260" s="9"/>
      <c r="R260" s="9"/>
      <c r="S260" s="9"/>
    </row>
    <row r="261" spans="1:19" ht="13.95" customHeight="1">
      <c r="A261" s="1"/>
      <c r="B261" s="1"/>
      <c r="C261" s="33" t="s">
        <v>64</v>
      </c>
      <c r="D261" s="1" t="s">
        <v>64</v>
      </c>
      <c r="E261" s="3"/>
      <c r="F261" s="4"/>
      <c r="G261" s="5"/>
      <c r="I261" s="9"/>
      <c r="J261" s="9"/>
      <c r="K261" s="9"/>
      <c r="L261" s="103"/>
      <c r="M261" s="9"/>
      <c r="N261" s="103"/>
      <c r="O261" s="108"/>
      <c r="P261" s="9"/>
      <c r="Q261" s="9"/>
      <c r="R261" s="9"/>
      <c r="S261" s="9"/>
    </row>
    <row r="262" spans="1:19" ht="22.2" customHeight="1">
      <c r="A262" s="1">
        <f>A258+1</f>
        <v>49</v>
      </c>
      <c r="B262" s="1"/>
      <c r="C262" s="33" t="s">
        <v>217</v>
      </c>
      <c r="D262" s="1" t="s">
        <v>60</v>
      </c>
      <c r="E262" s="3">
        <f>SUM(I262:S262)</f>
        <v>2422</v>
      </c>
      <c r="F262" s="3">
        <v>885</v>
      </c>
      <c r="G262" s="5">
        <f t="shared" ref="G262" si="66">+E262*F262</f>
        <v>2143470</v>
      </c>
      <c r="I262" s="9"/>
      <c r="J262" s="9"/>
      <c r="K262" s="9">
        <v>1830</v>
      </c>
      <c r="L262" s="103">
        <v>576</v>
      </c>
      <c r="M262" s="9">
        <v>16</v>
      </c>
      <c r="N262" s="103"/>
      <c r="O262" s="108"/>
      <c r="P262" s="9"/>
      <c r="Q262" s="9"/>
      <c r="R262" s="9"/>
      <c r="S262" s="9"/>
    </row>
    <row r="263" spans="1:19" ht="13.95" customHeight="1">
      <c r="A263" s="1"/>
      <c r="B263" s="1"/>
      <c r="C263" s="33"/>
      <c r="D263" s="35"/>
      <c r="E263" s="3"/>
      <c r="F263" s="4"/>
      <c r="G263" s="5"/>
      <c r="I263" s="9"/>
      <c r="J263" s="9"/>
      <c r="K263" s="9"/>
      <c r="L263" s="103"/>
      <c r="M263" s="9"/>
      <c r="N263" s="103"/>
      <c r="O263" s="108"/>
      <c r="P263" s="9"/>
      <c r="Q263" s="9"/>
      <c r="R263" s="9"/>
      <c r="S263" s="9"/>
    </row>
    <row r="264" spans="1:19" ht="13.95" customHeight="1">
      <c r="A264" s="16"/>
      <c r="B264" s="76" t="s">
        <v>167</v>
      </c>
      <c r="C264" s="74" t="s">
        <v>168</v>
      </c>
      <c r="D264" s="93"/>
      <c r="E264" s="94"/>
      <c r="F264" s="14"/>
      <c r="G264" s="15"/>
      <c r="I264" s="9"/>
      <c r="J264" s="9"/>
      <c r="K264" s="9"/>
      <c r="L264" s="103"/>
      <c r="M264" s="9"/>
      <c r="N264" s="103"/>
      <c r="O264" s="108"/>
      <c r="P264" s="9"/>
      <c r="Q264" s="9"/>
      <c r="R264" s="9"/>
      <c r="S264" s="9"/>
    </row>
    <row r="265" spans="1:19" ht="13.95" customHeight="1">
      <c r="A265" s="16"/>
      <c r="B265" s="12"/>
      <c r="C265" s="75"/>
      <c r="D265" s="93"/>
      <c r="E265" s="94"/>
      <c r="F265" s="14"/>
      <c r="G265" s="15"/>
      <c r="I265" s="9"/>
      <c r="J265" s="9"/>
      <c r="K265" s="9"/>
      <c r="L265" s="103"/>
      <c r="M265" s="9"/>
      <c r="N265" s="103"/>
      <c r="O265" s="108"/>
      <c r="P265" s="9"/>
      <c r="Q265" s="9"/>
      <c r="R265" s="9"/>
      <c r="S265" s="9"/>
    </row>
    <row r="266" spans="1:19" ht="13.95" customHeight="1">
      <c r="A266" s="16"/>
      <c r="B266" s="12" t="s">
        <v>193</v>
      </c>
      <c r="C266" s="70" t="s">
        <v>164</v>
      </c>
      <c r="D266" s="12"/>
      <c r="E266" s="94"/>
      <c r="F266" s="14"/>
      <c r="G266" s="15"/>
      <c r="I266" s="9"/>
      <c r="J266" s="9"/>
      <c r="K266" s="9"/>
      <c r="L266" s="103"/>
      <c r="M266" s="9"/>
      <c r="N266" s="103"/>
      <c r="O266" s="108"/>
      <c r="P266" s="9"/>
      <c r="Q266" s="9"/>
      <c r="R266" s="9"/>
      <c r="S266" s="9"/>
    </row>
    <row r="267" spans="1:19" ht="13.95" customHeight="1">
      <c r="A267" s="16"/>
      <c r="B267" s="73"/>
      <c r="C267" s="62"/>
      <c r="D267" s="12"/>
      <c r="E267" s="94"/>
      <c r="F267" s="14"/>
      <c r="G267" s="15"/>
      <c r="I267" s="9"/>
      <c r="J267" s="9"/>
      <c r="K267" s="9"/>
      <c r="L267" s="103"/>
      <c r="M267" s="9"/>
      <c r="N267" s="103"/>
      <c r="O267" s="108"/>
      <c r="P267" s="9"/>
      <c r="Q267" s="9"/>
      <c r="R267" s="9"/>
      <c r="S267" s="9"/>
    </row>
    <row r="268" spans="1:19" ht="13.95" customHeight="1">
      <c r="A268" s="16">
        <v>50</v>
      </c>
      <c r="B268" s="73"/>
      <c r="C268" s="75" t="s">
        <v>112</v>
      </c>
      <c r="D268" s="12" t="s">
        <v>60</v>
      </c>
      <c r="E268" s="3">
        <f>SUM(I268:S268)</f>
        <v>0</v>
      </c>
      <c r="F268" s="13">
        <v>890</v>
      </c>
      <c r="G268" s="15">
        <f t="shared" ref="G268" si="67">+E268*F268</f>
        <v>0</v>
      </c>
      <c r="I268" s="9"/>
      <c r="J268" s="9"/>
      <c r="K268" s="9"/>
      <c r="L268" s="103"/>
      <c r="M268" s="9"/>
      <c r="N268" s="103"/>
      <c r="O268" s="108"/>
      <c r="P268" s="9"/>
      <c r="Q268" s="9"/>
      <c r="R268" s="9"/>
      <c r="S268" s="9"/>
    </row>
    <row r="269" spans="1:19" ht="13.95" customHeight="1">
      <c r="A269" s="16"/>
      <c r="B269" s="73"/>
      <c r="C269" s="62"/>
      <c r="D269" s="12"/>
      <c r="E269" s="94"/>
      <c r="F269" s="14"/>
      <c r="G269" s="15"/>
      <c r="I269" s="9"/>
      <c r="J269" s="9"/>
      <c r="K269" s="9"/>
      <c r="L269" s="103"/>
      <c r="M269" s="9"/>
      <c r="N269" s="103"/>
      <c r="O269" s="108"/>
      <c r="P269" s="9"/>
      <c r="Q269" s="9"/>
      <c r="R269" s="9"/>
      <c r="S269" s="9"/>
    </row>
    <row r="270" spans="1:19" ht="13.95" customHeight="1">
      <c r="A270" s="16"/>
      <c r="B270" s="12" t="s">
        <v>195</v>
      </c>
      <c r="C270" s="70" t="s">
        <v>194</v>
      </c>
      <c r="D270" s="12"/>
      <c r="E270" s="94"/>
      <c r="F270" s="14"/>
      <c r="G270" s="15"/>
      <c r="I270" s="9"/>
      <c r="J270" s="9"/>
      <c r="K270" s="9"/>
      <c r="L270" s="103"/>
      <c r="M270" s="9"/>
      <c r="N270" s="103"/>
      <c r="O270" s="108"/>
      <c r="P270" s="9"/>
      <c r="Q270" s="9"/>
      <c r="R270" s="9"/>
      <c r="S270" s="9"/>
    </row>
    <row r="271" spans="1:19" ht="13.95" customHeight="1">
      <c r="A271" s="16"/>
      <c r="B271" s="73"/>
      <c r="C271" s="62"/>
      <c r="D271" s="12"/>
      <c r="E271" s="94"/>
      <c r="F271" s="14"/>
      <c r="G271" s="15"/>
      <c r="I271" s="9"/>
      <c r="J271" s="9"/>
      <c r="K271" s="9"/>
      <c r="L271" s="103"/>
      <c r="M271" s="9"/>
      <c r="N271" s="103"/>
      <c r="O271" s="108"/>
      <c r="P271" s="9"/>
      <c r="Q271" s="9"/>
      <c r="R271" s="9"/>
      <c r="S271" s="9"/>
    </row>
    <row r="272" spans="1:19" ht="13.95" customHeight="1">
      <c r="A272" s="16">
        <v>51</v>
      </c>
      <c r="B272" s="73"/>
      <c r="C272" s="75" t="s">
        <v>165</v>
      </c>
      <c r="D272" s="12" t="s">
        <v>60</v>
      </c>
      <c r="E272" s="3">
        <f>SUM(I272:S272)</f>
        <v>0</v>
      </c>
      <c r="F272" s="14">
        <v>325</v>
      </c>
      <c r="G272" s="15">
        <f t="shared" ref="G272" si="68">+E272*F272</f>
        <v>0</v>
      </c>
      <c r="I272" s="9"/>
      <c r="J272" s="9"/>
      <c r="K272" s="9"/>
      <c r="L272" s="103"/>
      <c r="M272" s="9"/>
      <c r="N272" s="103"/>
      <c r="O272" s="108"/>
      <c r="P272" s="9"/>
      <c r="Q272" s="9"/>
      <c r="R272" s="9"/>
      <c r="S272" s="9"/>
    </row>
    <row r="273" spans="1:19" ht="13.95" customHeight="1">
      <c r="A273" s="16"/>
      <c r="B273" s="12"/>
      <c r="C273" s="75"/>
      <c r="D273" s="93"/>
      <c r="E273" s="94"/>
      <c r="F273" s="14"/>
      <c r="G273" s="15"/>
      <c r="I273" s="9"/>
      <c r="J273" s="9"/>
      <c r="K273" s="9"/>
      <c r="L273" s="103"/>
      <c r="M273" s="9"/>
      <c r="N273" s="103"/>
      <c r="O273" s="108"/>
      <c r="P273" s="9"/>
      <c r="Q273" s="9"/>
      <c r="R273" s="9"/>
      <c r="S273" s="9"/>
    </row>
    <row r="274" spans="1:19" ht="24">
      <c r="A274" s="16"/>
      <c r="B274" s="76" t="s">
        <v>169</v>
      </c>
      <c r="C274" s="46" t="s">
        <v>216</v>
      </c>
      <c r="D274" s="12"/>
      <c r="E274" s="12"/>
      <c r="F274" s="145"/>
      <c r="G274" s="15"/>
      <c r="I274" s="9"/>
      <c r="J274" s="9"/>
      <c r="K274" s="9"/>
      <c r="L274" s="103"/>
      <c r="M274" s="9"/>
      <c r="N274" s="103"/>
      <c r="O274" s="108"/>
      <c r="P274" s="9"/>
      <c r="Q274" s="9"/>
      <c r="R274" s="9"/>
      <c r="S274" s="9"/>
    </row>
    <row r="275" spans="1:19" ht="13.95" customHeight="1">
      <c r="A275" s="16"/>
      <c r="B275" s="76"/>
      <c r="C275" s="75"/>
      <c r="D275" s="12"/>
      <c r="E275" s="12"/>
      <c r="F275" s="145"/>
      <c r="G275" s="15"/>
      <c r="I275" s="9"/>
      <c r="J275" s="9"/>
      <c r="K275" s="9"/>
      <c r="L275" s="103"/>
      <c r="M275" s="9"/>
      <c r="N275" s="103"/>
      <c r="O275" s="108"/>
      <c r="P275" s="9"/>
      <c r="Q275" s="9"/>
      <c r="R275" s="9"/>
      <c r="S275" s="9"/>
    </row>
    <row r="276" spans="1:19" ht="13.95" customHeight="1">
      <c r="A276" s="16"/>
      <c r="B276" s="76" t="s">
        <v>169</v>
      </c>
      <c r="C276" s="75" t="s">
        <v>170</v>
      </c>
      <c r="D276" s="12"/>
      <c r="E276" s="12"/>
      <c r="F276" s="145"/>
      <c r="G276" s="15"/>
      <c r="I276" s="9"/>
      <c r="J276" s="9"/>
      <c r="K276" s="9"/>
      <c r="L276" s="103"/>
      <c r="M276" s="9"/>
      <c r="N276" s="103"/>
      <c r="O276" s="108"/>
      <c r="P276" s="9"/>
      <c r="Q276" s="9"/>
      <c r="R276" s="9"/>
      <c r="S276" s="9"/>
    </row>
    <row r="277" spans="1:19" ht="13.95" customHeight="1">
      <c r="A277" s="16"/>
      <c r="B277" s="76"/>
      <c r="C277" s="75"/>
      <c r="D277" s="12"/>
      <c r="E277" s="12"/>
      <c r="F277" s="145"/>
      <c r="G277" s="15"/>
      <c r="I277" s="9"/>
      <c r="J277" s="9"/>
      <c r="K277" s="9"/>
      <c r="L277" s="103"/>
      <c r="M277" s="9"/>
      <c r="N277" s="103"/>
      <c r="O277" s="108"/>
      <c r="P277" s="9"/>
      <c r="Q277" s="9"/>
      <c r="R277" s="9"/>
      <c r="S277" s="9"/>
    </row>
    <row r="278" spans="1:19" ht="13.95" customHeight="1">
      <c r="A278" s="16">
        <v>52</v>
      </c>
      <c r="B278" s="76" t="s">
        <v>171</v>
      </c>
      <c r="C278" s="75" t="s">
        <v>172</v>
      </c>
      <c r="D278" s="12" t="s">
        <v>60</v>
      </c>
      <c r="E278" s="3">
        <f>SUM(I278:S278)</f>
        <v>0</v>
      </c>
      <c r="F278" s="94">
        <v>275</v>
      </c>
      <c r="G278" s="15">
        <f t="shared" ref="G278:G299" si="69">+E278*F278</f>
        <v>0</v>
      </c>
      <c r="I278" s="9"/>
      <c r="J278" s="9"/>
      <c r="K278" s="9"/>
      <c r="L278" s="103"/>
      <c r="M278" s="9"/>
      <c r="N278" s="103"/>
      <c r="O278" s="108"/>
      <c r="P278" s="9"/>
      <c r="Q278" s="9"/>
      <c r="R278" s="9"/>
      <c r="S278" s="9"/>
    </row>
    <row r="279" spans="1:19" ht="13.95" customHeight="1">
      <c r="A279" s="16"/>
      <c r="B279" s="12"/>
      <c r="C279" s="75"/>
      <c r="D279" s="93"/>
      <c r="E279" s="94"/>
      <c r="F279" s="14"/>
      <c r="G279" s="15"/>
      <c r="I279" s="9"/>
      <c r="J279" s="9"/>
      <c r="K279" s="9"/>
      <c r="L279" s="103"/>
      <c r="M279" s="9"/>
      <c r="N279" s="103"/>
      <c r="O279" s="108"/>
      <c r="P279" s="9"/>
      <c r="Q279" s="9"/>
      <c r="R279" s="9"/>
      <c r="S279" s="9"/>
    </row>
    <row r="280" spans="1:19" ht="13.95" customHeight="1">
      <c r="A280" s="16"/>
      <c r="B280" s="12"/>
      <c r="C280" s="75"/>
      <c r="D280" s="93"/>
      <c r="E280" s="94"/>
      <c r="F280" s="14"/>
      <c r="G280" s="15"/>
      <c r="I280" s="9"/>
      <c r="J280" s="9"/>
      <c r="K280" s="9"/>
      <c r="L280" s="103"/>
      <c r="M280" s="9"/>
      <c r="N280" s="103"/>
      <c r="O280" s="108"/>
      <c r="P280" s="9"/>
      <c r="Q280" s="9"/>
      <c r="R280" s="9"/>
      <c r="S280" s="9"/>
    </row>
    <row r="281" spans="1:19" ht="13.95" customHeight="1">
      <c r="A281" s="16"/>
      <c r="B281" s="12"/>
      <c r="C281" s="75"/>
      <c r="D281" s="93"/>
      <c r="E281" s="94"/>
      <c r="F281" s="14"/>
      <c r="G281" s="15"/>
      <c r="I281" s="9"/>
      <c r="J281" s="9"/>
      <c r="K281" s="9"/>
      <c r="L281" s="103"/>
      <c r="M281" s="9"/>
      <c r="N281" s="103"/>
      <c r="O281" s="108"/>
      <c r="P281" s="9"/>
      <c r="Q281" s="9"/>
      <c r="R281" s="9"/>
      <c r="S281" s="9"/>
    </row>
    <row r="282" spans="1:19" ht="13.95" customHeight="1">
      <c r="A282" s="16"/>
      <c r="B282" s="12"/>
      <c r="C282" s="75"/>
      <c r="D282" s="93"/>
      <c r="E282" s="94"/>
      <c r="F282" s="14"/>
      <c r="G282" s="15"/>
      <c r="I282" s="9"/>
      <c r="J282" s="9"/>
      <c r="K282" s="9"/>
      <c r="L282" s="103"/>
      <c r="M282" s="9"/>
      <c r="N282" s="103"/>
      <c r="O282" s="108"/>
      <c r="P282" s="9"/>
      <c r="Q282" s="9"/>
      <c r="R282" s="9"/>
      <c r="S282" s="9"/>
    </row>
    <row r="283" spans="1:19" ht="13.95" customHeight="1">
      <c r="A283" s="16"/>
      <c r="B283" s="12"/>
      <c r="C283" s="75"/>
      <c r="D283" s="93"/>
      <c r="E283" s="94"/>
      <c r="F283" s="14"/>
      <c r="G283" s="15"/>
      <c r="I283" s="9"/>
      <c r="J283" s="9"/>
      <c r="K283" s="9"/>
      <c r="L283" s="103"/>
      <c r="M283" s="9"/>
      <c r="N283" s="103"/>
      <c r="O283" s="108"/>
      <c r="P283" s="9"/>
      <c r="Q283" s="9"/>
      <c r="R283" s="9"/>
      <c r="S283" s="9"/>
    </row>
    <row r="284" spans="1:19" ht="13.95" customHeight="1">
      <c r="A284" s="16"/>
      <c r="B284" s="12"/>
      <c r="C284" s="75"/>
      <c r="D284" s="93"/>
      <c r="E284" s="94"/>
      <c r="F284" s="14"/>
      <c r="G284" s="15"/>
      <c r="I284" s="9"/>
      <c r="J284" s="9"/>
      <c r="K284" s="9"/>
      <c r="L284" s="103"/>
      <c r="M284" s="9"/>
      <c r="N284" s="103"/>
      <c r="O284" s="108"/>
      <c r="P284" s="9"/>
      <c r="Q284" s="9"/>
      <c r="R284" s="9"/>
      <c r="S284" s="9"/>
    </row>
    <row r="285" spans="1:19" ht="13.95" customHeight="1">
      <c r="A285" s="16"/>
      <c r="B285" s="12"/>
      <c r="C285" s="75"/>
      <c r="D285" s="93"/>
      <c r="E285" s="94"/>
      <c r="F285" s="14"/>
      <c r="G285" s="15"/>
      <c r="I285" s="9"/>
      <c r="J285" s="9"/>
      <c r="K285" s="9"/>
      <c r="L285" s="103"/>
      <c r="M285" s="9"/>
      <c r="N285" s="103"/>
      <c r="O285" s="108"/>
      <c r="P285" s="9"/>
      <c r="Q285" s="9"/>
      <c r="R285" s="9"/>
      <c r="S285" s="9"/>
    </row>
    <row r="286" spans="1:19" ht="13.95" customHeight="1">
      <c r="A286" s="16"/>
      <c r="B286" s="12"/>
      <c r="C286" s="75"/>
      <c r="D286" s="93"/>
      <c r="E286" s="94"/>
      <c r="F286" s="14"/>
      <c r="G286" s="15"/>
      <c r="I286" s="9"/>
      <c r="J286" s="9"/>
      <c r="K286" s="9"/>
      <c r="L286" s="103"/>
      <c r="M286" s="9"/>
      <c r="N286" s="103"/>
      <c r="O286" s="108"/>
      <c r="P286" s="9"/>
      <c r="Q286" s="9"/>
      <c r="R286" s="9"/>
      <c r="S286" s="9"/>
    </row>
    <row r="287" spans="1:19" ht="20.100000000000001" customHeight="1">
      <c r="A287" s="149" t="s">
        <v>66</v>
      </c>
      <c r="B287" s="150"/>
      <c r="C287" s="150"/>
      <c r="D287" s="150"/>
      <c r="E287" s="150"/>
      <c r="F287" s="151"/>
      <c r="G287" s="111">
        <f>SUM(G242:G286)</f>
        <v>10174877.85</v>
      </c>
      <c r="I287" s="9"/>
      <c r="J287" s="9"/>
      <c r="K287" s="9"/>
      <c r="L287" s="103"/>
      <c r="M287" s="9"/>
      <c r="N287" s="103"/>
      <c r="O287" s="108"/>
      <c r="P287" s="9"/>
      <c r="Q287" s="9"/>
      <c r="R287" s="9"/>
      <c r="S287" s="9"/>
    </row>
    <row r="288" spans="1:19" ht="13.95" customHeight="1">
      <c r="A288" s="39"/>
      <c r="B288" s="39"/>
      <c r="C288" s="39"/>
      <c r="D288" s="39"/>
      <c r="E288" s="39"/>
      <c r="F288" s="39"/>
      <c r="G288" s="112"/>
      <c r="I288" s="9"/>
      <c r="J288" s="9"/>
      <c r="K288" s="9"/>
      <c r="L288" s="103"/>
      <c r="M288" s="9"/>
      <c r="N288" s="103"/>
      <c r="O288" s="108"/>
      <c r="P288" s="9"/>
      <c r="Q288" s="9"/>
      <c r="R288" s="9"/>
      <c r="S288" s="9"/>
    </row>
    <row r="289" spans="1:20" ht="13.95" customHeight="1">
      <c r="A289" s="50"/>
      <c r="B289" s="50"/>
      <c r="C289" s="50"/>
      <c r="D289" s="50"/>
      <c r="E289" s="50"/>
      <c r="F289" s="50"/>
      <c r="G289" s="112"/>
      <c r="I289" s="9"/>
      <c r="J289" s="9"/>
      <c r="K289" s="9"/>
      <c r="L289" s="103"/>
      <c r="M289" s="9"/>
      <c r="N289" s="103"/>
      <c r="O289" s="108"/>
      <c r="P289" s="9"/>
      <c r="Q289" s="9"/>
      <c r="R289" s="9"/>
      <c r="S289" s="9"/>
    </row>
    <row r="290" spans="1:20" ht="21.6" customHeight="1">
      <c r="A290" s="44" t="s">
        <v>8</v>
      </c>
      <c r="B290" s="48" t="s">
        <v>9</v>
      </c>
      <c r="C290" s="44" t="s">
        <v>10</v>
      </c>
      <c r="D290" s="48" t="s">
        <v>11</v>
      </c>
      <c r="E290" s="48" t="s">
        <v>59</v>
      </c>
      <c r="F290" s="49" t="s">
        <v>12</v>
      </c>
      <c r="G290" s="111" t="s">
        <v>13</v>
      </c>
      <c r="I290" s="9"/>
      <c r="J290" s="9"/>
      <c r="K290" s="9"/>
      <c r="L290" s="103"/>
      <c r="M290" s="9"/>
      <c r="N290" s="103"/>
      <c r="O290" s="108"/>
      <c r="P290" s="9"/>
      <c r="Q290" s="9"/>
      <c r="R290" s="9"/>
      <c r="S290" s="9"/>
    </row>
    <row r="291" spans="1:20" ht="20.100000000000001" customHeight="1">
      <c r="A291" s="149" t="s">
        <v>67</v>
      </c>
      <c r="B291" s="150"/>
      <c r="C291" s="150"/>
      <c r="D291" s="150"/>
      <c r="E291" s="150"/>
      <c r="F291" s="151"/>
      <c r="G291" s="111">
        <f>+G287</f>
        <v>10174877.85</v>
      </c>
      <c r="I291" s="9"/>
      <c r="J291" s="9"/>
      <c r="K291" s="9"/>
      <c r="L291" s="103"/>
      <c r="M291" s="9"/>
      <c r="N291" s="103"/>
      <c r="O291" s="108"/>
      <c r="P291" s="9"/>
      <c r="Q291" s="9"/>
      <c r="R291" s="9"/>
      <c r="S291" s="9"/>
    </row>
    <row r="292" spans="1:20" ht="13.95" customHeight="1">
      <c r="A292" s="16"/>
      <c r="B292" s="12"/>
      <c r="C292" s="75"/>
      <c r="D292" s="93"/>
      <c r="E292" s="94"/>
      <c r="F292" s="14"/>
      <c r="G292" s="15"/>
      <c r="I292" s="9"/>
      <c r="J292" s="9"/>
      <c r="K292" s="9"/>
      <c r="L292" s="103"/>
      <c r="M292" s="9"/>
      <c r="N292" s="103"/>
      <c r="O292" s="108"/>
      <c r="P292" s="9"/>
      <c r="Q292" s="9"/>
      <c r="R292" s="9"/>
      <c r="S292" s="9"/>
    </row>
    <row r="293" spans="1:20" ht="13.95" customHeight="1">
      <c r="A293" s="16"/>
      <c r="B293" s="12" t="s">
        <v>102</v>
      </c>
      <c r="C293" s="74" t="s">
        <v>166</v>
      </c>
      <c r="D293" s="12"/>
      <c r="E293" s="94"/>
      <c r="F293" s="14"/>
      <c r="G293" s="15"/>
      <c r="I293" s="9"/>
      <c r="J293" s="9"/>
      <c r="K293" s="9"/>
      <c r="L293" s="103"/>
      <c r="M293" s="9"/>
      <c r="N293" s="103"/>
      <c r="O293" s="108"/>
      <c r="P293" s="9"/>
      <c r="Q293" s="9"/>
      <c r="R293" s="9"/>
      <c r="S293" s="9"/>
    </row>
    <row r="294" spans="1:20" ht="13.95" customHeight="1">
      <c r="A294" s="16"/>
      <c r="B294" s="12"/>
      <c r="C294" s="95"/>
      <c r="D294" s="12"/>
      <c r="E294" s="94"/>
      <c r="F294" s="14"/>
      <c r="G294" s="15"/>
      <c r="I294" s="9"/>
      <c r="J294" s="9"/>
      <c r="K294" s="103"/>
      <c r="L294" s="103"/>
      <c r="M294" s="103"/>
      <c r="N294" s="103"/>
      <c r="O294" s="108"/>
      <c r="P294" s="9"/>
      <c r="Q294" s="9"/>
      <c r="R294" s="103"/>
      <c r="S294" s="9"/>
    </row>
    <row r="295" spans="1:20" ht="13.95" customHeight="1">
      <c r="A295" s="16"/>
      <c r="B295" s="12"/>
      <c r="C295" s="75" t="s">
        <v>78</v>
      </c>
      <c r="D295" s="12"/>
      <c r="E295" s="94"/>
      <c r="F295" s="14"/>
      <c r="G295" s="15"/>
      <c r="I295" s="103"/>
      <c r="J295" s="103"/>
      <c r="K295" s="103"/>
      <c r="L295" s="103"/>
      <c r="M295" s="103"/>
      <c r="N295" s="103"/>
      <c r="O295" s="134"/>
      <c r="P295" s="103"/>
      <c r="Q295" s="103"/>
      <c r="R295" s="103"/>
      <c r="S295" s="9"/>
    </row>
    <row r="296" spans="1:20" ht="13.95" customHeight="1">
      <c r="A296" s="16"/>
      <c r="B296" s="12"/>
      <c r="C296" s="75"/>
      <c r="D296" s="12"/>
      <c r="E296" s="94"/>
      <c r="F296" s="14"/>
      <c r="G296" s="15"/>
      <c r="I296" s="103"/>
      <c r="J296" s="103"/>
      <c r="K296" s="103"/>
      <c r="L296" s="103"/>
      <c r="M296" s="103"/>
      <c r="N296" s="103"/>
      <c r="O296" s="134"/>
      <c r="P296" s="103"/>
      <c r="Q296" s="103"/>
      <c r="R296" s="103"/>
      <c r="S296" s="9"/>
    </row>
    <row r="297" spans="1:20" ht="36">
      <c r="A297" s="16">
        <v>53</v>
      </c>
      <c r="B297" s="12"/>
      <c r="C297" s="47" t="s">
        <v>203</v>
      </c>
      <c r="D297" s="12" t="s">
        <v>6</v>
      </c>
      <c r="E297" s="3">
        <f>SUM(I297:S297)</f>
        <v>0</v>
      </c>
      <c r="F297" s="13">
        <v>16000</v>
      </c>
      <c r="G297" s="15">
        <f t="shared" si="69"/>
        <v>0</v>
      </c>
      <c r="I297" s="103"/>
      <c r="J297" s="103"/>
      <c r="K297" s="103"/>
      <c r="L297" s="103"/>
      <c r="M297" s="103"/>
      <c r="N297" s="103"/>
      <c r="O297" s="134"/>
      <c r="P297" s="103"/>
      <c r="Q297" s="103"/>
      <c r="R297" s="103"/>
      <c r="S297" s="103"/>
      <c r="T297" s="41"/>
    </row>
    <row r="298" spans="1:20" ht="13.95" customHeight="1">
      <c r="A298" s="16"/>
      <c r="B298" s="12"/>
      <c r="C298" s="75"/>
      <c r="D298" s="93"/>
      <c r="E298" s="94"/>
      <c r="F298" s="13"/>
      <c r="G298" s="15"/>
      <c r="I298" s="103"/>
      <c r="J298" s="103"/>
      <c r="K298" s="103"/>
      <c r="L298" s="103"/>
      <c r="M298" s="103"/>
      <c r="N298" s="103"/>
      <c r="O298" s="134"/>
      <c r="P298" s="103"/>
      <c r="Q298" s="103"/>
      <c r="R298" s="103"/>
      <c r="S298" s="103"/>
      <c r="T298" s="41"/>
    </row>
    <row r="299" spans="1:20" ht="36">
      <c r="A299" s="16">
        <v>54</v>
      </c>
      <c r="B299" s="12"/>
      <c r="C299" s="47" t="s">
        <v>286</v>
      </c>
      <c r="D299" s="12" t="s">
        <v>6</v>
      </c>
      <c r="E299" s="3">
        <f>SUM(I299:S299)</f>
        <v>0</v>
      </c>
      <c r="F299" s="13">
        <v>65000</v>
      </c>
      <c r="G299" s="15">
        <f t="shared" si="69"/>
        <v>0</v>
      </c>
      <c r="I299" s="103"/>
      <c r="J299" s="103"/>
      <c r="K299" s="103"/>
      <c r="L299" s="103"/>
      <c r="M299" s="103"/>
      <c r="N299" s="103"/>
      <c r="O299" s="134"/>
      <c r="P299" s="103"/>
      <c r="Q299" s="103"/>
      <c r="R299" s="103"/>
      <c r="S299" s="103"/>
      <c r="T299" s="41"/>
    </row>
    <row r="300" spans="1:20">
      <c r="A300" s="16"/>
      <c r="B300" s="12"/>
      <c r="C300" s="47"/>
      <c r="D300" s="93"/>
      <c r="E300" s="3"/>
      <c r="F300" s="13"/>
      <c r="G300" s="15"/>
      <c r="I300" s="103"/>
      <c r="J300" s="103"/>
      <c r="K300" s="103"/>
      <c r="L300" s="103"/>
      <c r="M300" s="103"/>
      <c r="N300" s="103"/>
      <c r="O300" s="134"/>
      <c r="P300" s="103"/>
      <c r="Q300" s="103"/>
      <c r="R300" s="103"/>
      <c r="S300" s="103"/>
      <c r="T300" s="41"/>
    </row>
    <row r="301" spans="1:20">
      <c r="A301" s="16"/>
      <c r="B301" s="12"/>
      <c r="C301" s="47"/>
      <c r="D301" s="93"/>
      <c r="E301" s="3"/>
      <c r="F301" s="13"/>
      <c r="G301" s="15"/>
      <c r="I301" s="103"/>
      <c r="J301" s="103"/>
      <c r="K301" s="103"/>
      <c r="L301" s="103"/>
      <c r="M301" s="103"/>
      <c r="N301" s="103"/>
      <c r="O301" s="134"/>
      <c r="P301" s="103"/>
      <c r="Q301" s="103"/>
      <c r="R301" s="103"/>
      <c r="S301" s="103"/>
      <c r="T301" s="41"/>
    </row>
    <row r="302" spans="1:20">
      <c r="A302" s="16"/>
      <c r="B302" s="12"/>
      <c r="C302" s="47"/>
      <c r="D302" s="93"/>
      <c r="E302" s="3"/>
      <c r="F302" s="13"/>
      <c r="G302" s="15"/>
      <c r="I302" s="103"/>
      <c r="J302" s="103"/>
      <c r="K302" s="103"/>
      <c r="L302" s="103"/>
      <c r="M302" s="103"/>
      <c r="N302" s="103"/>
      <c r="O302" s="134"/>
      <c r="P302" s="103"/>
      <c r="Q302" s="103"/>
      <c r="R302" s="103"/>
      <c r="S302" s="103"/>
      <c r="T302" s="41"/>
    </row>
    <row r="303" spans="1:20">
      <c r="A303" s="16"/>
      <c r="B303" s="12"/>
      <c r="C303" s="47"/>
      <c r="D303" s="93"/>
      <c r="E303" s="3"/>
      <c r="F303" s="13"/>
      <c r="G303" s="15"/>
      <c r="I303" s="103"/>
      <c r="J303" s="103"/>
      <c r="K303" s="103"/>
      <c r="L303" s="103"/>
      <c r="M303" s="103"/>
      <c r="N303" s="103"/>
      <c r="O303" s="134"/>
      <c r="P303" s="103"/>
      <c r="Q303" s="103"/>
      <c r="R303" s="103"/>
      <c r="S303" s="103"/>
      <c r="T303" s="41"/>
    </row>
    <row r="304" spans="1:20">
      <c r="A304" s="16"/>
      <c r="B304" s="12"/>
      <c r="C304" s="47"/>
      <c r="D304" s="93"/>
      <c r="E304" s="3"/>
      <c r="F304" s="13"/>
      <c r="G304" s="15"/>
      <c r="I304" s="103"/>
      <c r="J304" s="103"/>
      <c r="K304" s="103"/>
      <c r="L304" s="103"/>
      <c r="M304" s="103"/>
      <c r="N304" s="103"/>
      <c r="O304" s="134"/>
      <c r="P304" s="103"/>
      <c r="Q304" s="103"/>
      <c r="R304" s="103"/>
      <c r="S304" s="103"/>
      <c r="T304" s="41"/>
    </row>
    <row r="305" spans="1:20">
      <c r="A305" s="16"/>
      <c r="B305" s="12"/>
      <c r="C305" s="47"/>
      <c r="D305" s="93"/>
      <c r="E305" s="3"/>
      <c r="F305" s="13"/>
      <c r="G305" s="15"/>
      <c r="I305" s="103"/>
      <c r="J305" s="103"/>
      <c r="K305" s="103"/>
      <c r="L305" s="103"/>
      <c r="M305" s="103"/>
      <c r="N305" s="103"/>
      <c r="O305" s="134"/>
      <c r="P305" s="103"/>
      <c r="Q305" s="103"/>
      <c r="R305" s="103"/>
      <c r="S305" s="103"/>
      <c r="T305" s="41"/>
    </row>
    <row r="306" spans="1:20">
      <c r="A306" s="16"/>
      <c r="B306" s="12"/>
      <c r="C306" s="47"/>
      <c r="D306" s="93"/>
      <c r="E306" s="3"/>
      <c r="F306" s="13"/>
      <c r="G306" s="15"/>
      <c r="I306" s="103"/>
      <c r="J306" s="103"/>
      <c r="K306" s="103"/>
      <c r="L306" s="103"/>
      <c r="M306" s="103"/>
      <c r="N306" s="103"/>
      <c r="O306" s="134"/>
      <c r="P306" s="103"/>
      <c r="Q306" s="103"/>
      <c r="R306" s="103"/>
      <c r="S306" s="103"/>
      <c r="T306" s="41"/>
    </row>
    <row r="307" spans="1:20">
      <c r="A307" s="16"/>
      <c r="B307" s="12"/>
      <c r="C307" s="47"/>
      <c r="D307" s="93"/>
      <c r="E307" s="3"/>
      <c r="F307" s="13"/>
      <c r="G307" s="15"/>
      <c r="I307" s="103"/>
      <c r="J307" s="103"/>
      <c r="K307" s="103"/>
      <c r="L307" s="103"/>
      <c r="M307" s="103"/>
      <c r="N307" s="103"/>
      <c r="O307" s="134"/>
      <c r="P307" s="103"/>
      <c r="Q307" s="103"/>
      <c r="R307" s="103"/>
      <c r="S307" s="103"/>
      <c r="T307" s="41"/>
    </row>
    <row r="308" spans="1:20">
      <c r="A308" s="16"/>
      <c r="B308" s="12"/>
      <c r="C308" s="47"/>
      <c r="D308" s="93"/>
      <c r="E308" s="3"/>
      <c r="F308" s="13"/>
      <c r="G308" s="15"/>
      <c r="I308" s="103"/>
      <c r="J308" s="103"/>
      <c r="K308" s="103"/>
      <c r="L308" s="103"/>
      <c r="M308" s="103"/>
      <c r="N308" s="103"/>
      <c r="O308" s="134"/>
      <c r="P308" s="103"/>
      <c r="Q308" s="103"/>
      <c r="R308" s="103"/>
      <c r="S308" s="103"/>
      <c r="T308" s="41"/>
    </row>
    <row r="309" spans="1:20">
      <c r="A309" s="16"/>
      <c r="B309" s="12"/>
      <c r="C309" s="47"/>
      <c r="D309" s="93"/>
      <c r="E309" s="3"/>
      <c r="F309" s="13"/>
      <c r="G309" s="15"/>
      <c r="I309" s="103"/>
      <c r="J309" s="103"/>
      <c r="K309" s="103"/>
      <c r="L309" s="103"/>
      <c r="M309" s="103"/>
      <c r="N309" s="103"/>
      <c r="O309" s="134"/>
      <c r="P309" s="103"/>
      <c r="Q309" s="103"/>
      <c r="R309" s="103"/>
      <c r="S309" s="103"/>
      <c r="T309" s="41"/>
    </row>
    <row r="310" spans="1:20">
      <c r="A310" s="16"/>
      <c r="B310" s="12"/>
      <c r="C310" s="47"/>
      <c r="D310" s="93"/>
      <c r="E310" s="3"/>
      <c r="F310" s="13"/>
      <c r="G310" s="15"/>
      <c r="I310" s="103"/>
      <c r="J310" s="103"/>
      <c r="K310" s="103"/>
      <c r="L310" s="103"/>
      <c r="M310" s="103"/>
      <c r="N310" s="103"/>
      <c r="O310" s="134"/>
      <c r="P310" s="103"/>
      <c r="Q310" s="103"/>
      <c r="R310" s="103"/>
      <c r="S310" s="103"/>
      <c r="T310" s="41"/>
    </row>
    <row r="311" spans="1:20">
      <c r="A311" s="16"/>
      <c r="B311" s="12"/>
      <c r="C311" s="47"/>
      <c r="D311" s="93"/>
      <c r="E311" s="3"/>
      <c r="F311" s="13"/>
      <c r="G311" s="15"/>
      <c r="I311" s="103"/>
      <c r="J311" s="103"/>
      <c r="K311" s="103"/>
      <c r="L311" s="103"/>
      <c r="M311" s="103"/>
      <c r="N311" s="103"/>
      <c r="O311" s="134"/>
      <c r="P311" s="103"/>
      <c r="Q311" s="103"/>
      <c r="R311" s="103"/>
      <c r="S311" s="103"/>
      <c r="T311" s="41"/>
    </row>
    <row r="312" spans="1:20">
      <c r="A312" s="16"/>
      <c r="B312" s="12"/>
      <c r="C312" s="47"/>
      <c r="D312" s="93"/>
      <c r="E312" s="3"/>
      <c r="F312" s="13"/>
      <c r="G312" s="15"/>
      <c r="I312" s="103"/>
      <c r="J312" s="103"/>
      <c r="K312" s="103"/>
      <c r="L312" s="103"/>
      <c r="M312" s="103"/>
      <c r="N312" s="103"/>
      <c r="O312" s="134"/>
      <c r="P312" s="103"/>
      <c r="Q312" s="103"/>
      <c r="R312" s="103"/>
      <c r="S312" s="103"/>
      <c r="T312" s="41"/>
    </row>
    <row r="313" spans="1:20">
      <c r="A313" s="16"/>
      <c r="B313" s="12"/>
      <c r="C313" s="47"/>
      <c r="D313" s="93"/>
      <c r="E313" s="3"/>
      <c r="F313" s="13"/>
      <c r="G313" s="15"/>
      <c r="I313" s="103"/>
      <c r="J313" s="103"/>
      <c r="K313" s="103"/>
      <c r="L313" s="103"/>
      <c r="M313" s="103"/>
      <c r="N313" s="103"/>
      <c r="O313" s="134"/>
      <c r="P313" s="103"/>
      <c r="Q313" s="103"/>
      <c r="R313" s="103"/>
      <c r="S313" s="103"/>
      <c r="T313" s="41"/>
    </row>
    <row r="314" spans="1:20">
      <c r="A314" s="16"/>
      <c r="B314" s="12"/>
      <c r="C314" s="47"/>
      <c r="D314" s="93"/>
      <c r="E314" s="3"/>
      <c r="F314" s="13"/>
      <c r="G314" s="15"/>
      <c r="I314" s="103"/>
      <c r="J314" s="103"/>
      <c r="K314" s="103"/>
      <c r="L314" s="103"/>
      <c r="M314" s="103"/>
      <c r="N314" s="103"/>
      <c r="O314" s="134"/>
      <c r="P314" s="103"/>
      <c r="Q314" s="103"/>
      <c r="R314" s="103"/>
      <c r="S314" s="103"/>
      <c r="T314" s="41"/>
    </row>
    <row r="315" spans="1:20">
      <c r="A315" s="16"/>
      <c r="B315" s="12"/>
      <c r="C315" s="47"/>
      <c r="D315" s="93"/>
      <c r="E315" s="3"/>
      <c r="F315" s="13"/>
      <c r="G315" s="15"/>
      <c r="I315" s="103"/>
      <c r="J315" s="103"/>
      <c r="K315" s="103"/>
      <c r="L315" s="103"/>
      <c r="M315" s="103"/>
      <c r="N315" s="103"/>
      <c r="O315" s="134"/>
      <c r="P315" s="103"/>
      <c r="Q315" s="103"/>
      <c r="R315" s="103"/>
      <c r="S315" s="103"/>
      <c r="T315" s="41"/>
    </row>
    <row r="316" spans="1:20">
      <c r="A316" s="16"/>
      <c r="B316" s="12"/>
      <c r="C316" s="47"/>
      <c r="D316" s="93"/>
      <c r="E316" s="3"/>
      <c r="F316" s="13"/>
      <c r="G316" s="15"/>
      <c r="I316" s="103"/>
      <c r="J316" s="103"/>
      <c r="K316" s="103"/>
      <c r="L316" s="103"/>
      <c r="M316" s="103"/>
      <c r="N316" s="103"/>
      <c r="O316" s="134"/>
      <c r="P316" s="103"/>
      <c r="Q316" s="103"/>
      <c r="R316" s="103"/>
      <c r="S316" s="103"/>
      <c r="T316" s="41"/>
    </row>
    <row r="317" spans="1:20">
      <c r="A317" s="16"/>
      <c r="B317" s="12"/>
      <c r="C317" s="47"/>
      <c r="D317" s="93"/>
      <c r="E317" s="3"/>
      <c r="F317" s="13"/>
      <c r="G317" s="15"/>
      <c r="I317" s="103"/>
      <c r="J317" s="103"/>
      <c r="K317" s="103"/>
      <c r="L317" s="103"/>
      <c r="M317" s="103"/>
      <c r="N317" s="103"/>
      <c r="O317" s="134"/>
      <c r="P317" s="103"/>
      <c r="Q317" s="103"/>
      <c r="R317" s="103"/>
      <c r="S317" s="103"/>
      <c r="T317" s="41"/>
    </row>
    <row r="318" spans="1:20">
      <c r="A318" s="16"/>
      <c r="B318" s="12"/>
      <c r="C318" s="47"/>
      <c r="D318" s="93"/>
      <c r="E318" s="3"/>
      <c r="F318" s="13"/>
      <c r="G318" s="15"/>
      <c r="I318" s="103"/>
      <c r="J318" s="103"/>
      <c r="K318" s="103"/>
      <c r="L318" s="103"/>
      <c r="M318" s="103"/>
      <c r="N318" s="103"/>
      <c r="O318" s="134"/>
      <c r="P318" s="103"/>
      <c r="Q318" s="103"/>
      <c r="R318" s="103"/>
      <c r="S318" s="103"/>
      <c r="T318" s="41"/>
    </row>
    <row r="319" spans="1:20">
      <c r="A319" s="16"/>
      <c r="B319" s="12"/>
      <c r="C319" s="47"/>
      <c r="D319" s="93"/>
      <c r="E319" s="3"/>
      <c r="F319" s="13"/>
      <c r="G319" s="15"/>
      <c r="I319" s="103"/>
      <c r="J319" s="103"/>
      <c r="K319" s="103"/>
      <c r="L319" s="103"/>
      <c r="M319" s="103"/>
      <c r="N319" s="103"/>
      <c r="O319" s="134"/>
      <c r="P319" s="103"/>
      <c r="Q319" s="103"/>
      <c r="R319" s="103"/>
      <c r="S319" s="103"/>
      <c r="T319" s="41"/>
    </row>
    <row r="320" spans="1:20">
      <c r="A320" s="16"/>
      <c r="B320" s="12"/>
      <c r="C320" s="47"/>
      <c r="D320" s="93"/>
      <c r="E320" s="3"/>
      <c r="F320" s="13"/>
      <c r="G320" s="15"/>
      <c r="I320" s="103"/>
      <c r="J320" s="103"/>
      <c r="K320" s="103"/>
      <c r="L320" s="103"/>
      <c r="M320" s="103"/>
      <c r="N320" s="103"/>
      <c r="O320" s="134"/>
      <c r="P320" s="103"/>
      <c r="Q320" s="103"/>
      <c r="R320" s="103"/>
      <c r="S320" s="103"/>
      <c r="T320" s="41"/>
    </row>
    <row r="321" spans="1:20">
      <c r="A321" s="16"/>
      <c r="B321" s="12"/>
      <c r="C321" s="47"/>
      <c r="D321" s="93"/>
      <c r="E321" s="3"/>
      <c r="F321" s="13"/>
      <c r="G321" s="15"/>
      <c r="I321" s="103"/>
      <c r="J321" s="103"/>
      <c r="K321" s="103"/>
      <c r="L321" s="103"/>
      <c r="M321" s="103"/>
      <c r="N321" s="103"/>
      <c r="O321" s="134"/>
      <c r="P321" s="103"/>
      <c r="Q321" s="103"/>
      <c r="R321" s="103"/>
      <c r="S321" s="103"/>
      <c r="T321" s="41"/>
    </row>
    <row r="322" spans="1:20">
      <c r="A322" s="16"/>
      <c r="B322" s="12"/>
      <c r="C322" s="47"/>
      <c r="D322" s="93"/>
      <c r="E322" s="3"/>
      <c r="F322" s="13"/>
      <c r="G322" s="15"/>
      <c r="I322" s="103"/>
      <c r="J322" s="103"/>
      <c r="K322" s="103"/>
      <c r="L322" s="103"/>
      <c r="M322" s="103"/>
      <c r="N322" s="103"/>
      <c r="O322" s="134"/>
      <c r="P322" s="103"/>
      <c r="Q322" s="103"/>
      <c r="R322" s="103"/>
      <c r="S322" s="103"/>
      <c r="T322" s="41"/>
    </row>
    <row r="323" spans="1:20">
      <c r="A323" s="16"/>
      <c r="B323" s="12"/>
      <c r="C323" s="47"/>
      <c r="D323" s="93"/>
      <c r="E323" s="3"/>
      <c r="F323" s="13"/>
      <c r="G323" s="15"/>
      <c r="I323" s="103"/>
      <c r="J323" s="103"/>
      <c r="K323" s="103"/>
      <c r="L323" s="103"/>
      <c r="M323" s="103"/>
      <c r="N323" s="103"/>
      <c r="O323" s="134"/>
      <c r="P323" s="103"/>
      <c r="Q323" s="103"/>
      <c r="R323" s="103"/>
      <c r="S323" s="103"/>
      <c r="T323" s="41"/>
    </row>
    <row r="324" spans="1:20">
      <c r="A324" s="16"/>
      <c r="B324" s="12"/>
      <c r="C324" s="47"/>
      <c r="D324" s="93"/>
      <c r="E324" s="3"/>
      <c r="F324" s="13"/>
      <c r="G324" s="15"/>
      <c r="I324" s="103"/>
      <c r="J324" s="103"/>
      <c r="K324" s="103"/>
      <c r="L324" s="103"/>
      <c r="M324" s="103"/>
      <c r="N324" s="103"/>
      <c r="O324" s="134"/>
      <c r="P324" s="103"/>
      <c r="Q324" s="103"/>
      <c r="R324" s="103"/>
      <c r="S324" s="103"/>
      <c r="T324" s="41"/>
    </row>
    <row r="325" spans="1:20">
      <c r="A325" s="16"/>
      <c r="B325" s="12"/>
      <c r="C325" s="47"/>
      <c r="D325" s="93"/>
      <c r="E325" s="3"/>
      <c r="F325" s="13"/>
      <c r="G325" s="15"/>
      <c r="I325" s="103"/>
      <c r="J325" s="103"/>
      <c r="K325" s="103"/>
      <c r="L325" s="103"/>
      <c r="M325" s="103"/>
      <c r="N325" s="103"/>
      <c r="O325" s="134"/>
      <c r="P325" s="103"/>
      <c r="Q325" s="103"/>
      <c r="R325" s="103"/>
      <c r="S325" s="103"/>
      <c r="T325" s="41"/>
    </row>
    <row r="326" spans="1:20">
      <c r="A326" s="16"/>
      <c r="B326" s="12"/>
      <c r="C326" s="47"/>
      <c r="D326" s="93"/>
      <c r="E326" s="3"/>
      <c r="F326" s="13"/>
      <c r="G326" s="15"/>
      <c r="I326" s="103"/>
      <c r="J326" s="103"/>
      <c r="K326" s="103"/>
      <c r="L326" s="103"/>
      <c r="M326" s="103"/>
      <c r="N326" s="103"/>
      <c r="O326" s="134"/>
      <c r="P326" s="103"/>
      <c r="Q326" s="103"/>
      <c r="R326" s="103"/>
      <c r="S326" s="103"/>
      <c r="T326" s="41"/>
    </row>
    <row r="327" spans="1:20">
      <c r="A327" s="16"/>
      <c r="B327" s="12"/>
      <c r="C327" s="47"/>
      <c r="D327" s="93"/>
      <c r="E327" s="3"/>
      <c r="F327" s="13"/>
      <c r="G327" s="15"/>
      <c r="I327" s="103"/>
      <c r="J327" s="103"/>
      <c r="K327" s="103"/>
      <c r="L327" s="103"/>
      <c r="M327" s="103"/>
      <c r="N327" s="103"/>
      <c r="O327" s="134"/>
      <c r="P327" s="103"/>
      <c r="Q327" s="103"/>
      <c r="R327" s="103"/>
      <c r="S327" s="103"/>
      <c r="T327" s="41"/>
    </row>
    <row r="328" spans="1:20" ht="13.95" customHeight="1">
      <c r="A328" s="16"/>
      <c r="B328" s="16"/>
      <c r="C328" s="47"/>
      <c r="D328" s="58"/>
      <c r="E328" s="13"/>
      <c r="F328" s="14"/>
      <c r="G328" s="15"/>
      <c r="I328" s="105"/>
      <c r="J328" s="105"/>
      <c r="K328" s="105"/>
      <c r="L328" s="105"/>
      <c r="M328" s="105"/>
      <c r="N328" s="105"/>
      <c r="O328" s="135"/>
      <c r="P328" s="105"/>
      <c r="Q328" s="105"/>
      <c r="R328" s="105"/>
      <c r="S328" s="53"/>
      <c r="T328" s="41"/>
    </row>
    <row r="329" spans="1:20">
      <c r="A329" s="16"/>
      <c r="B329" s="16"/>
      <c r="C329" s="47"/>
      <c r="D329" s="58"/>
      <c r="E329" s="13"/>
      <c r="F329" s="14"/>
      <c r="G329" s="15"/>
      <c r="I329" s="22"/>
    </row>
    <row r="330" spans="1:20">
      <c r="A330" s="16"/>
      <c r="B330" s="16"/>
      <c r="C330" s="47"/>
      <c r="D330" s="58"/>
      <c r="E330" s="13"/>
      <c r="F330" s="14"/>
      <c r="G330" s="15"/>
      <c r="I330" s="22"/>
    </row>
    <row r="331" spans="1:20">
      <c r="A331" s="16"/>
      <c r="B331" s="16"/>
      <c r="C331" s="47"/>
      <c r="D331" s="58"/>
      <c r="E331" s="13"/>
      <c r="F331" s="14"/>
      <c r="G331" s="15"/>
      <c r="I331" s="22"/>
    </row>
    <row r="332" spans="1:20" ht="20.399999999999999" customHeight="1">
      <c r="A332" s="156" t="s">
        <v>161</v>
      </c>
      <c r="B332" s="157"/>
      <c r="C332" s="157"/>
      <c r="D332" s="157"/>
      <c r="E332" s="157"/>
      <c r="F332" s="158"/>
      <c r="G332" s="78">
        <f>SUM(G291:G331)</f>
        <v>10174877.85</v>
      </c>
      <c r="I332" s="22"/>
    </row>
  </sheetData>
  <mergeCells count="13">
    <mergeCell ref="A154:F154"/>
    <mergeCell ref="A50:F50"/>
    <mergeCell ref="A54:F54"/>
    <mergeCell ref="A98:F98"/>
    <mergeCell ref="A102:F102"/>
    <mergeCell ref="A150:F150"/>
    <mergeCell ref="A332:F332"/>
    <mergeCell ref="A200:F200"/>
    <mergeCell ref="A204:F204"/>
    <mergeCell ref="A238:F238"/>
    <mergeCell ref="A242:F242"/>
    <mergeCell ref="A287:F287"/>
    <mergeCell ref="A291:F291"/>
  </mergeCells>
  <pageMargins left="0.7" right="0.7" top="0.75" bottom="0.75" header="0.3" footer="0.3"/>
  <pageSetup paperSize="9" scale="95" orientation="portrait" r:id="rId1"/>
  <rowBreaks count="6" manualBreakCount="6">
    <brk id="51" max="6" man="1"/>
    <brk id="99" max="6" man="1"/>
    <brk id="151" max="6" man="1"/>
    <brk id="201" max="6" man="1"/>
    <brk id="239" max="6" man="1"/>
    <brk id="288" max="6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16773-C2F9-46EF-85CD-9B6D3A5E4348}">
  <dimension ref="A1:T332"/>
  <sheetViews>
    <sheetView showGridLines="0" view="pageBreakPreview" topLeftCell="D45" zoomScaleNormal="100" zoomScaleSheetLayoutView="100" workbookViewId="0">
      <selection activeCell="I45" sqref="I1:T1048576"/>
    </sheetView>
  </sheetViews>
  <sheetFormatPr defaultColWidth="13.109375" defaultRowHeight="12"/>
  <cols>
    <col min="1" max="1" width="4.88671875" style="22" customWidth="1"/>
    <col min="2" max="2" width="8.33203125" style="20" customWidth="1"/>
    <col min="3" max="3" width="40.6640625" style="21" customWidth="1"/>
    <col min="4" max="4" width="5.109375" style="22" customWidth="1"/>
    <col min="5" max="5" width="7.6640625" style="22" customWidth="1"/>
    <col min="6" max="6" width="8.6640625" style="23" customWidth="1"/>
    <col min="7" max="7" width="11.6640625" style="24" customWidth="1"/>
    <col min="8" max="8" width="4.33203125" style="6" customWidth="1"/>
    <col min="9" max="9" width="11.6640625" style="146" hidden="1" customWidth="1"/>
    <col min="10" max="12" width="11.6640625" style="22" hidden="1" customWidth="1"/>
    <col min="13" max="13" width="13.109375" style="106" hidden="1" customWidth="1"/>
    <col min="14" max="14" width="13.109375" style="22" hidden="1" customWidth="1"/>
    <col min="15" max="15" width="13.109375" style="106" hidden="1" customWidth="1"/>
    <col min="16" max="18" width="13.109375" style="22" hidden="1" customWidth="1"/>
    <col min="19" max="19" width="13.33203125" style="22" hidden="1" customWidth="1"/>
    <col min="20" max="20" width="0" style="6" hidden="1" customWidth="1"/>
    <col min="21" max="16384" width="13.109375" style="6"/>
  </cols>
  <sheetData>
    <row r="1" spans="1:19" ht="20.399999999999999" hidden="1" customHeight="1">
      <c r="A1" s="19" t="s">
        <v>80</v>
      </c>
    </row>
    <row r="2" spans="1:19" ht="15" customHeight="1">
      <c r="A2" s="19" t="str">
        <f>Summary!A2</f>
        <v>NAFASI WATER - ARNOT WASTE TREATMENT PLANT</v>
      </c>
      <c r="G2" s="25" t="str">
        <f>Summary!C2</f>
        <v>Revision T1</v>
      </c>
      <c r="I2" s="22"/>
    </row>
    <row r="3" spans="1:19" ht="15" customHeight="1">
      <c r="A3" s="19" t="str">
        <f>Summary!A3</f>
        <v>PILING AND CIVIL WORK</v>
      </c>
      <c r="G3" s="26"/>
      <c r="I3" s="22"/>
    </row>
    <row r="4" spans="1:19" ht="15" customHeight="1">
      <c r="A4" s="19" t="s">
        <v>293</v>
      </c>
      <c r="G4" s="143">
        <f>Summary!C4</f>
        <v>45183</v>
      </c>
      <c r="I4" s="22"/>
    </row>
    <row r="5" spans="1:19" ht="15" customHeight="1">
      <c r="A5" s="27"/>
      <c r="B5" s="28"/>
      <c r="C5" s="28"/>
      <c r="E5" s="29"/>
      <c r="G5" s="30"/>
      <c r="I5" s="22"/>
    </row>
    <row r="6" spans="1:19" s="42" customFormat="1" ht="24.9" customHeight="1">
      <c r="A6" s="44" t="s">
        <v>8</v>
      </c>
      <c r="B6" s="48" t="s">
        <v>9</v>
      </c>
      <c r="C6" s="44" t="s">
        <v>10</v>
      </c>
      <c r="D6" s="48" t="s">
        <v>11</v>
      </c>
      <c r="E6" s="48" t="s">
        <v>59</v>
      </c>
      <c r="F6" s="49" t="s">
        <v>12</v>
      </c>
      <c r="G6" s="49" t="s">
        <v>13</v>
      </c>
      <c r="I6" s="100" t="s">
        <v>246</v>
      </c>
      <c r="J6" s="100" t="s">
        <v>215</v>
      </c>
      <c r="K6" s="100" t="s">
        <v>255</v>
      </c>
      <c r="L6" s="101" t="s">
        <v>295</v>
      </c>
      <c r="M6" s="100" t="s">
        <v>296</v>
      </c>
      <c r="N6" s="101" t="s">
        <v>257</v>
      </c>
      <c r="O6" s="100"/>
      <c r="P6" s="100"/>
      <c r="Q6" s="100"/>
      <c r="R6" s="100"/>
      <c r="S6" s="48"/>
    </row>
    <row r="7" spans="1:19" s="42" customFormat="1" ht="4.95" customHeight="1">
      <c r="A7" s="2"/>
      <c r="B7" s="40"/>
      <c r="C7" s="50"/>
      <c r="D7" s="40"/>
      <c r="E7" s="40"/>
      <c r="F7" s="54"/>
      <c r="G7" s="54"/>
      <c r="I7" s="40"/>
      <c r="J7" s="40"/>
      <c r="K7" s="40"/>
      <c r="L7" s="102"/>
      <c r="M7" s="40"/>
      <c r="N7" s="102"/>
      <c r="O7" s="107"/>
      <c r="P7" s="40"/>
      <c r="Q7" s="40"/>
      <c r="R7" s="40"/>
      <c r="S7" s="109"/>
    </row>
    <row r="8" spans="1:19" ht="19.2" customHeight="1">
      <c r="A8" s="1"/>
      <c r="B8" s="2"/>
      <c r="C8" s="11" t="s">
        <v>297</v>
      </c>
      <c r="D8" s="1"/>
      <c r="E8" s="1"/>
      <c r="F8" s="4"/>
      <c r="G8" s="5"/>
      <c r="I8" s="9"/>
      <c r="J8" s="9"/>
      <c r="K8" s="9"/>
      <c r="L8" s="103"/>
      <c r="M8" s="9"/>
      <c r="N8" s="103"/>
      <c r="O8" s="108"/>
      <c r="P8" s="9"/>
      <c r="Q8" s="9"/>
      <c r="R8" s="9"/>
      <c r="S8" s="9"/>
    </row>
    <row r="9" spans="1:19" ht="10.95" customHeight="1">
      <c r="A9" s="1"/>
      <c r="B9" s="2"/>
      <c r="C9" s="11"/>
      <c r="D9" s="1"/>
      <c r="E9" s="1"/>
      <c r="F9" s="4"/>
      <c r="G9" s="5"/>
      <c r="I9" s="9"/>
      <c r="J9" s="9"/>
      <c r="K9" s="9"/>
      <c r="L9" s="103"/>
      <c r="M9" s="9"/>
      <c r="N9" s="103"/>
      <c r="O9" s="108"/>
      <c r="P9" s="9"/>
      <c r="Q9" s="9"/>
      <c r="R9" s="9"/>
      <c r="S9" s="9"/>
    </row>
    <row r="10" spans="1:19" ht="22.2" customHeight="1">
      <c r="A10" s="1"/>
      <c r="B10" s="1" t="s">
        <v>22</v>
      </c>
      <c r="C10" s="34" t="s">
        <v>69</v>
      </c>
      <c r="D10" s="1"/>
      <c r="E10" s="3" t="str">
        <f>IF(SUM(H10:R10)&gt;0,SUM(H10:R10),"")</f>
        <v/>
      </c>
      <c r="F10" s="4"/>
      <c r="G10" s="5"/>
      <c r="I10" s="9"/>
      <c r="J10" s="9"/>
      <c r="K10" s="9"/>
      <c r="L10" s="103"/>
      <c r="M10" s="9"/>
      <c r="N10" s="103"/>
      <c r="O10" s="108"/>
      <c r="P10" s="9"/>
      <c r="Q10" s="9"/>
      <c r="R10" s="9"/>
      <c r="S10" s="9"/>
    </row>
    <row r="11" spans="1:19" ht="13.95" customHeight="1">
      <c r="A11" s="1"/>
      <c r="B11" s="1"/>
      <c r="C11" s="34"/>
      <c r="D11" s="1"/>
      <c r="E11" s="3" t="str">
        <f>IF(SUM(H11:R11)&gt;0,SUM(H11:R11),"")</f>
        <v/>
      </c>
      <c r="F11" s="4"/>
      <c r="G11" s="5"/>
      <c r="I11" s="9"/>
      <c r="J11" s="9"/>
      <c r="K11" s="9"/>
      <c r="L11" s="103"/>
      <c r="M11" s="9"/>
      <c r="N11" s="103"/>
      <c r="O11" s="108"/>
      <c r="P11" s="9"/>
      <c r="Q11" s="9"/>
      <c r="R11" s="9"/>
      <c r="S11" s="9"/>
    </row>
    <row r="12" spans="1:19" ht="13.95" customHeight="1">
      <c r="A12" s="1"/>
      <c r="B12" s="1"/>
      <c r="C12" s="32" t="s">
        <v>55</v>
      </c>
      <c r="D12" s="1"/>
      <c r="E12" s="3" t="str">
        <f>IF(SUM(H12:R12)&gt;0,SUM(H12:R12),"")</f>
        <v/>
      </c>
      <c r="F12" s="4"/>
      <c r="G12" s="5"/>
      <c r="I12" s="9"/>
      <c r="J12" s="9"/>
      <c r="K12" s="9"/>
      <c r="L12" s="103"/>
      <c r="M12" s="9"/>
      <c r="N12" s="103"/>
      <c r="O12" s="108"/>
      <c r="P12" s="9"/>
      <c r="Q12" s="9"/>
      <c r="R12" s="9"/>
      <c r="S12" s="9"/>
    </row>
    <row r="13" spans="1:19" ht="13.95" customHeight="1">
      <c r="A13" s="1"/>
      <c r="B13" s="1"/>
      <c r="C13" s="32"/>
      <c r="D13" s="1"/>
      <c r="E13" s="3" t="str">
        <f>IF(SUM(H13:R13)&gt;0,SUM(H13:R13),"")</f>
        <v/>
      </c>
      <c r="F13" s="4"/>
      <c r="G13" s="5"/>
      <c r="I13" s="9"/>
      <c r="J13" s="9"/>
      <c r="K13" s="9"/>
      <c r="L13" s="103"/>
      <c r="M13" s="9"/>
      <c r="N13" s="103"/>
      <c r="O13" s="108"/>
      <c r="P13" s="9"/>
      <c r="Q13" s="9"/>
      <c r="R13" s="9"/>
      <c r="S13" s="9"/>
    </row>
    <row r="14" spans="1:19" ht="22.2" customHeight="1">
      <c r="A14" s="1">
        <v>1</v>
      </c>
      <c r="B14" s="1"/>
      <c r="C14" s="33" t="s">
        <v>258</v>
      </c>
      <c r="D14" s="1" t="s">
        <v>6</v>
      </c>
      <c r="E14" s="3">
        <f>SUM(I14:S14)</f>
        <v>25</v>
      </c>
      <c r="F14" s="13">
        <v>1150</v>
      </c>
      <c r="G14" s="5">
        <f t="shared" ref="G14" si="0">+E14*F14</f>
        <v>28750</v>
      </c>
      <c r="I14" s="147">
        <v>25</v>
      </c>
      <c r="J14" s="147">
        <v>0</v>
      </c>
      <c r="K14" s="147">
        <v>0</v>
      </c>
      <c r="L14" s="147">
        <v>0</v>
      </c>
      <c r="M14" s="147">
        <v>0</v>
      </c>
      <c r="N14" s="147">
        <v>0</v>
      </c>
      <c r="O14" s="140"/>
      <c r="P14" s="141"/>
      <c r="Q14" s="137"/>
      <c r="R14" s="141"/>
      <c r="S14" s="136"/>
    </row>
    <row r="15" spans="1:19" ht="13.95" customHeight="1">
      <c r="A15" s="1"/>
      <c r="B15" s="1"/>
      <c r="C15" s="32"/>
      <c r="D15" s="1"/>
      <c r="E15" s="3"/>
      <c r="F15" s="14"/>
      <c r="G15" s="5"/>
      <c r="I15" s="3"/>
      <c r="J15" s="3"/>
      <c r="K15" s="3"/>
      <c r="L15" s="103"/>
      <c r="M15" s="3"/>
      <c r="N15" s="103"/>
      <c r="O15" s="108"/>
      <c r="P15" s="9"/>
      <c r="Q15" s="3"/>
      <c r="R15" s="9"/>
      <c r="S15" s="9"/>
    </row>
    <row r="16" spans="1:19" ht="13.95" customHeight="1">
      <c r="A16" s="1"/>
      <c r="B16" s="1"/>
      <c r="C16" s="32" t="s">
        <v>221</v>
      </c>
      <c r="D16" s="1"/>
      <c r="E16" s="3"/>
      <c r="F16" s="14"/>
      <c r="G16" s="5"/>
      <c r="I16" s="3"/>
      <c r="J16" s="3"/>
      <c r="K16" s="3"/>
      <c r="L16" s="103"/>
      <c r="M16" s="3"/>
      <c r="N16" s="103"/>
      <c r="O16" s="108"/>
      <c r="P16" s="9"/>
      <c r="Q16" s="3"/>
      <c r="R16" s="9"/>
      <c r="S16" s="9"/>
    </row>
    <row r="17" spans="1:19" ht="34.950000000000003" customHeight="1">
      <c r="A17" s="1"/>
      <c r="B17" s="1"/>
      <c r="C17" s="33" t="s">
        <v>219</v>
      </c>
      <c r="D17" s="1"/>
      <c r="E17" s="3"/>
      <c r="F17" s="14"/>
      <c r="G17" s="5"/>
      <c r="I17" s="3"/>
      <c r="J17" s="3"/>
      <c r="K17" s="3"/>
      <c r="L17" s="103"/>
      <c r="M17" s="3"/>
      <c r="N17" s="103"/>
      <c r="O17" s="108"/>
      <c r="P17" s="9"/>
      <c r="Q17" s="3"/>
      <c r="R17" s="9"/>
      <c r="S17" s="9"/>
    </row>
    <row r="18" spans="1:19" ht="10.95" customHeight="1">
      <c r="A18" s="1"/>
      <c r="B18" s="1"/>
      <c r="C18" s="32"/>
      <c r="D18" s="1"/>
      <c r="E18" s="3"/>
      <c r="F18" s="13"/>
      <c r="G18" s="5"/>
      <c r="I18" s="3"/>
      <c r="J18" s="3"/>
      <c r="K18" s="3"/>
      <c r="L18" s="103"/>
      <c r="M18" s="3"/>
      <c r="N18" s="103"/>
      <c r="O18" s="108"/>
      <c r="P18" s="9"/>
      <c r="Q18" s="3"/>
      <c r="R18" s="9"/>
      <c r="S18" s="9"/>
    </row>
    <row r="19" spans="1:19" ht="13.2" customHeight="1">
      <c r="A19" s="1">
        <v>2</v>
      </c>
      <c r="B19" s="1"/>
      <c r="C19" s="33" t="s">
        <v>33</v>
      </c>
      <c r="D19" s="1" t="s">
        <v>1</v>
      </c>
      <c r="E19" s="3">
        <f>SUM(I19:S19)</f>
        <v>250</v>
      </c>
      <c r="F19" s="13">
        <v>1850</v>
      </c>
      <c r="G19" s="5">
        <f t="shared" ref="G19" si="1">+E19*F19</f>
        <v>462500</v>
      </c>
      <c r="I19" s="3">
        <f>I14*10</f>
        <v>250</v>
      </c>
      <c r="J19" s="3">
        <f t="shared" ref="J19:N19" si="2">J14*10</f>
        <v>0</v>
      </c>
      <c r="K19" s="3">
        <f t="shared" si="2"/>
        <v>0</v>
      </c>
      <c r="L19" s="3">
        <f t="shared" si="2"/>
        <v>0</v>
      </c>
      <c r="M19" s="3">
        <f t="shared" si="2"/>
        <v>0</v>
      </c>
      <c r="N19" s="3">
        <f t="shared" si="2"/>
        <v>0</v>
      </c>
      <c r="O19" s="138"/>
      <c r="P19" s="138"/>
      <c r="Q19" s="138"/>
      <c r="R19" s="138"/>
      <c r="S19" s="138"/>
    </row>
    <row r="20" spans="1:19" ht="13.2" customHeight="1">
      <c r="A20" s="1"/>
      <c r="B20" s="1"/>
      <c r="C20" s="32"/>
      <c r="D20" s="1"/>
      <c r="E20" s="3"/>
      <c r="F20" s="13"/>
      <c r="G20" s="5"/>
      <c r="I20" s="3"/>
      <c r="J20" s="3"/>
      <c r="K20" s="3"/>
      <c r="L20" s="3"/>
      <c r="M20" s="3"/>
      <c r="N20" s="3"/>
      <c r="O20" s="138"/>
      <c r="P20" s="138"/>
      <c r="Q20" s="138"/>
      <c r="R20" s="138"/>
      <c r="S20" s="138"/>
    </row>
    <row r="21" spans="1:19" ht="13.2" customHeight="1">
      <c r="A21" s="1">
        <v>3</v>
      </c>
      <c r="B21" s="1"/>
      <c r="C21" s="33" t="s">
        <v>34</v>
      </c>
      <c r="D21" s="1" t="s">
        <v>1</v>
      </c>
      <c r="E21" s="3">
        <f>SUM(I21:S21)</f>
        <v>125</v>
      </c>
      <c r="F21" s="13">
        <f>F19</f>
        <v>1850</v>
      </c>
      <c r="G21" s="5">
        <f t="shared" ref="G21" si="3">+E21*F21</f>
        <v>231250</v>
      </c>
      <c r="I21" s="3">
        <f>I14*5</f>
        <v>125</v>
      </c>
      <c r="J21" s="3">
        <f t="shared" ref="J21:N21" si="4">J14*5</f>
        <v>0</v>
      </c>
      <c r="K21" s="3">
        <f t="shared" si="4"/>
        <v>0</v>
      </c>
      <c r="L21" s="3">
        <f t="shared" si="4"/>
        <v>0</v>
      </c>
      <c r="M21" s="3">
        <f t="shared" si="4"/>
        <v>0</v>
      </c>
      <c r="N21" s="3">
        <f t="shared" si="4"/>
        <v>0</v>
      </c>
      <c r="O21" s="138"/>
      <c r="P21" s="138"/>
      <c r="Q21" s="138"/>
      <c r="R21" s="138"/>
      <c r="S21" s="138"/>
    </row>
    <row r="22" spans="1:19" ht="13.2" customHeight="1">
      <c r="A22" s="1"/>
      <c r="B22" s="1"/>
      <c r="C22" s="32"/>
      <c r="D22" s="1"/>
      <c r="E22" s="3"/>
      <c r="F22" s="13"/>
      <c r="G22" s="5"/>
      <c r="I22" s="3"/>
      <c r="J22" s="3"/>
      <c r="K22" s="3"/>
      <c r="L22" s="3"/>
      <c r="M22" s="3"/>
      <c r="N22" s="3"/>
      <c r="O22" s="138"/>
      <c r="P22" s="138"/>
      <c r="Q22" s="138"/>
      <c r="R22" s="138"/>
      <c r="S22" s="138"/>
    </row>
    <row r="23" spans="1:19" ht="13.2" customHeight="1">
      <c r="A23" s="1"/>
      <c r="B23" s="1"/>
      <c r="C23" s="32" t="s">
        <v>76</v>
      </c>
      <c r="D23" s="1"/>
      <c r="E23" s="3"/>
      <c r="F23" s="13"/>
      <c r="G23" s="5"/>
      <c r="I23" s="3"/>
      <c r="J23" s="3"/>
      <c r="K23" s="3"/>
      <c r="L23" s="3"/>
      <c r="M23" s="3"/>
      <c r="N23" s="3"/>
      <c r="O23" s="138"/>
      <c r="P23" s="138"/>
      <c r="Q23" s="138"/>
      <c r="R23" s="138"/>
      <c r="S23" s="138"/>
    </row>
    <row r="24" spans="1:19" ht="13.2" customHeight="1">
      <c r="A24" s="1"/>
      <c r="B24" s="1"/>
      <c r="C24" s="32"/>
      <c r="D24" s="1"/>
      <c r="E24" s="3"/>
      <c r="F24" s="13"/>
      <c r="G24" s="5"/>
      <c r="I24" s="3"/>
      <c r="J24" s="3"/>
      <c r="K24" s="3"/>
      <c r="L24" s="3"/>
      <c r="M24" s="3"/>
      <c r="N24" s="3"/>
      <c r="O24" s="138"/>
      <c r="P24" s="138"/>
      <c r="Q24" s="138"/>
      <c r="R24" s="138"/>
      <c r="S24" s="138"/>
    </row>
    <row r="25" spans="1:19" ht="13.2" customHeight="1">
      <c r="A25" s="1">
        <v>4</v>
      </c>
      <c r="B25" s="1"/>
      <c r="C25" s="47" t="s">
        <v>77</v>
      </c>
      <c r="D25" s="1" t="s">
        <v>6</v>
      </c>
      <c r="E25" s="3">
        <f>SUM(I25:S25)</f>
        <v>25</v>
      </c>
      <c r="F25" s="13">
        <v>1250</v>
      </c>
      <c r="G25" s="5">
        <f t="shared" ref="G25" si="5">+E25*F25</f>
        <v>31250</v>
      </c>
      <c r="I25" s="3">
        <f>I14</f>
        <v>25</v>
      </c>
      <c r="J25" s="3">
        <f t="shared" ref="J25:N25" si="6">J14</f>
        <v>0</v>
      </c>
      <c r="K25" s="3">
        <f t="shared" si="6"/>
        <v>0</v>
      </c>
      <c r="L25" s="3">
        <f t="shared" si="6"/>
        <v>0</v>
      </c>
      <c r="M25" s="3">
        <f t="shared" si="6"/>
        <v>0</v>
      </c>
      <c r="N25" s="3">
        <f t="shared" si="6"/>
        <v>0</v>
      </c>
      <c r="O25" s="138"/>
      <c r="P25" s="138"/>
      <c r="Q25" s="138"/>
      <c r="R25" s="138"/>
      <c r="S25" s="138"/>
    </row>
    <row r="26" spans="1:19" ht="13.2" customHeight="1">
      <c r="A26" s="1"/>
      <c r="B26" s="1"/>
      <c r="C26" s="32"/>
      <c r="D26" s="1"/>
      <c r="E26" s="3"/>
      <c r="F26" s="13"/>
      <c r="G26" s="5"/>
      <c r="I26" s="3"/>
      <c r="J26" s="3"/>
      <c r="K26" s="3"/>
      <c r="L26" s="3"/>
      <c r="M26" s="3"/>
      <c r="N26" s="3"/>
      <c r="O26" s="138"/>
      <c r="P26" s="138"/>
      <c r="Q26" s="138"/>
      <c r="R26" s="138"/>
      <c r="S26" s="138"/>
    </row>
    <row r="27" spans="1:19" ht="12.6" customHeight="1">
      <c r="A27" s="1"/>
      <c r="B27" s="1"/>
      <c r="C27" s="32" t="s">
        <v>71</v>
      </c>
      <c r="D27" s="1"/>
      <c r="E27" s="3"/>
      <c r="F27" s="13"/>
      <c r="G27" s="5"/>
      <c r="I27" s="3"/>
      <c r="J27" s="3"/>
      <c r="K27" s="3"/>
      <c r="L27" s="3"/>
      <c r="M27" s="3"/>
      <c r="N27" s="3"/>
      <c r="O27" s="138"/>
      <c r="P27" s="138"/>
      <c r="Q27" s="138"/>
      <c r="R27" s="138"/>
      <c r="S27" s="138"/>
    </row>
    <row r="28" spans="1:19" ht="12.6" customHeight="1">
      <c r="A28" s="1"/>
      <c r="B28" s="1"/>
      <c r="C28" s="33"/>
      <c r="D28" s="1"/>
      <c r="E28" s="3"/>
      <c r="F28" s="13"/>
      <c r="G28" s="5"/>
      <c r="I28" s="3"/>
      <c r="J28" s="3"/>
      <c r="K28" s="3"/>
      <c r="L28" s="3"/>
      <c r="M28" s="3"/>
      <c r="N28" s="3"/>
      <c r="O28" s="138"/>
      <c r="P28" s="138"/>
      <c r="Q28" s="138"/>
      <c r="R28" s="138"/>
      <c r="S28" s="138"/>
    </row>
    <row r="29" spans="1:19" ht="12.6" customHeight="1">
      <c r="A29" s="1">
        <v>5</v>
      </c>
      <c r="B29" s="1"/>
      <c r="C29" s="33" t="s">
        <v>223</v>
      </c>
      <c r="D29" s="1" t="s">
        <v>2</v>
      </c>
      <c r="E29" s="4">
        <f>SUM(I29:S29)</f>
        <v>1.21875</v>
      </c>
      <c r="F29" s="13">
        <v>29500</v>
      </c>
      <c r="G29" s="5">
        <f t="shared" ref="G29" si="7">+E29*F29</f>
        <v>35953.125</v>
      </c>
      <c r="I29" s="4">
        <f>(I19+I21)*0.00325</f>
        <v>1.21875</v>
      </c>
      <c r="J29" s="4">
        <f t="shared" ref="J29:N29" si="8">(J19+J21)*0.00325</f>
        <v>0</v>
      </c>
      <c r="K29" s="4">
        <f t="shared" si="8"/>
        <v>0</v>
      </c>
      <c r="L29" s="4">
        <f t="shared" si="8"/>
        <v>0</v>
      </c>
      <c r="M29" s="4">
        <f t="shared" si="8"/>
        <v>0</v>
      </c>
      <c r="N29" s="4">
        <f t="shared" si="8"/>
        <v>0</v>
      </c>
      <c r="O29" s="139"/>
      <c r="P29" s="139"/>
      <c r="Q29" s="139"/>
      <c r="R29" s="139"/>
      <c r="S29" s="139"/>
    </row>
    <row r="30" spans="1:19" ht="12.6" customHeight="1">
      <c r="A30" s="1"/>
      <c r="B30" s="1"/>
      <c r="C30" s="33"/>
      <c r="D30" s="1"/>
      <c r="E30" s="4"/>
      <c r="F30" s="13"/>
      <c r="G30" s="5"/>
      <c r="I30" s="3"/>
      <c r="J30" s="3"/>
      <c r="K30" s="3"/>
      <c r="L30" s="3"/>
      <c r="M30" s="3"/>
      <c r="N30" s="3"/>
      <c r="O30" s="138"/>
      <c r="P30" s="138"/>
      <c r="Q30" s="138"/>
      <c r="R30" s="138"/>
      <c r="S30" s="138"/>
    </row>
    <row r="31" spans="1:19" ht="12.6" customHeight="1">
      <c r="A31" s="1">
        <v>6</v>
      </c>
      <c r="B31" s="1"/>
      <c r="C31" s="33" t="s">
        <v>222</v>
      </c>
      <c r="D31" s="1" t="s">
        <v>2</v>
      </c>
      <c r="E31" s="4">
        <f>SUM(I31:S31)</f>
        <v>8.0625</v>
      </c>
      <c r="F31" s="13">
        <v>28000</v>
      </c>
      <c r="G31" s="5">
        <f t="shared" ref="G31" si="9">+E31*F31</f>
        <v>225750</v>
      </c>
      <c r="I31" s="4">
        <f>(I19+I21)*0.0215</f>
        <v>8.0625</v>
      </c>
      <c r="J31" s="4">
        <f t="shared" ref="J31:N31" si="10">(J19+J21)*0.0215</f>
        <v>0</v>
      </c>
      <c r="K31" s="4">
        <f t="shared" si="10"/>
        <v>0</v>
      </c>
      <c r="L31" s="4">
        <f t="shared" si="10"/>
        <v>0</v>
      </c>
      <c r="M31" s="4">
        <f t="shared" si="10"/>
        <v>0</v>
      </c>
      <c r="N31" s="4">
        <f t="shared" si="10"/>
        <v>0</v>
      </c>
      <c r="O31" s="139"/>
      <c r="P31" s="139"/>
      <c r="Q31" s="139"/>
      <c r="R31" s="139"/>
      <c r="S31" s="139"/>
    </row>
    <row r="32" spans="1:19" ht="12.6" customHeight="1">
      <c r="A32" s="1"/>
      <c r="B32" s="1"/>
      <c r="C32" s="33"/>
      <c r="D32" s="1"/>
      <c r="E32" s="3"/>
      <c r="F32" s="13"/>
      <c r="G32" s="5"/>
      <c r="I32" s="3"/>
      <c r="J32" s="3"/>
      <c r="K32" s="3"/>
      <c r="L32" s="3"/>
      <c r="M32" s="3"/>
      <c r="N32" s="3"/>
      <c r="O32" s="138"/>
      <c r="P32" s="138"/>
      <c r="Q32" s="138"/>
      <c r="R32" s="138"/>
      <c r="S32" s="138"/>
    </row>
    <row r="33" spans="1:19" ht="12.6" customHeight="1">
      <c r="A33" s="1"/>
      <c r="B33" s="1"/>
      <c r="C33" s="32" t="s">
        <v>56</v>
      </c>
      <c r="D33" s="1"/>
      <c r="E33" s="3"/>
      <c r="F33" s="13"/>
      <c r="G33" s="5"/>
      <c r="I33" s="3"/>
      <c r="J33" s="3"/>
      <c r="K33" s="3"/>
      <c r="L33" s="3"/>
      <c r="M33" s="3"/>
      <c r="N33" s="3"/>
      <c r="O33" s="138"/>
      <c r="P33" s="138"/>
      <c r="Q33" s="138"/>
      <c r="R33" s="138"/>
      <c r="S33" s="138"/>
    </row>
    <row r="34" spans="1:19" ht="13.2" customHeight="1">
      <c r="A34" s="1"/>
      <c r="B34" s="1"/>
      <c r="C34" s="33"/>
      <c r="D34" s="1"/>
      <c r="E34" s="3"/>
      <c r="F34" s="13"/>
      <c r="G34" s="5"/>
      <c r="I34" s="3"/>
      <c r="J34" s="3"/>
      <c r="K34" s="3"/>
      <c r="L34" s="3"/>
      <c r="M34" s="3"/>
      <c r="N34" s="3"/>
      <c r="O34" s="138"/>
      <c r="P34" s="138"/>
      <c r="Q34" s="138"/>
      <c r="R34" s="138"/>
      <c r="S34" s="138"/>
    </row>
    <row r="35" spans="1:19" ht="13.2" customHeight="1">
      <c r="A35" s="1">
        <v>7</v>
      </c>
      <c r="B35" s="1"/>
      <c r="C35" s="33" t="s">
        <v>220</v>
      </c>
      <c r="D35" s="1"/>
      <c r="E35" s="3"/>
      <c r="F35" s="13"/>
      <c r="G35" s="5"/>
      <c r="I35" s="3"/>
      <c r="J35" s="3"/>
      <c r="K35" s="3"/>
      <c r="L35" s="3"/>
      <c r="M35" s="3"/>
      <c r="N35" s="3"/>
      <c r="O35" s="138"/>
      <c r="P35" s="138"/>
      <c r="Q35" s="138"/>
      <c r="R35" s="138"/>
      <c r="S35" s="138"/>
    </row>
    <row r="36" spans="1:19" ht="13.2" customHeight="1">
      <c r="A36" s="1"/>
      <c r="B36" s="1"/>
      <c r="C36" s="1"/>
      <c r="D36" s="1"/>
      <c r="E36" s="3"/>
      <c r="F36" s="13"/>
      <c r="G36" s="5"/>
      <c r="I36" s="3"/>
      <c r="J36" s="3"/>
      <c r="K36" s="3"/>
      <c r="L36" s="3"/>
      <c r="M36" s="3"/>
      <c r="N36" s="3"/>
      <c r="O36" s="138"/>
      <c r="P36" s="138"/>
      <c r="Q36" s="138"/>
      <c r="R36" s="138"/>
      <c r="S36" s="138"/>
    </row>
    <row r="37" spans="1:19" ht="13.2" customHeight="1">
      <c r="A37" s="1"/>
      <c r="B37" s="1"/>
      <c r="C37" s="33" t="s">
        <v>38</v>
      </c>
      <c r="D37" s="1" t="s">
        <v>51</v>
      </c>
      <c r="E37" s="3">
        <f>SUM(I37:S37)</f>
        <v>128.25</v>
      </c>
      <c r="F37" s="13">
        <v>3500</v>
      </c>
      <c r="G37" s="5">
        <f t="shared" ref="G37" si="11">+E37*F37</f>
        <v>448875</v>
      </c>
      <c r="I37" s="4">
        <f>((I19+I21)*0.292)+(I14*0.75)</f>
        <v>128.25</v>
      </c>
      <c r="J37" s="4">
        <f t="shared" ref="J37:N37" si="12">((J19+J21)*0.292)+(J14*0.75)</f>
        <v>0</v>
      </c>
      <c r="K37" s="4">
        <f t="shared" si="12"/>
        <v>0</v>
      </c>
      <c r="L37" s="4">
        <f t="shared" si="12"/>
        <v>0</v>
      </c>
      <c r="M37" s="4">
        <f t="shared" si="12"/>
        <v>0</v>
      </c>
      <c r="N37" s="4">
        <f t="shared" si="12"/>
        <v>0</v>
      </c>
      <c r="O37" s="139"/>
      <c r="P37" s="139"/>
      <c r="Q37" s="139"/>
      <c r="R37" s="139"/>
      <c r="S37" s="139"/>
    </row>
    <row r="38" spans="1:19" ht="13.2" customHeight="1">
      <c r="A38" s="1"/>
      <c r="B38" s="1"/>
      <c r="C38" s="33"/>
      <c r="D38" s="1"/>
      <c r="E38" s="3"/>
      <c r="F38" s="13"/>
      <c r="G38" s="5"/>
      <c r="I38" s="3"/>
      <c r="J38" s="3"/>
      <c r="K38" s="3"/>
      <c r="L38" s="3"/>
      <c r="M38" s="3"/>
      <c r="N38" s="3"/>
      <c r="O38" s="138"/>
      <c r="P38" s="138"/>
      <c r="Q38" s="138"/>
      <c r="R38" s="138"/>
      <c r="S38" s="138"/>
    </row>
    <row r="39" spans="1:19" ht="13.2" customHeight="1">
      <c r="A39" s="1"/>
      <c r="B39" s="1" t="s">
        <v>23</v>
      </c>
      <c r="C39" s="32" t="s">
        <v>35</v>
      </c>
      <c r="D39" s="1"/>
      <c r="E39" s="3"/>
      <c r="F39" s="13"/>
      <c r="G39" s="5"/>
      <c r="I39" s="3"/>
      <c r="J39" s="3"/>
      <c r="K39" s="3"/>
      <c r="L39" s="3"/>
      <c r="M39" s="3"/>
      <c r="N39" s="3"/>
      <c r="O39" s="138"/>
      <c r="P39" s="138"/>
      <c r="Q39" s="138"/>
      <c r="R39" s="138"/>
      <c r="S39" s="138"/>
    </row>
    <row r="40" spans="1:19" ht="13.2" customHeight="1">
      <c r="A40" s="1"/>
      <c r="B40" s="1"/>
      <c r="C40" s="32"/>
      <c r="D40" s="1"/>
      <c r="E40" s="3"/>
      <c r="F40" s="13"/>
      <c r="G40" s="5"/>
      <c r="I40" s="3"/>
      <c r="J40" s="3"/>
      <c r="K40" s="3"/>
      <c r="L40" s="3"/>
      <c r="M40" s="3"/>
      <c r="N40" s="3"/>
      <c r="O40" s="138"/>
      <c r="P40" s="138"/>
      <c r="Q40" s="138"/>
      <c r="R40" s="138"/>
      <c r="S40" s="138"/>
    </row>
    <row r="41" spans="1:19" ht="13.2" customHeight="1">
      <c r="A41" s="1">
        <v>8</v>
      </c>
      <c r="B41" s="1"/>
      <c r="C41" s="33" t="s">
        <v>259</v>
      </c>
      <c r="D41" s="1" t="s">
        <v>6</v>
      </c>
      <c r="E41" s="3">
        <f>SUM(I41:S41)</f>
        <v>25</v>
      </c>
      <c r="F41" s="13">
        <v>875</v>
      </c>
      <c r="G41" s="5">
        <f t="shared" ref="G41" si="13">+E41*F41</f>
        <v>21875</v>
      </c>
      <c r="I41" s="3">
        <f>I14</f>
        <v>25</v>
      </c>
      <c r="J41" s="3">
        <f t="shared" ref="J41:N41" si="14">J14</f>
        <v>0</v>
      </c>
      <c r="K41" s="3">
        <f t="shared" si="14"/>
        <v>0</v>
      </c>
      <c r="L41" s="3">
        <f t="shared" si="14"/>
        <v>0</v>
      </c>
      <c r="M41" s="3">
        <f t="shared" si="14"/>
        <v>0</v>
      </c>
      <c r="N41" s="3">
        <f t="shared" si="14"/>
        <v>0</v>
      </c>
      <c r="O41" s="138"/>
      <c r="P41" s="138"/>
      <c r="Q41" s="138"/>
      <c r="R41" s="138"/>
      <c r="S41" s="138"/>
    </row>
    <row r="42" spans="1:19" ht="13.2" customHeight="1">
      <c r="A42" s="1"/>
      <c r="B42" s="2"/>
      <c r="C42" s="11"/>
      <c r="D42" s="1"/>
      <c r="E42" s="1"/>
      <c r="F42" s="13"/>
      <c r="G42" s="5"/>
      <c r="I42" s="1"/>
      <c r="J42" s="1"/>
      <c r="K42" s="1"/>
      <c r="L42" s="103"/>
      <c r="M42" s="1"/>
      <c r="N42" s="103"/>
      <c r="O42" s="108"/>
      <c r="P42" s="9"/>
      <c r="Q42" s="9"/>
      <c r="R42" s="9"/>
      <c r="S42" s="9"/>
    </row>
    <row r="43" spans="1:19" ht="21.6" customHeight="1">
      <c r="A43" s="1"/>
      <c r="B43" s="2" t="s">
        <v>100</v>
      </c>
      <c r="C43" s="31" t="s">
        <v>79</v>
      </c>
      <c r="D43" s="1"/>
      <c r="E43" s="3"/>
      <c r="F43" s="14"/>
      <c r="G43" s="5"/>
      <c r="I43" s="3"/>
      <c r="J43" s="3"/>
      <c r="K43" s="3"/>
      <c r="L43" s="103"/>
      <c r="M43" s="3"/>
      <c r="N43" s="103"/>
      <c r="O43" s="108"/>
      <c r="P43" s="9"/>
      <c r="Q43" s="9"/>
      <c r="R43" s="9"/>
      <c r="S43" s="9"/>
    </row>
    <row r="44" spans="1:19" ht="13.95" customHeight="1">
      <c r="A44" s="1"/>
      <c r="B44" s="2"/>
      <c r="C44" s="8" t="s">
        <v>81</v>
      </c>
      <c r="D44" s="1"/>
      <c r="E44" s="3"/>
      <c r="F44" s="14"/>
      <c r="G44" s="5"/>
      <c r="I44" s="3"/>
      <c r="J44" s="3"/>
      <c r="K44" s="3"/>
      <c r="L44" s="103"/>
      <c r="M44" s="3"/>
      <c r="N44" s="103"/>
      <c r="O44" s="108"/>
      <c r="P44" s="9"/>
      <c r="Q44" s="9"/>
      <c r="R44" s="9"/>
      <c r="S44" s="9"/>
    </row>
    <row r="45" spans="1:19" ht="50.4" customHeight="1">
      <c r="A45" s="16">
        <v>9</v>
      </c>
      <c r="B45" s="33" t="s">
        <v>162</v>
      </c>
      <c r="C45" s="33" t="s">
        <v>163</v>
      </c>
      <c r="D45" s="9" t="s">
        <v>60</v>
      </c>
      <c r="E45" s="3">
        <f>SUM(I45:S45)</f>
        <v>308</v>
      </c>
      <c r="F45" s="13">
        <v>225</v>
      </c>
      <c r="G45" s="5">
        <f t="shared" ref="G45" si="15">+E45*F45</f>
        <v>69300</v>
      </c>
      <c r="I45" s="9"/>
      <c r="J45" s="9"/>
      <c r="K45" s="9">
        <v>308</v>
      </c>
      <c r="L45" s="103"/>
      <c r="M45" s="9"/>
      <c r="N45" s="103"/>
      <c r="O45" s="108"/>
      <c r="P45" s="9"/>
      <c r="Q45" s="9"/>
      <c r="R45" s="9"/>
      <c r="S45" s="9"/>
    </row>
    <row r="46" spans="1:19">
      <c r="A46" s="16"/>
      <c r="B46" s="33"/>
      <c r="D46" s="9"/>
      <c r="E46" s="3"/>
      <c r="F46" s="13"/>
      <c r="G46" s="5"/>
      <c r="I46" s="9"/>
      <c r="J46" s="9"/>
      <c r="K46" s="9"/>
      <c r="L46" s="103"/>
      <c r="M46" s="9"/>
      <c r="N46" s="103"/>
      <c r="O46" s="108"/>
      <c r="P46" s="9"/>
      <c r="Q46" s="9"/>
      <c r="R46" s="9"/>
      <c r="S46" s="9"/>
    </row>
    <row r="47" spans="1:19">
      <c r="A47" s="16"/>
      <c r="B47" s="33"/>
      <c r="D47" s="9"/>
      <c r="E47" s="3"/>
      <c r="F47" s="13"/>
      <c r="G47" s="5"/>
      <c r="I47" s="9"/>
      <c r="J47" s="9"/>
      <c r="K47" s="9"/>
      <c r="L47" s="103"/>
      <c r="M47" s="9"/>
      <c r="N47" s="103"/>
      <c r="O47" s="108"/>
      <c r="P47" s="9"/>
      <c r="Q47" s="9"/>
      <c r="R47" s="9"/>
      <c r="S47" s="9"/>
    </row>
    <row r="48" spans="1:19">
      <c r="A48" s="16"/>
      <c r="B48" s="33"/>
      <c r="D48" s="9"/>
      <c r="E48" s="3"/>
      <c r="F48" s="13"/>
      <c r="G48" s="5"/>
      <c r="I48" s="9"/>
      <c r="J48" s="9"/>
      <c r="K48" s="9"/>
      <c r="L48" s="103"/>
      <c r="M48" s="9"/>
      <c r="N48" s="103"/>
      <c r="O48" s="108"/>
      <c r="P48" s="9"/>
      <c r="Q48" s="9"/>
      <c r="R48" s="9"/>
      <c r="S48" s="9"/>
    </row>
    <row r="49" spans="1:19" ht="13.95" customHeight="1">
      <c r="A49" s="1"/>
      <c r="B49" s="2"/>
      <c r="C49" s="8"/>
      <c r="D49" s="9"/>
      <c r="E49" s="3"/>
      <c r="F49" s="4"/>
      <c r="G49" s="5"/>
      <c r="I49" s="9"/>
      <c r="J49" s="9"/>
      <c r="K49" s="9"/>
      <c r="L49" s="103"/>
      <c r="M49" s="9"/>
      <c r="N49" s="103"/>
      <c r="O49" s="108"/>
      <c r="P49" s="9"/>
      <c r="Q49" s="9"/>
      <c r="R49" s="9"/>
      <c r="S49" s="9"/>
    </row>
    <row r="50" spans="1:19" ht="20.100000000000001" customHeight="1">
      <c r="A50" s="149" t="s">
        <v>66</v>
      </c>
      <c r="B50" s="150"/>
      <c r="C50" s="150"/>
      <c r="D50" s="150"/>
      <c r="E50" s="150"/>
      <c r="F50" s="151"/>
      <c r="G50" s="116">
        <f>SUM(G7:G49)</f>
        <v>1555503.125</v>
      </c>
      <c r="I50" s="9"/>
      <c r="J50" s="9"/>
      <c r="K50" s="9"/>
      <c r="L50" s="103"/>
      <c r="M50" s="9"/>
      <c r="N50" s="103"/>
      <c r="O50" s="108"/>
      <c r="P50" s="9"/>
      <c r="Q50" s="9"/>
      <c r="R50" s="9"/>
      <c r="S50" s="9"/>
    </row>
    <row r="51" spans="1:19">
      <c r="A51" s="39"/>
      <c r="B51" s="39"/>
      <c r="C51" s="39"/>
      <c r="D51" s="39"/>
      <c r="E51" s="39"/>
      <c r="F51" s="39"/>
      <c r="G51" s="113"/>
      <c r="I51" s="9"/>
      <c r="J51" s="9"/>
      <c r="K51" s="9"/>
      <c r="L51" s="103"/>
      <c r="M51" s="9"/>
      <c r="N51" s="103"/>
      <c r="O51" s="108"/>
      <c r="P51" s="9"/>
      <c r="Q51" s="9"/>
      <c r="R51" s="9"/>
      <c r="S51" s="9"/>
    </row>
    <row r="52" spans="1:19">
      <c r="A52" s="39"/>
      <c r="B52" s="39"/>
      <c r="C52" s="39"/>
      <c r="D52" s="39"/>
      <c r="E52" s="39"/>
      <c r="F52" s="39"/>
      <c r="G52" s="113"/>
      <c r="I52" s="9"/>
      <c r="J52" s="9"/>
      <c r="K52" s="9"/>
      <c r="L52" s="103"/>
      <c r="M52" s="9"/>
      <c r="N52" s="103"/>
      <c r="O52" s="108"/>
      <c r="P52" s="9"/>
      <c r="Q52" s="9"/>
      <c r="R52" s="9"/>
      <c r="S52" s="9"/>
    </row>
    <row r="53" spans="1:19" ht="24" customHeight="1">
      <c r="A53" s="44" t="s">
        <v>8</v>
      </c>
      <c r="B53" s="48" t="s">
        <v>9</v>
      </c>
      <c r="C53" s="44" t="s">
        <v>10</v>
      </c>
      <c r="D53" s="48" t="s">
        <v>11</v>
      </c>
      <c r="E53" s="48" t="s">
        <v>59</v>
      </c>
      <c r="F53" s="49" t="s">
        <v>12</v>
      </c>
      <c r="G53" s="111" t="s">
        <v>13</v>
      </c>
      <c r="I53" s="9"/>
      <c r="J53" s="9"/>
      <c r="K53" s="9"/>
      <c r="L53" s="103"/>
      <c r="M53" s="9"/>
      <c r="N53" s="103"/>
      <c r="O53" s="108"/>
      <c r="P53" s="9"/>
      <c r="Q53" s="9"/>
      <c r="R53" s="9"/>
      <c r="S53" s="9"/>
    </row>
    <row r="54" spans="1:19" ht="20.100000000000001" customHeight="1">
      <c r="A54" s="149" t="s">
        <v>67</v>
      </c>
      <c r="B54" s="150"/>
      <c r="C54" s="150"/>
      <c r="D54" s="150"/>
      <c r="E54" s="150"/>
      <c r="F54" s="151"/>
      <c r="G54" s="116">
        <f>+G50</f>
        <v>1555503.125</v>
      </c>
      <c r="I54" s="9"/>
      <c r="J54" s="9"/>
      <c r="K54" s="9"/>
      <c r="L54" s="103"/>
      <c r="M54" s="9"/>
      <c r="N54" s="103"/>
      <c r="O54" s="108"/>
      <c r="P54" s="9"/>
      <c r="Q54" s="9"/>
      <c r="R54" s="9"/>
      <c r="S54" s="9"/>
    </row>
    <row r="55" spans="1:19" ht="9" customHeight="1">
      <c r="A55" s="1"/>
      <c r="B55" s="2"/>
      <c r="C55" s="8"/>
      <c r="D55" s="9"/>
      <c r="E55" s="3"/>
      <c r="F55" s="4"/>
      <c r="G55" s="5"/>
      <c r="I55" s="3"/>
      <c r="J55" s="3"/>
      <c r="K55" s="3"/>
      <c r="L55" s="103"/>
      <c r="M55" s="3"/>
      <c r="N55" s="103"/>
      <c r="O55" s="108"/>
      <c r="P55" s="9"/>
      <c r="Q55" s="9"/>
      <c r="R55" s="9"/>
      <c r="S55" s="9"/>
    </row>
    <row r="56" spans="1:19" ht="13.95" customHeight="1">
      <c r="A56" s="1"/>
      <c r="B56" s="2" t="s">
        <v>173</v>
      </c>
      <c r="C56" s="31" t="s">
        <v>79</v>
      </c>
      <c r="D56" s="1"/>
      <c r="E56" s="3"/>
      <c r="F56" s="4"/>
      <c r="G56" s="5"/>
      <c r="I56" s="3"/>
      <c r="J56" s="3"/>
      <c r="K56" s="3"/>
      <c r="L56" s="103"/>
      <c r="M56" s="3"/>
      <c r="N56" s="103"/>
      <c r="O56" s="108"/>
      <c r="P56" s="9"/>
      <c r="Q56" s="9"/>
      <c r="R56" s="9"/>
      <c r="S56" s="9"/>
    </row>
    <row r="57" spans="1:19" ht="13.95" customHeight="1">
      <c r="A57" s="1"/>
      <c r="B57" s="2"/>
      <c r="C57" s="8" t="s">
        <v>81</v>
      </c>
      <c r="D57" s="1"/>
      <c r="E57" s="3"/>
      <c r="F57" s="13"/>
      <c r="G57" s="5"/>
      <c r="I57" s="3"/>
      <c r="J57" s="3"/>
      <c r="K57" s="3"/>
      <c r="L57" s="103"/>
      <c r="M57" s="3"/>
      <c r="N57" s="103"/>
      <c r="O57" s="108"/>
      <c r="P57" s="9"/>
      <c r="Q57" s="9"/>
      <c r="R57" s="9"/>
      <c r="S57" s="9"/>
    </row>
    <row r="58" spans="1:19" ht="13.95" customHeight="1">
      <c r="A58" s="1"/>
      <c r="B58" s="1" t="s">
        <v>87</v>
      </c>
      <c r="C58" s="37" t="s">
        <v>0</v>
      </c>
      <c r="D58" s="1"/>
      <c r="E58" s="3"/>
      <c r="F58" s="13"/>
      <c r="G58" s="5"/>
      <c r="I58" s="3"/>
      <c r="J58" s="3"/>
      <c r="K58" s="3"/>
      <c r="L58" s="103"/>
      <c r="M58" s="3"/>
      <c r="N58" s="103"/>
      <c r="O58" s="108"/>
      <c r="P58" s="9"/>
      <c r="Q58" s="9"/>
      <c r="R58" s="9"/>
      <c r="S58" s="9"/>
    </row>
    <row r="59" spans="1:19" ht="13.95" customHeight="1">
      <c r="A59" s="1"/>
      <c r="B59" s="1"/>
      <c r="C59" s="33"/>
      <c r="D59" s="1"/>
      <c r="E59" s="3"/>
      <c r="F59" s="13"/>
      <c r="G59" s="5"/>
      <c r="I59" s="3"/>
      <c r="J59" s="3"/>
      <c r="K59" s="3"/>
      <c r="L59" s="103"/>
      <c r="M59" s="3"/>
      <c r="N59" s="103"/>
      <c r="O59" s="108"/>
      <c r="P59" s="9"/>
      <c r="Q59" s="9"/>
      <c r="R59" s="9"/>
      <c r="S59" s="9"/>
    </row>
    <row r="60" spans="1:19" ht="22.95" customHeight="1">
      <c r="A60" s="1"/>
      <c r="B60" s="1"/>
      <c r="C60" s="33" t="s">
        <v>61</v>
      </c>
      <c r="D60" s="1"/>
      <c r="E60" s="3"/>
      <c r="F60" s="13"/>
      <c r="G60" s="5"/>
      <c r="I60" s="3"/>
      <c r="J60" s="3"/>
      <c r="K60" s="3"/>
      <c r="L60" s="103"/>
      <c r="M60" s="3"/>
      <c r="N60" s="103"/>
      <c r="O60" s="108"/>
      <c r="P60" s="9"/>
      <c r="Q60" s="9"/>
      <c r="R60" s="9"/>
      <c r="S60" s="9"/>
    </row>
    <row r="61" spans="1:19" ht="13.95" customHeight="1">
      <c r="A61" s="1"/>
      <c r="B61" s="1"/>
      <c r="C61" s="6"/>
      <c r="D61" s="1"/>
      <c r="E61" s="3"/>
      <c r="F61" s="13"/>
      <c r="G61" s="5"/>
      <c r="I61" s="3"/>
      <c r="J61" s="3"/>
      <c r="K61" s="3"/>
      <c r="L61" s="103"/>
      <c r="M61" s="3"/>
      <c r="N61" s="103"/>
      <c r="O61" s="108"/>
      <c r="P61" s="9"/>
      <c r="Q61" s="9"/>
      <c r="R61" s="9"/>
      <c r="S61" s="9"/>
    </row>
    <row r="62" spans="1:19" ht="13.95" customHeight="1">
      <c r="A62" s="1">
        <v>10</v>
      </c>
      <c r="B62" s="1"/>
      <c r="C62" s="33" t="s">
        <v>14</v>
      </c>
      <c r="D62" s="1" t="s">
        <v>51</v>
      </c>
      <c r="E62" s="3">
        <f>SUM(I62:S62)</f>
        <v>330</v>
      </c>
      <c r="F62" s="13">
        <v>175</v>
      </c>
      <c r="G62" s="5">
        <f t="shared" ref="G62" si="16">+E62*F62</f>
        <v>57750</v>
      </c>
      <c r="I62" s="3">
        <v>90</v>
      </c>
      <c r="J62" s="3">
        <v>111</v>
      </c>
      <c r="K62" s="3"/>
      <c r="L62" s="103">
        <v>80</v>
      </c>
      <c r="M62" s="3">
        <v>49</v>
      </c>
      <c r="N62" s="103"/>
      <c r="O62" s="108"/>
      <c r="P62" s="9"/>
      <c r="Q62" s="9"/>
      <c r="R62" s="9"/>
      <c r="S62" s="9"/>
    </row>
    <row r="63" spans="1:19" ht="13.95" customHeight="1">
      <c r="A63" s="1"/>
      <c r="B63" s="1"/>
      <c r="C63" s="33"/>
      <c r="D63" s="1"/>
      <c r="E63" s="3"/>
      <c r="F63" s="13"/>
      <c r="G63" s="5"/>
      <c r="I63" s="3"/>
      <c r="J63" s="3"/>
      <c r="K63" s="3"/>
      <c r="L63" s="103"/>
      <c r="M63" s="3"/>
      <c r="N63" s="103"/>
      <c r="O63" s="108"/>
      <c r="P63" s="9"/>
      <c r="Q63" s="9"/>
      <c r="R63" s="9"/>
      <c r="S63" s="9"/>
    </row>
    <row r="64" spans="1:19" ht="13.95" customHeight="1">
      <c r="A64" s="1"/>
      <c r="B64" s="1"/>
      <c r="C64" s="37" t="s">
        <v>111</v>
      </c>
      <c r="D64" s="1"/>
      <c r="E64" s="3"/>
      <c r="F64" s="13"/>
      <c r="G64" s="5"/>
      <c r="I64" s="3"/>
      <c r="J64" s="3"/>
      <c r="K64" s="3"/>
      <c r="L64" s="103"/>
      <c r="M64" s="3"/>
      <c r="N64" s="103"/>
      <c r="O64" s="108"/>
      <c r="P64" s="9"/>
      <c r="Q64" s="9"/>
      <c r="R64" s="9"/>
      <c r="S64" s="9"/>
    </row>
    <row r="65" spans="1:19" ht="13.95" customHeight="1">
      <c r="A65" s="1"/>
      <c r="B65" s="1"/>
      <c r="C65" s="33"/>
      <c r="D65" s="1"/>
      <c r="E65" s="3"/>
      <c r="F65" s="13"/>
      <c r="G65" s="5"/>
      <c r="I65" s="3"/>
      <c r="J65" s="3"/>
      <c r="K65" s="3"/>
      <c r="L65" s="103"/>
      <c r="M65" s="3"/>
      <c r="N65" s="103"/>
      <c r="O65" s="108"/>
      <c r="P65" s="9"/>
      <c r="Q65" s="9"/>
      <c r="R65" s="9"/>
      <c r="S65" s="9"/>
    </row>
    <row r="66" spans="1:19" ht="28.95" customHeight="1">
      <c r="A66" s="1">
        <v>11</v>
      </c>
      <c r="B66" s="1"/>
      <c r="C66" s="33" t="s">
        <v>54</v>
      </c>
      <c r="D66" s="1" t="s">
        <v>51</v>
      </c>
      <c r="E66" s="3">
        <f>SUM(I66:S66)</f>
        <v>0</v>
      </c>
      <c r="F66" s="13">
        <v>950</v>
      </c>
      <c r="G66" s="5">
        <f t="shared" ref="G66" si="17">+E66*F66</f>
        <v>0</v>
      </c>
      <c r="I66" s="3"/>
      <c r="J66" s="3"/>
      <c r="K66" s="3"/>
      <c r="L66" s="103"/>
      <c r="M66" s="3"/>
      <c r="N66" s="103"/>
      <c r="O66" s="108"/>
      <c r="P66" s="9"/>
      <c r="Q66" s="9"/>
      <c r="R66" s="9"/>
      <c r="S66" s="9"/>
    </row>
    <row r="67" spans="1:19" ht="13.95" customHeight="1">
      <c r="A67" s="1"/>
      <c r="B67" s="1"/>
      <c r="C67" s="33"/>
      <c r="D67" s="1"/>
      <c r="E67" s="3"/>
      <c r="F67" s="13"/>
      <c r="G67" s="5"/>
      <c r="I67" s="3"/>
      <c r="J67" s="3"/>
      <c r="K67" s="3"/>
      <c r="L67" s="103"/>
      <c r="M67" s="3"/>
      <c r="N67" s="103"/>
      <c r="O67" s="108"/>
      <c r="P67" s="9"/>
      <c r="Q67" s="9"/>
      <c r="R67" s="9"/>
      <c r="S67" s="9"/>
    </row>
    <row r="68" spans="1:19" ht="22.2" customHeight="1">
      <c r="A68" s="1"/>
      <c r="B68" s="1"/>
      <c r="C68" s="33" t="s">
        <v>57</v>
      </c>
      <c r="D68" s="1"/>
      <c r="E68" s="3"/>
      <c r="F68" s="13"/>
      <c r="G68" s="5"/>
      <c r="I68" s="3"/>
      <c r="J68" s="3"/>
      <c r="K68" s="3"/>
      <c r="L68" s="103"/>
      <c r="M68" s="3"/>
      <c r="N68" s="103"/>
      <c r="O68" s="108"/>
      <c r="P68" s="9"/>
      <c r="Q68" s="9"/>
      <c r="R68" s="9"/>
      <c r="S68" s="9"/>
    </row>
    <row r="69" spans="1:19" ht="13.95" customHeight="1">
      <c r="A69" s="1"/>
      <c r="B69" s="2"/>
      <c r="C69" s="8"/>
      <c r="D69" s="9"/>
      <c r="E69" s="3"/>
      <c r="F69" s="13"/>
      <c r="G69" s="5"/>
      <c r="I69" s="3"/>
      <c r="J69" s="3"/>
      <c r="K69" s="3"/>
      <c r="L69" s="103"/>
      <c r="M69" s="3"/>
      <c r="N69" s="103"/>
      <c r="O69" s="108"/>
      <c r="P69" s="9"/>
      <c r="Q69" s="9"/>
      <c r="R69" s="9"/>
      <c r="S69" s="9"/>
    </row>
    <row r="70" spans="1:19" ht="13.95" customHeight="1">
      <c r="A70" s="1"/>
      <c r="B70" s="1" t="s">
        <v>83</v>
      </c>
      <c r="C70" s="10" t="s">
        <v>25</v>
      </c>
      <c r="D70" s="9"/>
      <c r="E70" s="3"/>
      <c r="F70" s="13"/>
      <c r="G70" s="5"/>
      <c r="I70" s="3"/>
      <c r="J70" s="3"/>
      <c r="K70" s="3"/>
      <c r="L70" s="103"/>
      <c r="M70" s="3"/>
      <c r="N70" s="103"/>
      <c r="O70" s="108"/>
      <c r="P70" s="9"/>
      <c r="Q70" s="9"/>
      <c r="R70" s="9"/>
      <c r="S70" s="9"/>
    </row>
    <row r="71" spans="1:19" ht="13.95" customHeight="1">
      <c r="A71" s="1"/>
      <c r="B71" s="2"/>
      <c r="C71" s="8"/>
      <c r="D71" s="9"/>
      <c r="E71" s="3"/>
      <c r="F71" s="13"/>
      <c r="G71" s="5"/>
      <c r="I71" s="3"/>
      <c r="J71" s="3"/>
      <c r="K71" s="3"/>
      <c r="L71" s="103"/>
      <c r="M71" s="3"/>
      <c r="N71" s="103"/>
      <c r="O71" s="108"/>
      <c r="P71" s="9"/>
      <c r="Q71" s="9"/>
      <c r="R71" s="9"/>
      <c r="S71" s="9"/>
    </row>
    <row r="72" spans="1:19" ht="23.4" customHeight="1">
      <c r="A72" s="1"/>
      <c r="B72" s="2"/>
      <c r="C72" s="8" t="s">
        <v>109</v>
      </c>
      <c r="D72" s="9"/>
      <c r="E72" s="3"/>
      <c r="F72" s="13"/>
      <c r="G72" s="5"/>
      <c r="I72" s="3"/>
      <c r="J72" s="3"/>
      <c r="K72" s="3"/>
      <c r="L72" s="103"/>
      <c r="M72" s="3"/>
      <c r="N72" s="103"/>
      <c r="O72" s="108"/>
      <c r="P72" s="9"/>
      <c r="Q72" s="9"/>
      <c r="R72" s="9"/>
      <c r="S72" s="9"/>
    </row>
    <row r="73" spans="1:19" ht="13.95" customHeight="1">
      <c r="A73" s="1"/>
      <c r="B73" s="2"/>
      <c r="C73" s="8"/>
      <c r="D73" s="9"/>
      <c r="E73" s="3"/>
      <c r="F73" s="13"/>
      <c r="G73" s="5"/>
      <c r="I73" s="3"/>
      <c r="J73" s="3"/>
      <c r="K73" s="3"/>
      <c r="L73" s="103"/>
      <c r="M73" s="3"/>
      <c r="N73" s="103"/>
      <c r="O73" s="108"/>
      <c r="P73" s="9"/>
      <c r="Q73" s="9"/>
      <c r="R73" s="9"/>
      <c r="S73" s="9"/>
    </row>
    <row r="74" spans="1:19" ht="33.6" customHeight="1">
      <c r="A74" s="1">
        <v>12</v>
      </c>
      <c r="B74" s="2"/>
      <c r="C74" s="8" t="s">
        <v>108</v>
      </c>
      <c r="D74" s="9" t="s">
        <v>51</v>
      </c>
      <c r="E74" s="3">
        <f>SUM(I74:S74)</f>
        <v>197</v>
      </c>
      <c r="F74" s="13">
        <v>725</v>
      </c>
      <c r="G74" s="5">
        <f t="shared" ref="G74" si="18">+E74*F74</f>
        <v>142825</v>
      </c>
      <c r="I74" s="3">
        <v>51</v>
      </c>
      <c r="J74" s="3">
        <v>70</v>
      </c>
      <c r="K74" s="3"/>
      <c r="L74" s="103">
        <v>44</v>
      </c>
      <c r="M74" s="3">
        <v>32</v>
      </c>
      <c r="N74" s="103"/>
      <c r="O74" s="108"/>
      <c r="P74" s="9"/>
      <c r="Q74" s="9"/>
      <c r="R74" s="9"/>
      <c r="S74" s="9"/>
    </row>
    <row r="75" spans="1:19" ht="13.95" customHeight="1">
      <c r="A75" s="1"/>
      <c r="B75" s="2"/>
      <c r="C75" s="8"/>
      <c r="D75" s="9"/>
      <c r="E75" s="3"/>
      <c r="F75" s="13"/>
      <c r="G75" s="5"/>
      <c r="I75" s="3"/>
      <c r="J75" s="3"/>
      <c r="K75" s="3"/>
      <c r="L75" s="103"/>
      <c r="M75" s="3"/>
      <c r="N75" s="103"/>
      <c r="O75" s="108"/>
      <c r="P75" s="9"/>
      <c r="Q75" s="9"/>
      <c r="R75" s="9"/>
      <c r="S75" s="9"/>
    </row>
    <row r="76" spans="1:19" ht="21.6" customHeight="1">
      <c r="A76" s="1"/>
      <c r="B76" s="2" t="s">
        <v>101</v>
      </c>
      <c r="C76" s="34" t="s">
        <v>155</v>
      </c>
      <c r="D76" s="1"/>
      <c r="E76" s="3"/>
      <c r="F76" s="13"/>
      <c r="G76" s="5"/>
      <c r="I76" s="3"/>
      <c r="J76" s="3"/>
      <c r="K76" s="3"/>
      <c r="L76" s="103"/>
      <c r="M76" s="3"/>
      <c r="N76" s="103"/>
      <c r="O76" s="108"/>
      <c r="P76" s="9"/>
      <c r="Q76" s="9"/>
      <c r="R76" s="9"/>
      <c r="S76" s="9"/>
    </row>
    <row r="77" spans="1:19" ht="13.95" customHeight="1">
      <c r="A77" s="1"/>
      <c r="B77" s="1"/>
      <c r="C77" s="33"/>
      <c r="D77" s="1"/>
      <c r="E77" s="3"/>
      <c r="F77" s="13"/>
      <c r="G77" s="5"/>
      <c r="I77" s="3"/>
      <c r="J77" s="3"/>
      <c r="K77" s="3"/>
      <c r="L77" s="103"/>
      <c r="M77" s="3"/>
      <c r="N77" s="103"/>
      <c r="O77" s="108"/>
      <c r="P77" s="9"/>
      <c r="Q77" s="9"/>
      <c r="R77" s="9"/>
      <c r="S77" s="9"/>
    </row>
    <row r="78" spans="1:19" ht="13.95" customHeight="1">
      <c r="A78" s="1"/>
      <c r="B78" s="1" t="s">
        <v>88</v>
      </c>
      <c r="C78" s="32" t="s">
        <v>15</v>
      </c>
      <c r="D78" s="1"/>
      <c r="E78" s="3"/>
      <c r="F78" s="13"/>
      <c r="G78" s="5"/>
      <c r="I78" s="3"/>
      <c r="J78" s="3"/>
      <c r="K78" s="3"/>
      <c r="L78" s="103"/>
      <c r="M78" s="3"/>
      <c r="N78" s="103"/>
      <c r="O78" s="108"/>
      <c r="P78" s="9"/>
      <c r="Q78" s="9"/>
      <c r="R78" s="9"/>
      <c r="S78" s="9"/>
    </row>
    <row r="79" spans="1:19" ht="13.95" customHeight="1">
      <c r="A79" s="1"/>
      <c r="B79" s="1"/>
      <c r="C79" s="33"/>
      <c r="D79" s="1"/>
      <c r="E79" s="3"/>
      <c r="F79" s="13"/>
      <c r="G79" s="5"/>
      <c r="I79" s="3"/>
      <c r="J79" s="3"/>
      <c r="K79" s="3"/>
      <c r="L79" s="103"/>
      <c r="M79" s="3"/>
      <c r="N79" s="103"/>
      <c r="O79" s="108"/>
      <c r="P79" s="9"/>
      <c r="Q79" s="9"/>
      <c r="R79" s="9"/>
      <c r="S79" s="9"/>
    </row>
    <row r="80" spans="1:19" ht="13.95" customHeight="1">
      <c r="A80" s="1"/>
      <c r="B80" s="1" t="s">
        <v>82</v>
      </c>
      <c r="C80" s="34" t="s">
        <v>16</v>
      </c>
      <c r="D80" s="1"/>
      <c r="E80" s="3"/>
      <c r="F80" s="13"/>
      <c r="G80" s="5"/>
      <c r="I80" s="3"/>
      <c r="J80" s="3"/>
      <c r="K80" s="3"/>
      <c r="L80" s="103"/>
      <c r="M80" s="3"/>
      <c r="N80" s="103"/>
      <c r="O80" s="108"/>
      <c r="P80" s="9"/>
      <c r="Q80" s="9"/>
      <c r="R80" s="9"/>
      <c r="S80" s="9"/>
    </row>
    <row r="81" spans="1:19" ht="13.95" customHeight="1">
      <c r="A81" s="1"/>
      <c r="B81" s="1"/>
      <c r="C81" s="33"/>
      <c r="D81" s="1"/>
      <c r="E81" s="3"/>
      <c r="F81" s="13"/>
      <c r="G81" s="5"/>
      <c r="I81" s="3"/>
      <c r="J81" s="3"/>
      <c r="K81" s="3"/>
      <c r="L81" s="103"/>
      <c r="M81" s="3"/>
      <c r="N81" s="103"/>
      <c r="O81" s="108"/>
      <c r="P81" s="9"/>
      <c r="Q81" s="9"/>
      <c r="R81" s="9"/>
      <c r="S81" s="9"/>
    </row>
    <row r="82" spans="1:19" ht="13.95" customHeight="1">
      <c r="A82" s="1"/>
      <c r="B82" s="1"/>
      <c r="C82" s="37" t="s">
        <v>17</v>
      </c>
      <c r="D82" s="1"/>
      <c r="E82" s="3"/>
      <c r="F82" s="13"/>
      <c r="G82" s="5"/>
      <c r="I82" s="3"/>
      <c r="J82" s="3"/>
      <c r="K82" s="3"/>
      <c r="L82" s="103"/>
      <c r="M82" s="3"/>
      <c r="N82" s="103"/>
      <c r="O82" s="108"/>
      <c r="P82" s="9"/>
      <c r="Q82" s="9"/>
      <c r="R82" s="9"/>
      <c r="S82" s="9"/>
    </row>
    <row r="83" spans="1:19" ht="13.95" customHeight="1">
      <c r="A83" s="1"/>
      <c r="B83" s="1"/>
      <c r="C83" s="37"/>
      <c r="D83" s="1"/>
      <c r="E83" s="3"/>
      <c r="F83" s="13"/>
      <c r="G83" s="5"/>
      <c r="I83" s="3"/>
      <c r="J83" s="3"/>
      <c r="K83" s="3"/>
      <c r="L83" s="103"/>
      <c r="M83" s="3"/>
      <c r="N83" s="103"/>
      <c r="O83" s="108"/>
      <c r="P83" s="9"/>
      <c r="Q83" s="9"/>
      <c r="R83" s="9"/>
      <c r="S83" s="9"/>
    </row>
    <row r="84" spans="1:19" ht="13.95" customHeight="1">
      <c r="A84" s="1">
        <v>13</v>
      </c>
      <c r="B84" s="1"/>
      <c r="C84" s="33" t="s">
        <v>28</v>
      </c>
      <c r="D84" s="1" t="s">
        <v>60</v>
      </c>
      <c r="E84" s="3">
        <f>SUM(I84:S84)</f>
        <v>389.3</v>
      </c>
      <c r="F84" s="13">
        <v>475</v>
      </c>
      <c r="G84" s="5">
        <f t="shared" ref="G84" si="19">+E84*F84</f>
        <v>184917.5</v>
      </c>
      <c r="I84" s="3">
        <v>125</v>
      </c>
      <c r="J84" s="3">
        <v>204</v>
      </c>
      <c r="K84" s="3"/>
      <c r="L84" s="103">
        <v>55</v>
      </c>
      <c r="M84" s="3">
        <v>5.3</v>
      </c>
      <c r="N84" s="103"/>
      <c r="O84" s="108"/>
      <c r="P84" s="9"/>
      <c r="Q84" s="9"/>
      <c r="R84" s="9"/>
      <c r="S84" s="9"/>
    </row>
    <row r="85" spans="1:19" ht="13.95" customHeight="1">
      <c r="A85" s="1"/>
      <c r="B85" s="1"/>
      <c r="C85" s="33"/>
      <c r="D85" s="1"/>
      <c r="E85" s="3"/>
      <c r="F85" s="13"/>
      <c r="G85" s="5"/>
      <c r="I85" s="3"/>
      <c r="J85" s="3"/>
      <c r="K85" s="3"/>
      <c r="L85" s="103"/>
      <c r="M85" s="3"/>
      <c r="N85" s="103"/>
      <c r="O85" s="108"/>
      <c r="P85" s="9"/>
      <c r="Q85" s="9"/>
      <c r="R85" s="9"/>
      <c r="S85" s="9"/>
    </row>
    <row r="86" spans="1:19" ht="19.95" customHeight="1">
      <c r="A86" s="1"/>
      <c r="B86" s="1" t="s">
        <v>86</v>
      </c>
      <c r="C86" s="34" t="s">
        <v>26</v>
      </c>
      <c r="D86" s="1"/>
      <c r="E86" s="3"/>
      <c r="F86" s="13"/>
      <c r="G86" s="5"/>
      <c r="I86" s="3"/>
      <c r="J86" s="3"/>
      <c r="K86" s="3"/>
      <c r="L86" s="103"/>
      <c r="M86" s="3"/>
      <c r="N86" s="103"/>
      <c r="O86" s="108"/>
      <c r="P86" s="9"/>
      <c r="Q86" s="9"/>
      <c r="R86" s="9"/>
      <c r="S86" s="9"/>
    </row>
    <row r="87" spans="1:19" ht="13.95" customHeight="1">
      <c r="A87" s="1"/>
      <c r="B87" s="1"/>
      <c r="C87" s="33"/>
      <c r="D87" s="1"/>
      <c r="E87" s="3"/>
      <c r="F87" s="13"/>
      <c r="G87" s="5"/>
      <c r="I87" s="3"/>
      <c r="J87" s="3"/>
      <c r="K87" s="3"/>
      <c r="L87" s="103"/>
      <c r="M87" s="3"/>
      <c r="N87" s="103"/>
      <c r="O87" s="108"/>
      <c r="P87" s="9"/>
      <c r="Q87" s="9"/>
      <c r="R87" s="9"/>
      <c r="S87" s="9"/>
    </row>
    <row r="88" spans="1:19" ht="13.95" customHeight="1">
      <c r="A88" s="1"/>
      <c r="B88" s="1"/>
      <c r="C88" s="37" t="s">
        <v>17</v>
      </c>
      <c r="D88" s="1"/>
      <c r="E88" s="3"/>
      <c r="F88" s="13"/>
      <c r="G88" s="5"/>
      <c r="I88" s="3"/>
      <c r="J88" s="3"/>
      <c r="K88" s="3"/>
      <c r="L88" s="103"/>
      <c r="M88" s="3"/>
      <c r="N88" s="103"/>
      <c r="O88" s="108"/>
      <c r="P88" s="9"/>
      <c r="Q88" s="9"/>
      <c r="R88" s="9"/>
      <c r="S88" s="9"/>
    </row>
    <row r="89" spans="1:19" ht="13.95" customHeight="1">
      <c r="A89" s="1"/>
      <c r="B89" s="1"/>
      <c r="C89" s="33"/>
      <c r="D89" s="1"/>
      <c r="E89" s="3"/>
      <c r="F89" s="13"/>
      <c r="G89" s="5"/>
      <c r="I89" s="3"/>
      <c r="J89" s="3"/>
      <c r="K89" s="3"/>
      <c r="L89" s="103"/>
      <c r="M89" s="3"/>
      <c r="N89" s="103"/>
      <c r="O89" s="108"/>
      <c r="P89" s="9"/>
      <c r="Q89" s="9"/>
      <c r="R89" s="9"/>
      <c r="S89" s="9"/>
    </row>
    <row r="90" spans="1:19" ht="13.95" customHeight="1">
      <c r="A90" s="1">
        <v>14</v>
      </c>
      <c r="B90" s="1"/>
      <c r="C90" s="33" t="s">
        <v>201</v>
      </c>
      <c r="D90" s="1" t="s">
        <v>60</v>
      </c>
      <c r="E90" s="3">
        <f>SUM(I90:S90)</f>
        <v>81</v>
      </c>
      <c r="F90" s="13">
        <v>750</v>
      </c>
      <c r="G90" s="5">
        <f t="shared" ref="G90" si="20">+E90*F90</f>
        <v>60750</v>
      </c>
      <c r="I90" s="3">
        <v>66</v>
      </c>
      <c r="J90" s="3"/>
      <c r="K90" s="3"/>
      <c r="L90" s="103"/>
      <c r="M90" s="3"/>
      <c r="N90" s="103">
        <v>15</v>
      </c>
      <c r="O90" s="108"/>
      <c r="P90" s="9"/>
      <c r="Q90" s="9"/>
      <c r="R90" s="9"/>
      <c r="S90" s="9"/>
    </row>
    <row r="91" spans="1:19" ht="13.95" customHeight="1">
      <c r="A91" s="1"/>
      <c r="B91" s="1"/>
      <c r="C91" s="33"/>
      <c r="D91" s="1"/>
      <c r="E91" s="3"/>
      <c r="F91" s="13"/>
      <c r="G91" s="5"/>
      <c r="I91" s="3"/>
      <c r="J91" s="3"/>
      <c r="K91" s="3"/>
      <c r="L91" s="103"/>
      <c r="M91" s="3"/>
      <c r="N91" s="103"/>
      <c r="O91" s="108"/>
      <c r="P91" s="9"/>
      <c r="Q91" s="9"/>
      <c r="R91" s="9"/>
      <c r="S91" s="9"/>
    </row>
    <row r="92" spans="1:19" ht="13.95" customHeight="1">
      <c r="A92" s="1">
        <v>15</v>
      </c>
      <c r="B92" s="1"/>
      <c r="C92" s="33" t="s">
        <v>224</v>
      </c>
      <c r="D92" s="1" t="s">
        <v>60</v>
      </c>
      <c r="E92" s="3">
        <f>SUM(I92:S92)</f>
        <v>0</v>
      </c>
      <c r="F92" s="13">
        <v>635</v>
      </c>
      <c r="G92" s="5">
        <f t="shared" ref="G92" si="21">+E92*F92</f>
        <v>0</v>
      </c>
      <c r="I92" s="3"/>
      <c r="J92" s="3"/>
      <c r="K92" s="3"/>
      <c r="L92" s="103"/>
      <c r="M92" s="3"/>
      <c r="N92" s="103"/>
      <c r="O92" s="108"/>
      <c r="P92" s="9"/>
      <c r="Q92" s="9"/>
      <c r="R92" s="9"/>
      <c r="S92" s="9"/>
    </row>
    <row r="93" spans="1:19" ht="13.95" customHeight="1">
      <c r="A93" s="1"/>
      <c r="B93" s="1"/>
      <c r="C93" s="33"/>
      <c r="D93" s="1"/>
      <c r="E93" s="3"/>
      <c r="F93" s="13"/>
      <c r="G93" s="5"/>
      <c r="I93" s="3"/>
      <c r="J93" s="3"/>
      <c r="K93" s="3"/>
      <c r="L93" s="103"/>
      <c r="M93" s="3"/>
      <c r="N93" s="103"/>
      <c r="O93" s="108"/>
      <c r="P93" s="9"/>
      <c r="Q93" s="9"/>
      <c r="R93" s="9"/>
      <c r="S93" s="9"/>
    </row>
    <row r="94" spans="1:19" ht="13.95" customHeight="1">
      <c r="A94" s="1">
        <v>16</v>
      </c>
      <c r="B94" s="1"/>
      <c r="C94" s="33" t="s">
        <v>39</v>
      </c>
      <c r="D94" s="1" t="s">
        <v>60</v>
      </c>
      <c r="E94" s="3">
        <f>SUM(I94:S94)</f>
        <v>263</v>
      </c>
      <c r="F94" s="13">
        <v>850</v>
      </c>
      <c r="G94" s="5">
        <f t="shared" ref="G94" si="22">+E94*F94</f>
        <v>223550</v>
      </c>
      <c r="I94" s="3"/>
      <c r="J94" s="3"/>
      <c r="K94" s="3"/>
      <c r="L94" s="103">
        <v>245</v>
      </c>
      <c r="M94" s="3">
        <v>18</v>
      </c>
      <c r="N94" s="103"/>
      <c r="O94" s="108"/>
      <c r="P94" s="9"/>
      <c r="Q94" s="9"/>
      <c r="R94" s="9"/>
      <c r="S94" s="9"/>
    </row>
    <row r="95" spans="1:19" ht="13.95" customHeight="1">
      <c r="A95" s="1"/>
      <c r="B95" s="1"/>
      <c r="C95" s="33"/>
      <c r="D95" s="1"/>
      <c r="E95" s="3"/>
      <c r="F95" s="13"/>
      <c r="G95" s="5"/>
      <c r="I95" s="3"/>
      <c r="J95" s="3"/>
      <c r="K95" s="3"/>
      <c r="L95" s="103"/>
      <c r="M95" s="3"/>
      <c r="N95" s="103"/>
      <c r="O95" s="108"/>
      <c r="P95" s="9"/>
      <c r="Q95" s="9"/>
      <c r="R95" s="9"/>
      <c r="S95" s="9"/>
    </row>
    <row r="96" spans="1:19" ht="13.95" customHeight="1">
      <c r="A96" s="1">
        <v>17</v>
      </c>
      <c r="B96" s="1"/>
      <c r="C96" s="33" t="s">
        <v>247</v>
      </c>
      <c r="D96" s="1" t="s">
        <v>60</v>
      </c>
      <c r="E96" s="3">
        <f>SUM(I96:S96)</f>
        <v>0</v>
      </c>
      <c r="F96" s="13">
        <v>775</v>
      </c>
      <c r="G96" s="5">
        <f t="shared" ref="G96" si="23">+E96*F96</f>
        <v>0</v>
      </c>
      <c r="I96" s="3"/>
      <c r="J96" s="3"/>
      <c r="K96" s="3"/>
      <c r="L96" s="103"/>
      <c r="M96" s="3"/>
      <c r="N96" s="103"/>
      <c r="O96" s="108"/>
      <c r="P96" s="9"/>
      <c r="Q96" s="9"/>
      <c r="R96" s="9"/>
      <c r="S96" s="9"/>
    </row>
    <row r="97" spans="1:19" ht="13.95" customHeight="1">
      <c r="A97" s="1"/>
      <c r="B97" s="1"/>
      <c r="C97" s="33"/>
      <c r="D97" s="1"/>
      <c r="E97" s="3"/>
      <c r="F97" s="13"/>
      <c r="G97" s="5"/>
      <c r="I97" s="3"/>
      <c r="J97" s="3"/>
      <c r="K97" s="3"/>
      <c r="L97" s="103"/>
      <c r="M97" s="3"/>
      <c r="N97" s="103"/>
      <c r="O97" s="108"/>
      <c r="P97" s="9"/>
      <c r="Q97" s="9"/>
      <c r="R97" s="9"/>
      <c r="S97" s="9"/>
    </row>
    <row r="98" spans="1:19" ht="20.100000000000001" customHeight="1">
      <c r="A98" s="149" t="s">
        <v>66</v>
      </c>
      <c r="B98" s="150"/>
      <c r="C98" s="150"/>
      <c r="D98" s="150"/>
      <c r="E98" s="150"/>
      <c r="F98" s="151"/>
      <c r="G98" s="116">
        <f>SUM(G54:G97)</f>
        <v>2225295.625</v>
      </c>
      <c r="I98" s="9"/>
      <c r="J98" s="9"/>
      <c r="K98" s="9"/>
      <c r="L98" s="103"/>
      <c r="M98" s="9"/>
      <c r="N98" s="103"/>
      <c r="O98" s="108"/>
      <c r="P98" s="9"/>
      <c r="Q98" s="9"/>
      <c r="R98" s="9"/>
      <c r="S98" s="9"/>
    </row>
    <row r="99" spans="1:19" ht="13.95" customHeight="1">
      <c r="A99" s="39"/>
      <c r="B99" s="39"/>
      <c r="C99" s="39"/>
      <c r="D99" s="39"/>
      <c r="E99" s="39"/>
      <c r="F99" s="39"/>
      <c r="G99" s="113"/>
      <c r="I99" s="9"/>
      <c r="J99" s="9"/>
      <c r="K99" s="9"/>
      <c r="L99" s="103"/>
      <c r="M99" s="9"/>
      <c r="N99" s="103"/>
      <c r="O99" s="108"/>
      <c r="P99" s="9"/>
      <c r="Q99" s="9"/>
      <c r="R99" s="9"/>
      <c r="S99" s="9"/>
    </row>
    <row r="100" spans="1:19" ht="13.95" customHeight="1">
      <c r="A100" s="39"/>
      <c r="B100" s="39"/>
      <c r="C100" s="39"/>
      <c r="D100" s="39"/>
      <c r="E100" s="39"/>
      <c r="F100" s="39"/>
      <c r="G100" s="113"/>
      <c r="I100" s="9"/>
      <c r="J100" s="9"/>
      <c r="K100" s="9"/>
      <c r="L100" s="103"/>
      <c r="M100" s="9"/>
      <c r="N100" s="103"/>
      <c r="O100" s="108"/>
      <c r="P100" s="9"/>
      <c r="Q100" s="9"/>
      <c r="R100" s="9"/>
      <c r="S100" s="9"/>
    </row>
    <row r="101" spans="1:19" ht="22.2" customHeight="1">
      <c r="A101" s="44" t="s">
        <v>8</v>
      </c>
      <c r="B101" s="48" t="s">
        <v>9</v>
      </c>
      <c r="C101" s="44" t="s">
        <v>10</v>
      </c>
      <c r="D101" s="48" t="s">
        <v>11</v>
      </c>
      <c r="E101" s="48" t="s">
        <v>59</v>
      </c>
      <c r="F101" s="49" t="s">
        <v>12</v>
      </c>
      <c r="G101" s="111" t="s">
        <v>13</v>
      </c>
      <c r="I101" s="9"/>
      <c r="J101" s="9"/>
      <c r="K101" s="9"/>
      <c r="L101" s="103"/>
      <c r="M101" s="9"/>
      <c r="N101" s="103"/>
      <c r="O101" s="108"/>
      <c r="P101" s="9"/>
      <c r="Q101" s="9"/>
      <c r="R101" s="9"/>
      <c r="S101" s="9"/>
    </row>
    <row r="102" spans="1:19" ht="20.100000000000001" customHeight="1">
      <c r="A102" s="149" t="s">
        <v>67</v>
      </c>
      <c r="B102" s="150"/>
      <c r="C102" s="150"/>
      <c r="D102" s="150"/>
      <c r="E102" s="150"/>
      <c r="F102" s="151"/>
      <c r="G102" s="116">
        <f>+G98</f>
        <v>2225295.625</v>
      </c>
      <c r="I102" s="9"/>
      <c r="J102" s="9"/>
      <c r="K102" s="9"/>
      <c r="L102" s="103"/>
      <c r="M102" s="9"/>
      <c r="N102" s="103"/>
      <c r="O102" s="108"/>
      <c r="P102" s="9"/>
      <c r="Q102" s="9"/>
      <c r="R102" s="9"/>
      <c r="S102" s="9"/>
    </row>
    <row r="103" spans="1:19" ht="13.95" customHeight="1">
      <c r="A103" s="1"/>
      <c r="B103" s="1"/>
      <c r="C103" s="33"/>
      <c r="D103" s="1"/>
      <c r="E103" s="3"/>
      <c r="F103" s="13"/>
      <c r="G103" s="5"/>
      <c r="I103" s="3"/>
      <c r="J103" s="3"/>
      <c r="K103" s="3"/>
      <c r="L103" s="103"/>
      <c r="M103" s="3"/>
      <c r="N103" s="103"/>
      <c r="O103" s="108"/>
      <c r="P103" s="9"/>
      <c r="Q103" s="9"/>
      <c r="R103" s="9"/>
      <c r="S103" s="9"/>
    </row>
    <row r="104" spans="1:19" ht="13.95" customHeight="1">
      <c r="A104" s="1"/>
      <c r="B104" s="1"/>
      <c r="C104" s="37" t="s">
        <v>248</v>
      </c>
      <c r="D104" s="1"/>
      <c r="E104" s="3"/>
      <c r="F104" s="13"/>
      <c r="G104" s="5"/>
      <c r="I104" s="3"/>
      <c r="J104" s="3"/>
      <c r="K104" s="3"/>
      <c r="L104" s="103"/>
      <c r="M104" s="3"/>
      <c r="N104" s="103"/>
      <c r="O104" s="108"/>
      <c r="P104" s="9"/>
      <c r="Q104" s="9"/>
      <c r="R104" s="9"/>
      <c r="S104" s="9"/>
    </row>
    <row r="105" spans="1:19" ht="13.95" customHeight="1">
      <c r="A105" s="1"/>
      <c r="B105" s="1"/>
      <c r="C105" s="33"/>
      <c r="D105" s="1"/>
      <c r="E105" s="3"/>
      <c r="F105" s="13"/>
      <c r="G105" s="5"/>
      <c r="I105" s="3"/>
      <c r="J105" s="3"/>
      <c r="K105" s="3"/>
      <c r="L105" s="103"/>
      <c r="M105" s="3"/>
      <c r="N105" s="103"/>
      <c r="O105" s="108"/>
      <c r="P105" s="9"/>
      <c r="Q105" s="9"/>
      <c r="R105" s="9"/>
      <c r="S105" s="9"/>
    </row>
    <row r="106" spans="1:19" ht="13.95" customHeight="1">
      <c r="A106" s="1">
        <v>18</v>
      </c>
      <c r="B106" s="1"/>
      <c r="C106" s="33" t="s">
        <v>249</v>
      </c>
      <c r="D106" s="1" t="s">
        <v>60</v>
      </c>
      <c r="E106" s="3">
        <f>SUM(I106:S106)</f>
        <v>0</v>
      </c>
      <c r="F106" s="13">
        <v>1150</v>
      </c>
      <c r="G106" s="5">
        <f t="shared" ref="G106" si="24">+E106*F106</f>
        <v>0</v>
      </c>
      <c r="I106" s="3"/>
      <c r="J106" s="3"/>
      <c r="K106" s="3"/>
      <c r="L106" s="103"/>
      <c r="M106" s="3"/>
      <c r="N106" s="103"/>
      <c r="O106" s="108"/>
      <c r="P106" s="9"/>
      <c r="Q106" s="9"/>
      <c r="R106" s="9"/>
      <c r="S106" s="9"/>
    </row>
    <row r="107" spans="1:19" ht="13.95" customHeight="1">
      <c r="A107" s="1"/>
      <c r="B107" s="1"/>
      <c r="C107" s="33"/>
      <c r="D107" s="1"/>
      <c r="E107" s="3"/>
      <c r="F107" s="13"/>
      <c r="G107" s="5"/>
      <c r="I107" s="3"/>
      <c r="J107" s="3"/>
      <c r="K107" s="3"/>
      <c r="L107" s="103"/>
      <c r="M107" s="3"/>
      <c r="N107" s="103"/>
      <c r="O107" s="108"/>
      <c r="P107" s="9"/>
      <c r="Q107" s="9"/>
      <c r="R107" s="9"/>
      <c r="S107" s="9"/>
    </row>
    <row r="108" spans="1:19" ht="13.95" customHeight="1">
      <c r="A108" s="1"/>
      <c r="B108" s="1" t="s">
        <v>89</v>
      </c>
      <c r="C108" s="32" t="s">
        <v>156</v>
      </c>
      <c r="D108" s="1"/>
      <c r="E108" s="3"/>
      <c r="F108" s="4"/>
      <c r="G108" s="5"/>
      <c r="I108" s="9"/>
      <c r="J108" s="9"/>
      <c r="K108" s="9"/>
      <c r="L108" s="103"/>
      <c r="M108" s="9"/>
      <c r="N108" s="103"/>
      <c r="O108" s="108"/>
      <c r="P108" s="9"/>
      <c r="Q108" s="9"/>
      <c r="R108" s="9"/>
      <c r="S108" s="9"/>
    </row>
    <row r="109" spans="1:19" ht="13.95" customHeight="1">
      <c r="A109" s="1"/>
      <c r="B109" s="1"/>
      <c r="C109" s="33"/>
      <c r="D109" s="1"/>
      <c r="E109" s="3"/>
      <c r="F109" s="4"/>
      <c r="G109" s="5"/>
      <c r="I109" s="9"/>
      <c r="J109" s="9"/>
      <c r="K109" s="9"/>
      <c r="L109" s="103"/>
      <c r="M109" s="9"/>
      <c r="N109" s="103"/>
      <c r="O109" s="108"/>
      <c r="P109" s="9"/>
      <c r="Q109" s="9"/>
      <c r="R109" s="9"/>
      <c r="S109" s="9"/>
    </row>
    <row r="110" spans="1:19" ht="13.95" customHeight="1">
      <c r="A110" s="1">
        <v>19</v>
      </c>
      <c r="B110" s="1"/>
      <c r="C110" s="47" t="s">
        <v>244</v>
      </c>
      <c r="D110" s="1" t="s">
        <v>1</v>
      </c>
      <c r="E110" s="3">
        <f>SUM(I110:S110)</f>
        <v>67</v>
      </c>
      <c r="F110" s="3">
        <v>135</v>
      </c>
      <c r="G110" s="5">
        <f t="shared" ref="G110" si="25">+E110*F110</f>
        <v>9045</v>
      </c>
      <c r="I110" s="3"/>
      <c r="J110" s="3"/>
      <c r="K110" s="3">
        <v>67</v>
      </c>
      <c r="L110" s="103"/>
      <c r="M110" s="3"/>
      <c r="N110" s="103"/>
      <c r="O110" s="108"/>
      <c r="P110" s="9"/>
      <c r="Q110" s="9"/>
      <c r="R110" s="9"/>
      <c r="S110" s="9"/>
    </row>
    <row r="111" spans="1:19" ht="13.95" customHeight="1">
      <c r="A111" s="1"/>
      <c r="B111" s="1"/>
      <c r="C111" s="33"/>
      <c r="D111" s="1"/>
      <c r="E111" s="3"/>
      <c r="F111" s="4"/>
      <c r="G111" s="5"/>
      <c r="I111" s="3"/>
      <c r="J111" s="3"/>
      <c r="K111" s="3"/>
      <c r="L111" s="103"/>
      <c r="M111" s="3"/>
      <c r="N111" s="103"/>
      <c r="O111" s="108"/>
      <c r="P111" s="9"/>
      <c r="Q111" s="9"/>
      <c r="R111" s="9"/>
      <c r="S111" s="9"/>
    </row>
    <row r="112" spans="1:19" ht="13.95" customHeight="1">
      <c r="A112" s="1"/>
      <c r="B112" s="1" t="s">
        <v>90</v>
      </c>
      <c r="C112" s="32" t="s">
        <v>36</v>
      </c>
      <c r="D112" s="1"/>
      <c r="E112" s="3"/>
      <c r="F112" s="4"/>
      <c r="G112" s="5"/>
      <c r="I112" s="3"/>
      <c r="J112" s="3"/>
      <c r="K112" s="3"/>
      <c r="L112" s="103"/>
      <c r="M112" s="3"/>
      <c r="N112" s="103"/>
      <c r="O112" s="108"/>
      <c r="P112" s="9"/>
      <c r="Q112" s="9"/>
      <c r="R112" s="9"/>
      <c r="S112" s="9"/>
    </row>
    <row r="113" spans="1:19" ht="13.95" customHeight="1">
      <c r="A113" s="1"/>
      <c r="B113" s="1"/>
      <c r="C113" s="33"/>
      <c r="D113" s="1"/>
      <c r="E113" s="3"/>
      <c r="F113" s="4"/>
      <c r="G113" s="5"/>
      <c r="I113" s="3"/>
      <c r="J113" s="3"/>
      <c r="K113" s="3"/>
      <c r="L113" s="103"/>
      <c r="M113" s="3"/>
      <c r="N113" s="103"/>
      <c r="O113" s="108"/>
      <c r="P113" s="9"/>
      <c r="Q113" s="9"/>
      <c r="R113" s="9"/>
      <c r="S113" s="9"/>
    </row>
    <row r="114" spans="1:19" ht="24" customHeight="1">
      <c r="A114" s="1"/>
      <c r="B114" s="1"/>
      <c r="C114" s="33" t="s">
        <v>225</v>
      </c>
      <c r="D114" s="1"/>
      <c r="E114" s="3"/>
      <c r="F114" s="4"/>
      <c r="G114" s="5"/>
      <c r="I114" s="3"/>
      <c r="J114" s="3"/>
      <c r="K114" s="3"/>
      <c r="L114" s="103"/>
      <c r="M114" s="3"/>
      <c r="N114" s="103"/>
      <c r="O114" s="108"/>
      <c r="P114" s="9"/>
      <c r="Q114" s="9"/>
      <c r="R114" s="9"/>
      <c r="S114" s="9"/>
    </row>
    <row r="115" spans="1:19" ht="13.95" customHeight="1">
      <c r="A115" s="1"/>
      <c r="B115" s="1"/>
      <c r="C115" s="33"/>
      <c r="D115" s="1"/>
      <c r="E115" s="3"/>
      <c r="F115" s="4"/>
      <c r="G115" s="5"/>
      <c r="I115" s="3"/>
      <c r="J115" s="3"/>
      <c r="K115" s="3"/>
      <c r="L115" s="103"/>
      <c r="M115" s="3"/>
      <c r="N115" s="103"/>
      <c r="O115" s="108"/>
      <c r="P115" s="9"/>
      <c r="Q115" s="9"/>
      <c r="R115" s="9"/>
      <c r="S115" s="9"/>
    </row>
    <row r="116" spans="1:19" ht="13.95" customHeight="1">
      <c r="A116" s="1">
        <v>20</v>
      </c>
      <c r="B116" s="1"/>
      <c r="C116" s="33" t="s">
        <v>37</v>
      </c>
      <c r="D116" s="1" t="s">
        <v>6</v>
      </c>
      <c r="E116" s="3">
        <f>SUM(I116:S116)</f>
        <v>164</v>
      </c>
      <c r="F116" s="3">
        <v>75</v>
      </c>
      <c r="G116" s="5">
        <f t="shared" ref="G116" si="26">+E116*F116</f>
        <v>12300</v>
      </c>
      <c r="I116" s="3">
        <v>100</v>
      </c>
      <c r="J116" s="3"/>
      <c r="K116" s="3"/>
      <c r="L116" s="103"/>
      <c r="M116" s="3"/>
      <c r="N116" s="103">
        <v>64</v>
      </c>
      <c r="O116" s="108"/>
      <c r="P116" s="9"/>
      <c r="Q116" s="9"/>
      <c r="R116" s="9"/>
      <c r="S116" s="9"/>
    </row>
    <row r="117" spans="1:19" ht="13.95" customHeight="1">
      <c r="A117" s="1"/>
      <c r="B117" s="1"/>
      <c r="C117" s="33"/>
      <c r="D117" s="1"/>
      <c r="E117" s="3"/>
      <c r="F117" s="3"/>
      <c r="G117" s="5"/>
      <c r="I117" s="3"/>
      <c r="J117" s="3"/>
      <c r="K117" s="3"/>
      <c r="L117" s="103"/>
      <c r="M117" s="3"/>
      <c r="N117" s="103"/>
      <c r="O117" s="108"/>
      <c r="P117" s="9"/>
      <c r="Q117" s="9"/>
      <c r="R117" s="9"/>
      <c r="S117" s="9"/>
    </row>
    <row r="118" spans="1:19" ht="13.95" customHeight="1">
      <c r="A118" s="1"/>
      <c r="B118" s="1"/>
      <c r="C118" s="33" t="s">
        <v>226</v>
      </c>
      <c r="D118" s="1" t="s">
        <v>6</v>
      </c>
      <c r="E118" s="3">
        <f>SUM(I118:S118)</f>
        <v>0</v>
      </c>
      <c r="F118" s="3">
        <v>275</v>
      </c>
      <c r="G118" s="5">
        <f t="shared" ref="G118" si="27">+E118*F118</f>
        <v>0</v>
      </c>
      <c r="I118" s="3"/>
      <c r="J118" s="3"/>
      <c r="K118" s="3"/>
      <c r="L118" s="103"/>
      <c r="M118" s="3"/>
      <c r="N118" s="103"/>
      <c r="O118" s="108"/>
      <c r="P118" s="9"/>
      <c r="Q118" s="9"/>
      <c r="R118" s="9"/>
      <c r="S118" s="9"/>
    </row>
    <row r="119" spans="1:19" ht="13.95" customHeight="1">
      <c r="A119" s="1"/>
      <c r="B119" s="1"/>
      <c r="D119" s="1"/>
      <c r="E119" s="3"/>
      <c r="F119" s="4"/>
      <c r="G119" s="5"/>
      <c r="I119" s="3"/>
      <c r="J119" s="3"/>
      <c r="K119" s="3"/>
      <c r="L119" s="103"/>
      <c r="M119" s="3"/>
      <c r="N119" s="103"/>
      <c r="O119" s="108"/>
      <c r="P119" s="9"/>
      <c r="Q119" s="9"/>
      <c r="R119" s="9"/>
      <c r="S119" s="9"/>
    </row>
    <row r="120" spans="1:19" ht="13.95" customHeight="1">
      <c r="A120" s="1"/>
      <c r="B120" s="1"/>
      <c r="C120" s="42" t="s">
        <v>104</v>
      </c>
      <c r="D120" s="1"/>
      <c r="E120" s="3"/>
      <c r="F120" s="4"/>
      <c r="G120" s="5"/>
      <c r="I120" s="3"/>
      <c r="J120" s="3"/>
      <c r="K120" s="3"/>
      <c r="L120" s="103"/>
      <c r="M120" s="3"/>
      <c r="N120" s="103"/>
      <c r="O120" s="108"/>
      <c r="P120" s="9"/>
      <c r="Q120" s="9"/>
      <c r="R120" s="9"/>
      <c r="S120" s="9"/>
    </row>
    <row r="121" spans="1:19" ht="13.95" customHeight="1">
      <c r="A121" s="1"/>
      <c r="B121" s="1"/>
      <c r="C121" s="6"/>
      <c r="D121" s="1"/>
      <c r="E121" s="3"/>
      <c r="F121" s="4"/>
      <c r="G121" s="5"/>
      <c r="I121" s="3"/>
      <c r="J121" s="3"/>
      <c r="K121" s="3"/>
      <c r="L121" s="103"/>
      <c r="M121" s="3"/>
      <c r="N121" s="103"/>
      <c r="O121" s="108"/>
      <c r="P121" s="9"/>
      <c r="Q121" s="9"/>
      <c r="R121" s="9"/>
      <c r="S121" s="9"/>
    </row>
    <row r="122" spans="1:19" ht="13.95" customHeight="1">
      <c r="A122" s="1">
        <f>A116+1</f>
        <v>21</v>
      </c>
      <c r="B122" s="1"/>
      <c r="C122" s="6" t="s">
        <v>106</v>
      </c>
      <c r="D122" s="1" t="s">
        <v>1</v>
      </c>
      <c r="E122" s="3">
        <f>SUM(I122:S122)</f>
        <v>732</v>
      </c>
      <c r="F122" s="3">
        <v>36</v>
      </c>
      <c r="G122" s="5">
        <f t="shared" ref="G122" si="28">+E122*F122</f>
        <v>26352</v>
      </c>
      <c r="I122" s="3">
        <v>185</v>
      </c>
      <c r="J122" s="3">
        <v>341</v>
      </c>
      <c r="K122" s="3"/>
      <c r="L122" s="103">
        <v>146</v>
      </c>
      <c r="M122" s="3"/>
      <c r="N122" s="103">
        <v>60</v>
      </c>
      <c r="O122" s="108"/>
      <c r="P122" s="9"/>
      <c r="Q122" s="9"/>
      <c r="R122" s="9"/>
      <c r="S122" s="9"/>
    </row>
    <row r="123" spans="1:19" ht="13.95" customHeight="1">
      <c r="A123" s="1"/>
      <c r="B123" s="1"/>
      <c r="C123" s="6"/>
      <c r="D123" s="1"/>
      <c r="E123" s="3"/>
      <c r="F123" s="4"/>
      <c r="G123" s="5"/>
      <c r="I123" s="3"/>
      <c r="J123" s="3"/>
      <c r="K123" s="3"/>
      <c r="L123" s="103"/>
      <c r="M123" s="3"/>
      <c r="N123" s="103"/>
      <c r="O123" s="108"/>
      <c r="P123" s="9"/>
      <c r="Q123" s="9"/>
      <c r="R123" s="9"/>
      <c r="S123" s="9"/>
    </row>
    <row r="124" spans="1:19" ht="13.95" customHeight="1">
      <c r="A124" s="1"/>
      <c r="B124" s="2" t="s">
        <v>91</v>
      </c>
      <c r="C124" s="34" t="s">
        <v>18</v>
      </c>
      <c r="D124" s="1"/>
      <c r="E124" s="3"/>
      <c r="F124" s="4"/>
      <c r="G124" s="5"/>
      <c r="I124" s="3"/>
      <c r="J124" s="3"/>
      <c r="K124" s="3"/>
      <c r="L124" s="103"/>
      <c r="M124" s="3"/>
      <c r="N124" s="103"/>
      <c r="O124" s="108"/>
      <c r="P124" s="9"/>
      <c r="Q124" s="9"/>
      <c r="R124" s="9"/>
      <c r="S124" s="9"/>
    </row>
    <row r="125" spans="1:19" ht="13.95" customHeight="1">
      <c r="A125" s="1"/>
      <c r="B125" s="1"/>
      <c r="C125" s="33"/>
      <c r="D125" s="1"/>
      <c r="E125" s="3"/>
      <c r="F125" s="4"/>
      <c r="G125" s="5"/>
      <c r="I125" s="3"/>
      <c r="J125" s="3"/>
      <c r="K125" s="3"/>
      <c r="L125" s="103"/>
      <c r="M125" s="3"/>
      <c r="N125" s="103"/>
      <c r="O125" s="108"/>
      <c r="P125" s="9"/>
      <c r="Q125" s="9"/>
      <c r="R125" s="9"/>
      <c r="S125" s="9"/>
    </row>
    <row r="126" spans="1:19" ht="13.95" customHeight="1">
      <c r="A126" s="1"/>
      <c r="B126" s="1" t="s">
        <v>84</v>
      </c>
      <c r="C126" s="32" t="s">
        <v>19</v>
      </c>
      <c r="D126" s="1"/>
      <c r="E126" s="3"/>
      <c r="F126" s="4"/>
      <c r="G126" s="5"/>
      <c r="I126" s="3"/>
      <c r="J126" s="3"/>
      <c r="K126" s="3"/>
      <c r="L126" s="103"/>
      <c r="M126" s="3"/>
      <c r="N126" s="103"/>
      <c r="O126" s="108"/>
      <c r="P126" s="9"/>
      <c r="Q126" s="9"/>
      <c r="R126" s="9"/>
      <c r="S126" s="9"/>
    </row>
    <row r="127" spans="1:19" ht="13.95" customHeight="1">
      <c r="A127" s="1"/>
      <c r="B127" s="1"/>
      <c r="C127" s="33"/>
      <c r="D127" s="1"/>
      <c r="E127" s="3"/>
      <c r="F127" s="4"/>
      <c r="G127" s="5"/>
      <c r="I127" s="3"/>
      <c r="J127" s="3"/>
      <c r="K127" s="3"/>
      <c r="L127" s="103"/>
      <c r="M127" s="3"/>
      <c r="N127" s="103"/>
      <c r="O127" s="108"/>
      <c r="P127" s="9"/>
      <c r="Q127" s="9"/>
      <c r="R127" s="9"/>
      <c r="S127" s="9"/>
    </row>
    <row r="128" spans="1:19" ht="13.95" customHeight="1">
      <c r="A128" s="1">
        <f>A122+1</f>
        <v>22</v>
      </c>
      <c r="B128" s="1"/>
      <c r="C128" s="33" t="s">
        <v>72</v>
      </c>
      <c r="D128" s="1" t="s">
        <v>2</v>
      </c>
      <c r="E128" s="3">
        <f>SUM(I128:S128)</f>
        <v>18.3</v>
      </c>
      <c r="F128" s="3">
        <v>25750</v>
      </c>
      <c r="G128" s="5">
        <f t="shared" ref="G128" si="29">+E128*F128</f>
        <v>471225</v>
      </c>
      <c r="I128" s="4">
        <v>5.6</v>
      </c>
      <c r="J128" s="4">
        <v>3.3</v>
      </c>
      <c r="K128" s="4"/>
      <c r="L128" s="103">
        <v>7.6</v>
      </c>
      <c r="M128" s="4">
        <v>1.1000000000000001</v>
      </c>
      <c r="N128" s="103">
        <v>0.7</v>
      </c>
      <c r="O128" s="108"/>
      <c r="P128" s="9"/>
      <c r="Q128" s="9"/>
      <c r="R128" s="9"/>
      <c r="S128" s="9"/>
    </row>
    <row r="129" spans="1:19" ht="13.95" customHeight="1">
      <c r="A129" s="1"/>
      <c r="B129" s="1"/>
      <c r="C129" s="33"/>
      <c r="D129" s="1"/>
      <c r="E129" s="3"/>
      <c r="F129" s="4"/>
      <c r="G129" s="5"/>
      <c r="I129" s="3"/>
      <c r="J129" s="3"/>
      <c r="K129" s="3"/>
      <c r="L129" s="103"/>
      <c r="M129" s="3"/>
      <c r="N129" s="103"/>
      <c r="O129" s="108"/>
      <c r="P129" s="9"/>
      <c r="Q129" s="9"/>
      <c r="R129" s="9"/>
      <c r="S129" s="9"/>
    </row>
    <row r="130" spans="1:19" ht="13.95" customHeight="1">
      <c r="A130" s="1"/>
      <c r="B130" s="1" t="s">
        <v>92</v>
      </c>
      <c r="C130" s="32" t="s">
        <v>3</v>
      </c>
      <c r="D130" s="1"/>
      <c r="E130" s="3"/>
      <c r="F130" s="4"/>
      <c r="G130" s="5"/>
      <c r="I130" s="3"/>
      <c r="J130" s="3"/>
      <c r="K130" s="3"/>
      <c r="L130" s="103"/>
      <c r="M130" s="3"/>
      <c r="N130" s="103"/>
      <c r="O130" s="108"/>
      <c r="P130" s="9"/>
      <c r="Q130" s="9"/>
      <c r="R130" s="9"/>
      <c r="S130" s="9"/>
    </row>
    <row r="131" spans="1:19" ht="13.95" customHeight="1">
      <c r="A131" s="1"/>
      <c r="B131" s="1"/>
      <c r="C131" s="33"/>
      <c r="D131" s="1"/>
      <c r="E131" s="3"/>
      <c r="F131" s="4"/>
      <c r="G131" s="5"/>
      <c r="I131" s="3"/>
      <c r="J131" s="3"/>
      <c r="K131" s="3"/>
      <c r="L131" s="103"/>
      <c r="M131" s="3"/>
      <c r="N131" s="103"/>
      <c r="O131" s="108"/>
      <c r="P131" s="9"/>
      <c r="Q131" s="9"/>
      <c r="R131" s="9"/>
      <c r="S131" s="9"/>
    </row>
    <row r="132" spans="1:19" ht="13.95" customHeight="1">
      <c r="A132" s="1">
        <f>A128+1</f>
        <v>23</v>
      </c>
      <c r="B132" s="1"/>
      <c r="C132" s="33" t="s">
        <v>73</v>
      </c>
      <c r="D132" s="1" t="s">
        <v>60</v>
      </c>
      <c r="E132" s="3">
        <f>SUM(I132:S132)</f>
        <v>280</v>
      </c>
      <c r="F132" s="13">
        <v>345</v>
      </c>
      <c r="G132" s="15">
        <f t="shared" ref="G132" si="30">+E132*F132</f>
        <v>96600</v>
      </c>
      <c r="I132" s="3"/>
      <c r="J132" s="4"/>
      <c r="K132" s="3">
        <v>280</v>
      </c>
      <c r="L132" s="103"/>
      <c r="M132" s="3"/>
      <c r="N132" s="103"/>
      <c r="O132" s="108"/>
      <c r="P132" s="9"/>
      <c r="Q132" s="9"/>
      <c r="R132" s="9"/>
      <c r="S132" s="9"/>
    </row>
    <row r="133" spans="1:19" ht="13.95" customHeight="1">
      <c r="A133" s="1"/>
      <c r="B133" s="1"/>
      <c r="C133" s="33"/>
      <c r="D133" s="1"/>
      <c r="E133" s="3"/>
      <c r="F133" s="4"/>
      <c r="G133" s="5"/>
      <c r="I133" s="3"/>
      <c r="J133" s="3"/>
      <c r="K133" s="3"/>
      <c r="L133" s="103"/>
      <c r="M133" s="3"/>
      <c r="N133" s="103"/>
      <c r="O133" s="108"/>
      <c r="P133" s="9"/>
      <c r="Q133" s="9"/>
      <c r="R133" s="9"/>
      <c r="S133" s="9"/>
    </row>
    <row r="134" spans="1:19" ht="13.95" customHeight="1">
      <c r="A134" s="1"/>
      <c r="B134" s="36" t="s">
        <v>93</v>
      </c>
      <c r="C134" s="34" t="s">
        <v>4</v>
      </c>
      <c r="D134" s="1"/>
      <c r="E134" s="3"/>
      <c r="F134" s="4"/>
      <c r="G134" s="5"/>
      <c r="I134" s="3"/>
      <c r="J134" s="3"/>
      <c r="K134" s="3"/>
      <c r="L134" s="103"/>
      <c r="M134" s="3"/>
      <c r="N134" s="103"/>
      <c r="O134" s="108"/>
      <c r="P134" s="9"/>
      <c r="Q134" s="9"/>
      <c r="R134" s="9"/>
      <c r="S134" s="9"/>
    </row>
    <row r="135" spans="1:19" ht="13.95" customHeight="1">
      <c r="A135" s="1"/>
      <c r="C135" s="33"/>
      <c r="D135" s="1"/>
      <c r="E135" s="3"/>
      <c r="F135" s="4"/>
      <c r="G135" s="5"/>
      <c r="I135" s="3"/>
      <c r="J135" s="3"/>
      <c r="K135" s="3"/>
      <c r="L135" s="103"/>
      <c r="M135" s="3"/>
      <c r="N135" s="103"/>
      <c r="O135" s="108"/>
      <c r="P135" s="9"/>
      <c r="Q135" s="9"/>
      <c r="R135" s="9"/>
      <c r="S135" s="9"/>
    </row>
    <row r="136" spans="1:19" ht="13.95" customHeight="1">
      <c r="A136" s="1"/>
      <c r="B136" s="20" t="s">
        <v>94</v>
      </c>
      <c r="C136" s="32" t="s">
        <v>5</v>
      </c>
      <c r="D136" s="1"/>
      <c r="E136" s="3"/>
      <c r="F136" s="4"/>
      <c r="G136" s="5"/>
      <c r="I136" s="3"/>
      <c r="J136" s="3"/>
      <c r="K136" s="3"/>
      <c r="L136" s="103"/>
      <c r="M136" s="3"/>
      <c r="N136" s="103"/>
      <c r="O136" s="108"/>
      <c r="P136" s="9"/>
      <c r="Q136" s="9"/>
      <c r="R136" s="9"/>
      <c r="S136" s="9"/>
    </row>
    <row r="137" spans="1:19" ht="13.95" customHeight="1">
      <c r="A137" s="1"/>
      <c r="C137" s="33"/>
      <c r="D137" s="1"/>
      <c r="E137" s="3"/>
      <c r="F137" s="4"/>
      <c r="G137" s="5"/>
      <c r="I137" s="3"/>
      <c r="J137" s="3"/>
      <c r="K137" s="3"/>
      <c r="L137" s="103"/>
      <c r="M137" s="3"/>
      <c r="N137" s="103"/>
      <c r="O137" s="108"/>
      <c r="P137" s="9"/>
      <c r="Q137" s="9"/>
      <c r="R137" s="9"/>
      <c r="S137" s="9"/>
    </row>
    <row r="138" spans="1:19" ht="13.95" customHeight="1">
      <c r="A138" s="1"/>
      <c r="C138" s="33" t="s">
        <v>74</v>
      </c>
      <c r="D138" s="1"/>
      <c r="E138" s="3"/>
      <c r="F138" s="4"/>
      <c r="G138" s="5"/>
      <c r="I138" s="3"/>
      <c r="J138" s="3"/>
      <c r="K138" s="3"/>
      <c r="L138" s="103"/>
      <c r="M138" s="3"/>
      <c r="N138" s="103"/>
      <c r="O138" s="108"/>
      <c r="P138" s="9"/>
      <c r="Q138" s="9"/>
      <c r="R138" s="9"/>
      <c r="S138" s="9"/>
    </row>
    <row r="139" spans="1:19" ht="13.95" customHeight="1">
      <c r="A139" s="1"/>
      <c r="C139" s="33"/>
      <c r="D139" s="1"/>
      <c r="E139" s="3"/>
      <c r="F139" s="4"/>
      <c r="G139" s="5"/>
      <c r="I139" s="3"/>
      <c r="J139" s="3"/>
      <c r="K139" s="3"/>
      <c r="L139" s="103"/>
      <c r="M139" s="3"/>
      <c r="N139" s="103"/>
      <c r="O139" s="108"/>
      <c r="P139" s="9"/>
      <c r="Q139" s="9"/>
      <c r="R139" s="9"/>
      <c r="S139" s="9"/>
    </row>
    <row r="140" spans="1:19" ht="13.95" customHeight="1">
      <c r="A140" s="1">
        <f>A132+1</f>
        <v>24</v>
      </c>
      <c r="C140" s="33" t="s">
        <v>24</v>
      </c>
      <c r="D140" s="1" t="s">
        <v>60</v>
      </c>
      <c r="E140" s="3">
        <f>SUM(I140:S140)</f>
        <v>356.4</v>
      </c>
      <c r="F140" s="3">
        <v>175</v>
      </c>
      <c r="G140" s="5">
        <f t="shared" ref="G140" si="31">+E140*F140</f>
        <v>62369.999999999993</v>
      </c>
      <c r="I140" s="3">
        <v>86</v>
      </c>
      <c r="J140" s="3">
        <v>171</v>
      </c>
      <c r="K140" s="3"/>
      <c r="L140" s="103">
        <v>88.4</v>
      </c>
      <c r="M140" s="3">
        <v>11</v>
      </c>
      <c r="N140" s="103"/>
      <c r="O140" s="108"/>
      <c r="P140" s="9"/>
      <c r="Q140" s="9"/>
      <c r="R140" s="9"/>
      <c r="S140" s="9"/>
    </row>
    <row r="141" spans="1:19" ht="13.95" customHeight="1">
      <c r="A141" s="1"/>
      <c r="B141" s="1"/>
      <c r="C141" s="33"/>
      <c r="D141" s="1"/>
      <c r="E141" s="3"/>
      <c r="F141" s="4"/>
      <c r="G141" s="5"/>
      <c r="I141" s="3"/>
      <c r="J141" s="3"/>
      <c r="K141" s="3"/>
      <c r="L141" s="103"/>
      <c r="M141" s="3"/>
      <c r="N141" s="103"/>
      <c r="O141" s="108"/>
      <c r="P141" s="9"/>
      <c r="Q141" s="9"/>
      <c r="R141" s="9"/>
      <c r="S141" s="9"/>
    </row>
    <row r="142" spans="1:19" ht="13.95" customHeight="1">
      <c r="A142" s="1"/>
      <c r="B142" s="1"/>
      <c r="C142" s="32" t="s">
        <v>158</v>
      </c>
      <c r="D142" s="1"/>
      <c r="E142" s="3"/>
      <c r="F142" s="4"/>
      <c r="G142" s="5"/>
      <c r="I142" s="3"/>
      <c r="J142" s="3"/>
      <c r="K142" s="3"/>
      <c r="L142" s="103"/>
      <c r="M142" s="3"/>
      <c r="N142" s="103"/>
      <c r="O142" s="108"/>
      <c r="P142" s="9"/>
      <c r="Q142" s="9"/>
      <c r="R142" s="9"/>
      <c r="S142" s="9"/>
    </row>
    <row r="143" spans="1:19" ht="13.95" customHeight="1">
      <c r="A143" s="1"/>
      <c r="B143" s="1"/>
      <c r="C143" s="33"/>
      <c r="D143" s="1"/>
      <c r="E143" s="3"/>
      <c r="F143" s="4"/>
      <c r="G143" s="5"/>
      <c r="I143" s="3"/>
      <c r="J143" s="3"/>
      <c r="K143" s="3"/>
      <c r="L143" s="103"/>
      <c r="M143" s="3"/>
      <c r="N143" s="103"/>
      <c r="O143" s="108"/>
      <c r="P143" s="9"/>
      <c r="Q143" s="9"/>
      <c r="R143" s="9"/>
      <c r="S143" s="9"/>
    </row>
    <row r="144" spans="1:19" ht="13.95" customHeight="1">
      <c r="A144" s="1">
        <f>A140+1</f>
        <v>25</v>
      </c>
      <c r="B144" s="1"/>
      <c r="C144" s="33" t="s">
        <v>202</v>
      </c>
      <c r="D144" s="1" t="s">
        <v>51</v>
      </c>
      <c r="E144" s="3">
        <f>SUM(I144:S144)</f>
        <v>16.3</v>
      </c>
      <c r="F144" s="3">
        <v>3550</v>
      </c>
      <c r="G144" s="5">
        <f t="shared" ref="G144" si="32">+E144*F144</f>
        <v>57865</v>
      </c>
      <c r="I144" s="3">
        <v>10</v>
      </c>
      <c r="J144" s="3"/>
      <c r="K144" s="3"/>
      <c r="L144" s="103"/>
      <c r="M144" s="3"/>
      <c r="N144" s="103">
        <v>6.3</v>
      </c>
      <c r="O144" s="108"/>
      <c r="P144" s="9"/>
      <c r="Q144" s="9"/>
      <c r="R144" s="9"/>
      <c r="S144" s="9"/>
    </row>
    <row r="145" spans="1:19" ht="13.95" customHeight="1">
      <c r="A145" s="1"/>
      <c r="B145" s="1"/>
      <c r="C145" s="33"/>
      <c r="D145" s="1"/>
      <c r="E145" s="3"/>
      <c r="F145" s="3"/>
      <c r="G145" s="5"/>
      <c r="I145" s="3"/>
      <c r="J145" s="3"/>
      <c r="K145" s="3"/>
      <c r="L145" s="103"/>
      <c r="M145" s="3"/>
      <c r="N145" s="103"/>
      <c r="O145" s="108"/>
      <c r="P145" s="9"/>
      <c r="Q145" s="9"/>
      <c r="R145" s="9"/>
      <c r="S145" s="9"/>
    </row>
    <row r="146" spans="1:19" ht="13.95" customHeight="1">
      <c r="A146" s="1">
        <f>A144+1</f>
        <v>26</v>
      </c>
      <c r="B146" s="1"/>
      <c r="C146" s="33" t="s">
        <v>28</v>
      </c>
      <c r="D146" s="1" t="s">
        <v>51</v>
      </c>
      <c r="E146" s="3">
        <f>SUM(I146:S146)</f>
        <v>119.80000000000001</v>
      </c>
      <c r="F146" s="3">
        <v>3200</v>
      </c>
      <c r="G146" s="5">
        <f t="shared" ref="G146" si="33">+E146*F146</f>
        <v>383360.00000000006</v>
      </c>
      <c r="I146" s="3">
        <v>39</v>
      </c>
      <c r="J146" s="3">
        <v>41</v>
      </c>
      <c r="K146" s="3"/>
      <c r="L146" s="103">
        <v>35.4</v>
      </c>
      <c r="M146" s="3">
        <v>4.4000000000000004</v>
      </c>
      <c r="N146" s="103"/>
      <c r="O146" s="108"/>
      <c r="P146" s="9"/>
      <c r="Q146" s="9"/>
      <c r="R146" s="9"/>
      <c r="S146" s="9"/>
    </row>
    <row r="147" spans="1:19" ht="13.95" customHeight="1">
      <c r="A147" s="1"/>
      <c r="B147" s="1"/>
      <c r="C147" s="33"/>
      <c r="D147" s="1"/>
      <c r="E147" s="3"/>
      <c r="F147" s="3"/>
      <c r="G147" s="5"/>
      <c r="I147" s="3"/>
      <c r="J147" s="3"/>
      <c r="K147" s="3"/>
      <c r="L147" s="103"/>
      <c r="M147" s="3"/>
      <c r="N147" s="103"/>
      <c r="O147" s="108"/>
      <c r="P147" s="9"/>
      <c r="Q147" s="9"/>
      <c r="R147" s="9"/>
      <c r="S147" s="9"/>
    </row>
    <row r="148" spans="1:19" ht="13.95" customHeight="1">
      <c r="A148" s="1">
        <v>25</v>
      </c>
      <c r="B148" s="1"/>
      <c r="C148" s="33" t="s">
        <v>62</v>
      </c>
      <c r="D148" s="1" t="s">
        <v>51</v>
      </c>
      <c r="E148" s="3">
        <f>SUM(I148:S148)</f>
        <v>29</v>
      </c>
      <c r="F148" s="3">
        <v>3350</v>
      </c>
      <c r="G148" s="5">
        <f t="shared" ref="G148" si="34">+E148*F148</f>
        <v>97150</v>
      </c>
      <c r="I148" s="3"/>
      <c r="J148" s="3"/>
      <c r="K148" s="3"/>
      <c r="L148" s="103">
        <v>24.5</v>
      </c>
      <c r="M148" s="3">
        <v>4.5</v>
      </c>
      <c r="N148" s="103"/>
      <c r="O148" s="108"/>
      <c r="P148" s="9"/>
      <c r="Q148" s="9"/>
      <c r="R148" s="9"/>
      <c r="S148" s="9"/>
    </row>
    <row r="149" spans="1:19" ht="13.95" customHeight="1">
      <c r="A149" s="53"/>
      <c r="B149" s="117"/>
      <c r="C149" s="38"/>
      <c r="D149" s="53"/>
      <c r="E149" s="53"/>
      <c r="F149" s="118"/>
      <c r="G149" s="119"/>
      <c r="I149" s="9"/>
      <c r="J149" s="9"/>
      <c r="K149" s="9"/>
      <c r="L149" s="103"/>
      <c r="M149" s="9"/>
      <c r="N149" s="103"/>
      <c r="O149" s="108"/>
      <c r="P149" s="9"/>
      <c r="Q149" s="9"/>
      <c r="R149" s="9"/>
      <c r="S149" s="9"/>
    </row>
    <row r="150" spans="1:19" s="42" customFormat="1" ht="20.100000000000001" customHeight="1">
      <c r="A150" s="149" t="s">
        <v>66</v>
      </c>
      <c r="B150" s="150"/>
      <c r="C150" s="150"/>
      <c r="D150" s="150"/>
      <c r="E150" s="150"/>
      <c r="F150" s="151"/>
      <c r="G150" s="111">
        <f>SUM(G102:G149)</f>
        <v>3441562.625</v>
      </c>
      <c r="I150" s="40"/>
      <c r="J150" s="40"/>
      <c r="K150" s="40"/>
      <c r="L150" s="102"/>
      <c r="M150" s="40"/>
      <c r="N150" s="102"/>
      <c r="O150" s="107"/>
      <c r="P150" s="40"/>
      <c r="Q150" s="40"/>
      <c r="R150" s="40"/>
      <c r="S150" s="40"/>
    </row>
    <row r="151" spans="1:19" s="42" customFormat="1" ht="13.95" customHeight="1">
      <c r="A151" s="39"/>
      <c r="B151" s="39"/>
      <c r="C151" s="39"/>
      <c r="D151" s="39"/>
      <c r="E151" s="39"/>
      <c r="F151" s="39"/>
      <c r="G151" s="112"/>
      <c r="I151" s="40"/>
      <c r="J151" s="40"/>
      <c r="K151" s="40"/>
      <c r="L151" s="102"/>
      <c r="M151" s="40"/>
      <c r="N151" s="102"/>
      <c r="O151" s="107"/>
      <c r="P151" s="40"/>
      <c r="Q151" s="40"/>
      <c r="R151" s="40"/>
      <c r="S151" s="40"/>
    </row>
    <row r="152" spans="1:19" s="42" customFormat="1" ht="13.95" customHeight="1">
      <c r="A152" s="50"/>
      <c r="B152" s="50"/>
      <c r="C152" s="50"/>
      <c r="D152" s="50"/>
      <c r="E152" s="50"/>
      <c r="F152" s="50"/>
      <c r="G152" s="112"/>
      <c r="I152" s="40"/>
      <c r="J152" s="40"/>
      <c r="K152" s="40"/>
      <c r="L152" s="102"/>
      <c r="M152" s="40"/>
      <c r="N152" s="102"/>
      <c r="O152" s="107"/>
      <c r="P152" s="40"/>
      <c r="Q152" s="40"/>
      <c r="R152" s="40"/>
      <c r="S152" s="40"/>
    </row>
    <row r="153" spans="1:19" s="42" customFormat="1" ht="23.4" customHeight="1">
      <c r="A153" s="44" t="s">
        <v>8</v>
      </c>
      <c r="B153" s="48" t="s">
        <v>9</v>
      </c>
      <c r="C153" s="44" t="s">
        <v>10</v>
      </c>
      <c r="D153" s="48" t="s">
        <v>11</v>
      </c>
      <c r="E153" s="48" t="s">
        <v>59</v>
      </c>
      <c r="F153" s="49" t="s">
        <v>12</v>
      </c>
      <c r="G153" s="111" t="s">
        <v>13</v>
      </c>
      <c r="I153" s="40"/>
      <c r="J153" s="40"/>
      <c r="K153" s="40"/>
      <c r="L153" s="102"/>
      <c r="M153" s="40"/>
      <c r="N153" s="102"/>
      <c r="O153" s="107"/>
      <c r="P153" s="40"/>
      <c r="Q153" s="40"/>
      <c r="R153" s="40"/>
      <c r="S153" s="40"/>
    </row>
    <row r="154" spans="1:19" s="42" customFormat="1" ht="20.100000000000001" customHeight="1">
      <c r="A154" s="149" t="s">
        <v>67</v>
      </c>
      <c r="B154" s="150"/>
      <c r="C154" s="150"/>
      <c r="D154" s="150"/>
      <c r="E154" s="150"/>
      <c r="F154" s="151"/>
      <c r="G154" s="111">
        <f>+G150</f>
        <v>3441562.625</v>
      </c>
      <c r="I154" s="40"/>
      <c r="J154" s="40"/>
      <c r="K154" s="40"/>
      <c r="L154" s="102"/>
      <c r="M154" s="40"/>
      <c r="N154" s="102"/>
      <c r="O154" s="107"/>
      <c r="P154" s="40"/>
      <c r="Q154" s="40"/>
      <c r="R154" s="40"/>
      <c r="S154" s="40"/>
    </row>
    <row r="155" spans="1:19" ht="13.95" customHeight="1">
      <c r="A155" s="9"/>
      <c r="B155" s="114"/>
      <c r="C155" s="33"/>
      <c r="D155" s="9"/>
      <c r="E155" s="9"/>
      <c r="F155" s="43"/>
      <c r="G155" s="115"/>
      <c r="I155" s="9"/>
      <c r="J155" s="9"/>
      <c r="K155" s="9"/>
      <c r="L155" s="103"/>
      <c r="M155" s="9"/>
      <c r="N155" s="103"/>
      <c r="O155" s="108"/>
      <c r="P155" s="9"/>
      <c r="Q155" s="9"/>
      <c r="R155" s="9"/>
      <c r="S155" s="9"/>
    </row>
    <row r="156" spans="1:19" ht="13.95" customHeight="1">
      <c r="A156" s="1">
        <v>26</v>
      </c>
      <c r="B156" s="1"/>
      <c r="C156" s="33" t="s">
        <v>27</v>
      </c>
      <c r="D156" s="1" t="s">
        <v>51</v>
      </c>
      <c r="E156" s="3">
        <f>SUM(I156:S156)</f>
        <v>56</v>
      </c>
      <c r="F156" s="3">
        <v>3200</v>
      </c>
      <c r="G156" s="5">
        <f t="shared" ref="G156" si="35">+E156*F156</f>
        <v>179200</v>
      </c>
      <c r="I156" s="3"/>
      <c r="J156" s="3"/>
      <c r="K156" s="3">
        <v>56</v>
      </c>
      <c r="L156" s="103"/>
      <c r="M156" s="3"/>
      <c r="N156" s="103"/>
      <c r="O156" s="108"/>
      <c r="P156" s="9"/>
      <c r="Q156" s="9"/>
      <c r="R156" s="9"/>
      <c r="S156" s="9"/>
    </row>
    <row r="157" spans="1:19" ht="13.95" customHeight="1">
      <c r="A157" s="1"/>
      <c r="B157" s="1"/>
      <c r="C157" s="33"/>
      <c r="D157" s="1"/>
      <c r="E157" s="3"/>
      <c r="F157" s="3"/>
      <c r="G157" s="5"/>
      <c r="I157" s="3"/>
      <c r="J157" s="3"/>
      <c r="K157" s="3"/>
      <c r="L157" s="103"/>
      <c r="M157" s="3"/>
      <c r="N157" s="103"/>
      <c r="O157" s="108"/>
      <c r="P157" s="9"/>
      <c r="Q157" s="9"/>
      <c r="R157" s="9"/>
      <c r="S157" s="9"/>
    </row>
    <row r="158" spans="1:19" ht="13.95" customHeight="1">
      <c r="A158" s="1">
        <f>A156+1</f>
        <v>27</v>
      </c>
      <c r="B158" s="1"/>
      <c r="C158" s="33" t="s">
        <v>250</v>
      </c>
      <c r="D158" s="1" t="s">
        <v>51</v>
      </c>
      <c r="E158" s="3">
        <f>SUM(I158:S158)</f>
        <v>0</v>
      </c>
      <c r="F158" s="3">
        <v>3650</v>
      </c>
      <c r="G158" s="5">
        <f t="shared" ref="G158" si="36">+E158*F158</f>
        <v>0</v>
      </c>
      <c r="I158" s="3"/>
      <c r="J158" s="3"/>
      <c r="K158" s="3"/>
      <c r="L158" s="103"/>
      <c r="M158" s="3"/>
      <c r="N158" s="103"/>
      <c r="O158" s="108"/>
      <c r="P158" s="9"/>
      <c r="Q158" s="9"/>
      <c r="R158" s="9"/>
      <c r="S158" s="9"/>
    </row>
    <row r="159" spans="1:19" ht="13.95" customHeight="1">
      <c r="A159" s="9"/>
      <c r="B159" s="114"/>
      <c r="C159" s="33"/>
      <c r="D159" s="9"/>
      <c r="E159" s="9"/>
      <c r="F159" s="43"/>
      <c r="G159" s="115"/>
      <c r="I159" s="9"/>
      <c r="J159" s="9"/>
      <c r="K159" s="9"/>
      <c r="L159" s="103"/>
      <c r="M159" s="9"/>
      <c r="N159" s="103"/>
      <c r="O159" s="108"/>
      <c r="P159" s="9"/>
      <c r="Q159" s="9"/>
      <c r="R159" s="9"/>
      <c r="S159" s="9"/>
    </row>
    <row r="160" spans="1:19" ht="13.95" customHeight="1">
      <c r="A160" s="1"/>
      <c r="B160" s="1" t="s">
        <v>96</v>
      </c>
      <c r="C160" s="32" t="s">
        <v>159</v>
      </c>
      <c r="D160" s="1"/>
      <c r="E160" s="3"/>
      <c r="F160" s="4"/>
      <c r="G160" s="5"/>
      <c r="I160" s="9"/>
      <c r="J160" s="9"/>
      <c r="K160" s="9"/>
      <c r="L160" s="103"/>
      <c r="M160" s="9"/>
      <c r="N160" s="103"/>
      <c r="O160" s="108"/>
      <c r="P160" s="9"/>
      <c r="Q160" s="9"/>
      <c r="R160" s="9"/>
      <c r="S160" s="9"/>
    </row>
    <row r="161" spans="1:19" ht="13.95" customHeight="1">
      <c r="A161" s="1"/>
      <c r="B161" s="1"/>
      <c r="C161" s="33"/>
      <c r="D161" s="1"/>
      <c r="E161" s="3"/>
      <c r="F161" s="4"/>
      <c r="G161" s="5"/>
      <c r="I161" s="9"/>
      <c r="J161" s="9"/>
      <c r="K161" s="9"/>
      <c r="L161" s="103"/>
      <c r="M161" s="9"/>
      <c r="N161" s="103"/>
      <c r="O161" s="108"/>
      <c r="P161" s="9"/>
      <c r="Q161" s="9"/>
      <c r="R161" s="9"/>
      <c r="S161" s="9"/>
    </row>
    <row r="162" spans="1:19" ht="13.95" customHeight="1">
      <c r="A162" s="1"/>
      <c r="B162" s="1"/>
      <c r="C162" s="33" t="s">
        <v>160</v>
      </c>
      <c r="D162" s="1"/>
      <c r="E162" s="3"/>
      <c r="F162" s="4"/>
      <c r="G162" s="5"/>
      <c r="I162" s="9"/>
      <c r="J162" s="9"/>
      <c r="K162" s="9"/>
      <c r="L162" s="103"/>
      <c r="M162" s="9"/>
      <c r="N162" s="103"/>
      <c r="O162" s="108"/>
      <c r="P162" s="9"/>
      <c r="Q162" s="9"/>
      <c r="R162" s="9"/>
      <c r="S162" s="9"/>
    </row>
    <row r="163" spans="1:19" ht="13.95" customHeight="1">
      <c r="A163" s="1"/>
      <c r="B163" s="1"/>
      <c r="C163" s="33"/>
      <c r="D163" s="1"/>
      <c r="E163" s="3"/>
      <c r="F163" s="4"/>
      <c r="G163" s="5"/>
      <c r="I163" s="9"/>
      <c r="J163" s="9"/>
      <c r="K163" s="9"/>
      <c r="L163" s="103"/>
      <c r="M163" s="9"/>
      <c r="N163" s="103"/>
      <c r="O163" s="108"/>
      <c r="P163" s="9"/>
      <c r="Q163" s="9"/>
      <c r="R163" s="9"/>
      <c r="S163" s="9"/>
    </row>
    <row r="164" spans="1:19" ht="13.95" customHeight="1">
      <c r="A164" s="1">
        <f>+A158+1</f>
        <v>28</v>
      </c>
      <c r="B164" s="1"/>
      <c r="C164" s="33" t="s">
        <v>28</v>
      </c>
      <c r="D164" s="1" t="s">
        <v>60</v>
      </c>
      <c r="E164" s="3">
        <f>SUM(I164:S164)</f>
        <v>206.4</v>
      </c>
      <c r="F164" s="3">
        <v>46</v>
      </c>
      <c r="G164" s="5">
        <f t="shared" ref="G164" si="37">+E164*F164</f>
        <v>9494.4</v>
      </c>
      <c r="I164" s="3">
        <v>39</v>
      </c>
      <c r="J164" s="3">
        <v>68</v>
      </c>
      <c r="K164" s="3"/>
      <c r="L164" s="103">
        <v>88.4</v>
      </c>
      <c r="M164" s="3">
        <v>11</v>
      </c>
      <c r="N164" s="103"/>
      <c r="O164" s="108"/>
      <c r="P164" s="9"/>
      <c r="Q164" s="9"/>
      <c r="R164" s="9"/>
      <c r="S164" s="9"/>
    </row>
    <row r="165" spans="1:19" ht="13.95" customHeight="1">
      <c r="A165" s="1"/>
      <c r="B165" s="1"/>
      <c r="C165" s="33"/>
      <c r="D165" s="1"/>
      <c r="E165" s="3"/>
      <c r="F165" s="3"/>
      <c r="G165" s="5"/>
      <c r="I165" s="3"/>
      <c r="J165" s="3"/>
      <c r="K165" s="3"/>
      <c r="L165" s="103"/>
      <c r="M165" s="3"/>
      <c r="N165" s="103"/>
      <c r="O165" s="108"/>
      <c r="P165" s="9"/>
      <c r="Q165" s="9"/>
      <c r="R165" s="9"/>
      <c r="S165" s="9"/>
    </row>
    <row r="166" spans="1:19" ht="13.95" customHeight="1">
      <c r="A166" s="1"/>
      <c r="B166" s="1"/>
      <c r="C166" s="33" t="s">
        <v>196</v>
      </c>
      <c r="D166" s="1"/>
      <c r="E166" s="3"/>
      <c r="F166" s="3"/>
      <c r="G166" s="5"/>
      <c r="I166" s="3"/>
      <c r="J166" s="3"/>
      <c r="K166" s="3"/>
      <c r="L166" s="103"/>
      <c r="M166" s="3"/>
      <c r="N166" s="103"/>
      <c r="O166" s="108"/>
      <c r="P166" s="9"/>
      <c r="Q166" s="9"/>
      <c r="R166" s="9"/>
      <c r="S166" s="9"/>
    </row>
    <row r="167" spans="1:19" ht="13.95" customHeight="1">
      <c r="A167" s="1"/>
      <c r="B167" s="1"/>
      <c r="C167" s="33"/>
      <c r="D167" s="1"/>
      <c r="E167" s="3"/>
      <c r="F167" s="3"/>
      <c r="G167" s="5"/>
      <c r="I167" s="3"/>
      <c r="J167" s="3"/>
      <c r="K167" s="3"/>
      <c r="L167" s="103"/>
      <c r="M167" s="3"/>
      <c r="N167" s="103"/>
      <c r="O167" s="108"/>
      <c r="P167" s="9"/>
      <c r="Q167" s="9"/>
      <c r="R167" s="9"/>
      <c r="S167" s="9"/>
    </row>
    <row r="168" spans="1:19" ht="13.95" customHeight="1">
      <c r="A168" s="1">
        <f>A164+1</f>
        <v>29</v>
      </c>
      <c r="B168" s="1"/>
      <c r="C168" s="33" t="s">
        <v>29</v>
      </c>
      <c r="D168" s="1" t="s">
        <v>60</v>
      </c>
      <c r="E168" s="3">
        <f>SUM(I168:S168)</f>
        <v>280</v>
      </c>
      <c r="F168" s="3">
        <v>75</v>
      </c>
      <c r="G168" s="5">
        <f t="shared" ref="G168" si="38">+E168*F168</f>
        <v>21000</v>
      </c>
      <c r="I168" s="3"/>
      <c r="J168" s="3"/>
      <c r="K168" s="3">
        <v>280</v>
      </c>
      <c r="L168" s="103"/>
      <c r="M168" s="3"/>
      <c r="N168" s="103"/>
      <c r="O168" s="108"/>
      <c r="P168" s="9"/>
      <c r="Q168" s="9"/>
      <c r="R168" s="9"/>
      <c r="S168" s="9"/>
    </row>
    <row r="169" spans="1:19" ht="13.95" customHeight="1">
      <c r="A169" s="1"/>
      <c r="B169" s="1"/>
      <c r="C169" s="33"/>
      <c r="D169" s="1"/>
      <c r="E169" s="3"/>
      <c r="F169" s="4"/>
      <c r="G169" s="5"/>
      <c r="I169" s="3"/>
      <c r="J169" s="3"/>
      <c r="K169" s="3"/>
      <c r="L169" s="103"/>
      <c r="M169" s="3"/>
      <c r="N169" s="103"/>
      <c r="O169" s="108"/>
      <c r="P169" s="9"/>
      <c r="Q169" s="9"/>
      <c r="R169" s="9"/>
      <c r="S169" s="9"/>
    </row>
    <row r="170" spans="1:19" ht="13.95" customHeight="1">
      <c r="A170" s="1"/>
      <c r="B170" s="1" t="s">
        <v>97</v>
      </c>
      <c r="C170" s="34" t="s">
        <v>20</v>
      </c>
      <c r="D170" s="1"/>
      <c r="E170" s="3"/>
      <c r="F170" s="4"/>
      <c r="G170" s="5"/>
      <c r="I170" s="3"/>
      <c r="J170" s="3"/>
      <c r="K170" s="3"/>
      <c r="L170" s="103"/>
      <c r="M170" s="3"/>
      <c r="N170" s="103"/>
      <c r="O170" s="108"/>
      <c r="P170" s="9"/>
      <c r="Q170" s="9"/>
      <c r="R170" s="9"/>
      <c r="S170" s="9"/>
    </row>
    <row r="171" spans="1:19" ht="13.95" customHeight="1">
      <c r="A171" s="1"/>
      <c r="B171" s="1"/>
      <c r="C171" s="34"/>
      <c r="D171" s="1"/>
      <c r="E171" s="3"/>
      <c r="F171" s="4"/>
      <c r="G171" s="5"/>
      <c r="I171" s="3"/>
      <c r="J171" s="3"/>
      <c r="K171" s="3"/>
      <c r="L171" s="103"/>
      <c r="M171" s="3"/>
      <c r="N171" s="103"/>
      <c r="O171" s="108"/>
      <c r="P171" s="9"/>
      <c r="Q171" s="9"/>
      <c r="R171" s="9"/>
      <c r="S171" s="9"/>
    </row>
    <row r="172" spans="1:19" ht="13.95" customHeight="1">
      <c r="A172" s="1"/>
      <c r="B172" s="1"/>
      <c r="C172" s="32" t="s">
        <v>213</v>
      </c>
      <c r="D172" s="1"/>
      <c r="E172" s="3"/>
      <c r="F172" s="4"/>
      <c r="G172" s="5"/>
      <c r="I172" s="3"/>
      <c r="J172" s="3"/>
      <c r="K172" s="3"/>
      <c r="L172" s="103"/>
      <c r="M172" s="3"/>
      <c r="N172" s="103"/>
      <c r="O172" s="108"/>
      <c r="P172" s="9"/>
      <c r="Q172" s="9"/>
      <c r="R172" s="9"/>
      <c r="S172" s="9"/>
    </row>
    <row r="173" spans="1:19" ht="13.95" customHeight="1">
      <c r="A173" s="1"/>
      <c r="B173" s="1"/>
      <c r="C173" s="34"/>
      <c r="D173" s="1"/>
      <c r="E173" s="3"/>
      <c r="F173" s="4"/>
      <c r="G173" s="5"/>
      <c r="I173" s="3"/>
      <c r="J173" s="3"/>
      <c r="K173" s="3"/>
      <c r="L173" s="103"/>
      <c r="M173" s="3"/>
      <c r="N173" s="103"/>
      <c r="O173" s="108"/>
      <c r="P173" s="9"/>
      <c r="Q173" s="9"/>
      <c r="R173" s="9"/>
      <c r="S173" s="9"/>
    </row>
    <row r="174" spans="1:19" ht="27" customHeight="1">
      <c r="A174" s="1">
        <f>A168+1</f>
        <v>30</v>
      </c>
      <c r="B174" s="1"/>
      <c r="C174" s="33" t="s">
        <v>237</v>
      </c>
      <c r="D174" s="1" t="s">
        <v>1</v>
      </c>
      <c r="E174" s="3">
        <f>SUM(I174:S174)</f>
        <v>0</v>
      </c>
      <c r="F174" s="3">
        <v>375</v>
      </c>
      <c r="G174" s="5">
        <f t="shared" ref="G174" si="39">+E174*F174</f>
        <v>0</v>
      </c>
      <c r="I174" s="3"/>
      <c r="J174" s="3"/>
      <c r="K174" s="3"/>
      <c r="L174" s="103"/>
      <c r="M174" s="3"/>
      <c r="N174" s="103"/>
      <c r="O174" s="108"/>
      <c r="P174" s="9"/>
      <c r="Q174" s="9"/>
      <c r="R174" s="9"/>
      <c r="S174" s="9"/>
    </row>
    <row r="175" spans="1:19" ht="13.95" customHeight="1">
      <c r="A175" s="1"/>
      <c r="B175" s="1"/>
      <c r="C175" s="33"/>
      <c r="D175" s="1"/>
      <c r="E175" s="3"/>
      <c r="F175" s="3"/>
      <c r="G175" s="5"/>
      <c r="I175" s="3"/>
      <c r="J175" s="3"/>
      <c r="K175" s="3"/>
      <c r="L175" s="103"/>
      <c r="M175" s="3"/>
      <c r="N175" s="103"/>
      <c r="O175" s="108"/>
      <c r="P175" s="9"/>
      <c r="Q175" s="9"/>
      <c r="R175" s="9"/>
      <c r="S175" s="9"/>
    </row>
    <row r="176" spans="1:19">
      <c r="A176" s="1">
        <f>A174+1</f>
        <v>31</v>
      </c>
      <c r="B176" s="1"/>
      <c r="C176" s="33" t="s">
        <v>285</v>
      </c>
      <c r="D176" s="1" t="s">
        <v>1</v>
      </c>
      <c r="E176" s="3">
        <f>SUM(I176:S176)</f>
        <v>70</v>
      </c>
      <c r="F176" s="3">
        <v>355</v>
      </c>
      <c r="G176" s="5">
        <f t="shared" ref="G176" si="40">+E176*F176</f>
        <v>24850</v>
      </c>
      <c r="I176" s="3"/>
      <c r="J176" s="3"/>
      <c r="K176" s="3">
        <v>70</v>
      </c>
      <c r="L176" s="104"/>
      <c r="M176" s="3"/>
      <c r="N176" s="104"/>
      <c r="O176" s="108"/>
      <c r="P176" s="9"/>
      <c r="Q176" s="9"/>
      <c r="R176" s="9"/>
      <c r="S176" s="9"/>
    </row>
    <row r="177" spans="1:19" ht="13.95" customHeight="1">
      <c r="A177" s="1"/>
      <c r="B177" s="1"/>
      <c r="C177" s="33"/>
      <c r="D177" s="1"/>
      <c r="E177" s="3"/>
      <c r="F177" s="3"/>
      <c r="G177" s="5"/>
      <c r="I177" s="3"/>
      <c r="J177" s="3"/>
      <c r="K177" s="3"/>
      <c r="L177" s="103"/>
      <c r="M177" s="3"/>
      <c r="N177" s="103"/>
      <c r="O177" s="108"/>
      <c r="P177" s="9"/>
      <c r="Q177" s="9"/>
      <c r="R177" s="9"/>
      <c r="S177" s="9"/>
    </row>
    <row r="178" spans="1:19" ht="23.4" customHeight="1">
      <c r="A178" s="1">
        <f>A176+1</f>
        <v>32</v>
      </c>
      <c r="B178" s="1"/>
      <c r="C178" s="33" t="s">
        <v>243</v>
      </c>
      <c r="D178" s="1" t="s">
        <v>1</v>
      </c>
      <c r="E178" s="3">
        <f>SUM(I178:S178)</f>
        <v>187</v>
      </c>
      <c r="F178" s="3">
        <v>195</v>
      </c>
      <c r="G178" s="5">
        <f t="shared" ref="G178" si="41">+E178*F178</f>
        <v>36465</v>
      </c>
      <c r="I178" s="3">
        <v>60</v>
      </c>
      <c r="J178" s="3"/>
      <c r="K178" s="3">
        <v>67</v>
      </c>
      <c r="L178" s="103"/>
      <c r="M178" s="3"/>
      <c r="N178" s="103">
        <v>60</v>
      </c>
      <c r="O178" s="108"/>
      <c r="P178" s="9"/>
      <c r="Q178" s="9"/>
      <c r="R178" s="9"/>
      <c r="S178" s="9"/>
    </row>
    <row r="179" spans="1:19" ht="13.95" customHeight="1">
      <c r="A179" s="1"/>
      <c r="B179" s="1"/>
      <c r="C179" s="33"/>
      <c r="D179" s="1"/>
      <c r="E179" s="3"/>
      <c r="F179" s="3"/>
      <c r="G179" s="5"/>
      <c r="I179" s="3"/>
      <c r="J179" s="3"/>
      <c r="K179" s="3"/>
      <c r="L179" s="103"/>
      <c r="M179" s="3"/>
      <c r="N179" s="103"/>
      <c r="O179" s="108"/>
      <c r="P179" s="9"/>
      <c r="Q179" s="9"/>
      <c r="R179" s="9"/>
      <c r="S179" s="9"/>
    </row>
    <row r="180" spans="1:19" ht="13.95" customHeight="1">
      <c r="A180" s="1"/>
      <c r="B180" s="1"/>
      <c r="C180" s="33" t="s">
        <v>239</v>
      </c>
      <c r="D180" s="1" t="s">
        <v>1</v>
      </c>
      <c r="E180" s="3">
        <f>SUM(I180:S180)</f>
        <v>64</v>
      </c>
      <c r="F180" s="3">
        <v>155</v>
      </c>
      <c r="G180" s="5">
        <f t="shared" ref="G180" si="42">+E180*F180</f>
        <v>9920</v>
      </c>
      <c r="I180" s="3"/>
      <c r="J180" s="3"/>
      <c r="K180" s="3">
        <v>64</v>
      </c>
      <c r="L180" s="103"/>
      <c r="M180" s="3"/>
      <c r="N180" s="103"/>
      <c r="O180" s="108"/>
      <c r="P180" s="9"/>
      <c r="Q180" s="9"/>
      <c r="R180" s="9"/>
      <c r="S180" s="9"/>
    </row>
    <row r="181" spans="1:19" ht="13.95" customHeight="1">
      <c r="A181" s="1"/>
      <c r="B181" s="1"/>
      <c r="C181" s="33"/>
      <c r="D181" s="1"/>
      <c r="E181" s="3"/>
      <c r="F181" s="4"/>
      <c r="G181" s="5"/>
      <c r="I181" s="3"/>
      <c r="J181" s="3"/>
      <c r="K181" s="3"/>
      <c r="L181" s="103"/>
      <c r="M181" s="3"/>
      <c r="N181" s="103"/>
      <c r="O181" s="108"/>
      <c r="P181" s="9"/>
      <c r="Q181" s="9"/>
      <c r="R181" s="9"/>
      <c r="S181" s="9"/>
    </row>
    <row r="182" spans="1:19" ht="13.95" customHeight="1">
      <c r="A182" s="1"/>
      <c r="B182" s="1"/>
      <c r="C182" s="32" t="s">
        <v>198</v>
      </c>
      <c r="D182" s="1"/>
      <c r="E182" s="3"/>
      <c r="F182" s="4"/>
      <c r="G182" s="5"/>
      <c r="I182" s="3"/>
      <c r="J182" s="3"/>
      <c r="K182" s="3"/>
      <c r="L182" s="103"/>
      <c r="M182" s="3"/>
      <c r="N182" s="103"/>
      <c r="O182" s="108"/>
      <c r="P182" s="9"/>
      <c r="Q182" s="9"/>
      <c r="R182" s="9"/>
      <c r="S182" s="9"/>
    </row>
    <row r="183" spans="1:19" ht="13.95" customHeight="1">
      <c r="A183" s="1"/>
      <c r="B183" s="1"/>
      <c r="C183" s="33"/>
      <c r="D183" s="1"/>
      <c r="E183" s="3"/>
      <c r="F183" s="4"/>
      <c r="G183" s="5"/>
      <c r="I183" s="3"/>
      <c r="J183" s="3"/>
      <c r="K183" s="3"/>
      <c r="L183" s="103"/>
      <c r="M183" s="3"/>
      <c r="N183" s="103"/>
      <c r="O183" s="108"/>
      <c r="P183" s="9"/>
      <c r="Q183" s="9"/>
      <c r="R183" s="9"/>
      <c r="S183" s="9"/>
    </row>
    <row r="184" spans="1:19" ht="13.95" customHeight="1">
      <c r="A184" s="1">
        <f>A178+1</f>
        <v>33</v>
      </c>
      <c r="B184" s="1"/>
      <c r="C184" s="33" t="s">
        <v>199</v>
      </c>
      <c r="D184" s="1" t="s">
        <v>1</v>
      </c>
      <c r="E184" s="3">
        <f>SUM(I184:S184)</f>
        <v>26</v>
      </c>
      <c r="F184" s="3">
        <f>F174</f>
        <v>375</v>
      </c>
      <c r="G184" s="5">
        <f t="shared" ref="G184" si="43">+E184*F184</f>
        <v>9750</v>
      </c>
      <c r="I184" s="3"/>
      <c r="J184" s="3"/>
      <c r="K184" s="3"/>
      <c r="L184" s="103">
        <v>26</v>
      </c>
      <c r="M184" s="3"/>
      <c r="N184" s="103"/>
      <c r="O184" s="108"/>
      <c r="P184" s="9"/>
      <c r="Q184" s="9"/>
      <c r="R184" s="9"/>
      <c r="S184" s="9"/>
    </row>
    <row r="185" spans="1:19" ht="13.95" customHeight="1">
      <c r="A185" s="1"/>
      <c r="B185" s="1"/>
      <c r="C185" s="33"/>
      <c r="D185" s="1"/>
      <c r="E185" s="3"/>
      <c r="F185" s="3"/>
      <c r="G185" s="5"/>
      <c r="I185" s="3"/>
      <c r="J185" s="3"/>
      <c r="K185" s="3"/>
      <c r="L185" s="103"/>
      <c r="M185" s="3"/>
      <c r="N185" s="103"/>
      <c r="O185" s="108"/>
      <c r="P185" s="9"/>
      <c r="Q185" s="9"/>
      <c r="R185" s="9"/>
      <c r="S185" s="9"/>
    </row>
    <row r="186" spans="1:19" ht="13.95" customHeight="1">
      <c r="A186" s="1">
        <f>A184+1</f>
        <v>34</v>
      </c>
      <c r="B186" s="1"/>
      <c r="C186" s="33" t="s">
        <v>200</v>
      </c>
      <c r="D186" s="1" t="s">
        <v>1</v>
      </c>
      <c r="E186" s="3">
        <f>SUM(I186:S186)</f>
        <v>21</v>
      </c>
      <c r="F186" s="3">
        <v>395</v>
      </c>
      <c r="G186" s="5">
        <f t="shared" ref="G186" si="44">+E186*F186</f>
        <v>8295</v>
      </c>
      <c r="I186" s="3"/>
      <c r="J186" s="3"/>
      <c r="K186" s="3"/>
      <c r="L186" s="103">
        <v>21</v>
      </c>
      <c r="M186" s="3"/>
      <c r="N186" s="103"/>
      <c r="O186" s="108"/>
      <c r="P186" s="9"/>
      <c r="Q186" s="9"/>
      <c r="R186" s="9"/>
      <c r="S186" s="9"/>
    </row>
    <row r="187" spans="1:19" ht="13.95" customHeight="1">
      <c r="A187" s="1"/>
      <c r="B187" s="1"/>
      <c r="C187" s="33"/>
      <c r="D187" s="1"/>
      <c r="E187" s="3"/>
      <c r="F187" s="3"/>
      <c r="G187" s="5"/>
      <c r="I187" s="3"/>
      <c r="J187" s="3"/>
      <c r="K187" s="3"/>
      <c r="L187" s="103"/>
      <c r="M187" s="3"/>
      <c r="N187" s="103"/>
      <c r="O187" s="108"/>
      <c r="P187" s="9"/>
      <c r="Q187" s="9"/>
      <c r="R187" s="9"/>
      <c r="S187" s="9"/>
    </row>
    <row r="188" spans="1:19" ht="13.95" customHeight="1">
      <c r="A188" s="1">
        <f>A186+1</f>
        <v>35</v>
      </c>
      <c r="B188" s="1"/>
      <c r="C188" s="33" t="s">
        <v>214</v>
      </c>
      <c r="D188" s="1" t="s">
        <v>1</v>
      </c>
      <c r="E188" s="3">
        <f>SUM(I188:S188)</f>
        <v>14</v>
      </c>
      <c r="F188" s="3">
        <v>395</v>
      </c>
      <c r="G188" s="5">
        <f t="shared" ref="G188" si="45">+E188*F188</f>
        <v>5530</v>
      </c>
      <c r="I188" s="3"/>
      <c r="J188" s="3"/>
      <c r="K188" s="3"/>
      <c r="L188" s="103">
        <v>14</v>
      </c>
      <c r="M188" s="3"/>
      <c r="N188" s="103"/>
      <c r="O188" s="108"/>
      <c r="P188" s="9"/>
      <c r="Q188" s="9"/>
      <c r="R188" s="9"/>
      <c r="S188" s="9"/>
    </row>
    <row r="189" spans="1:19" ht="13.95" customHeight="1">
      <c r="A189" s="1"/>
      <c r="B189" s="1"/>
      <c r="C189" s="33"/>
      <c r="D189" s="1"/>
      <c r="E189" s="3"/>
      <c r="F189" s="4"/>
      <c r="G189" s="5"/>
      <c r="I189" s="3"/>
      <c r="J189" s="3"/>
      <c r="K189" s="3"/>
      <c r="L189" s="103"/>
      <c r="M189" s="3"/>
      <c r="N189" s="103"/>
      <c r="O189" s="108"/>
      <c r="P189" s="9"/>
      <c r="Q189" s="9"/>
      <c r="R189" s="9"/>
      <c r="S189" s="9"/>
    </row>
    <row r="190" spans="1:19" ht="13.95" customHeight="1">
      <c r="A190" s="9"/>
      <c r="B190" s="1" t="s">
        <v>98</v>
      </c>
      <c r="C190" s="34" t="s">
        <v>30</v>
      </c>
      <c r="D190" s="1"/>
      <c r="E190" s="3"/>
      <c r="F190" s="4"/>
      <c r="G190" s="5"/>
      <c r="I190" s="3"/>
      <c r="J190" s="3"/>
      <c r="K190" s="3"/>
      <c r="L190" s="103"/>
      <c r="M190" s="3"/>
      <c r="N190" s="103"/>
      <c r="O190" s="108"/>
      <c r="P190" s="9"/>
      <c r="Q190" s="9"/>
      <c r="R190" s="9"/>
      <c r="S190" s="9"/>
    </row>
    <row r="191" spans="1:19" ht="13.95" customHeight="1">
      <c r="A191" s="9"/>
      <c r="B191" s="1"/>
      <c r="C191" s="33"/>
      <c r="D191" s="1"/>
      <c r="E191" s="3"/>
      <c r="F191" s="4"/>
      <c r="G191" s="5"/>
      <c r="I191" s="3"/>
      <c r="J191" s="3"/>
      <c r="K191" s="3"/>
      <c r="L191" s="103"/>
      <c r="M191" s="3"/>
      <c r="N191" s="103"/>
      <c r="O191" s="108"/>
      <c r="P191" s="9"/>
      <c r="Q191" s="9"/>
      <c r="R191" s="9"/>
      <c r="S191" s="9"/>
    </row>
    <row r="192" spans="1:19" ht="13.95" customHeight="1">
      <c r="A192" s="9"/>
      <c r="B192" s="1"/>
      <c r="C192" s="33" t="s">
        <v>31</v>
      </c>
      <c r="D192" s="1"/>
      <c r="E192" s="3"/>
      <c r="F192" s="4"/>
      <c r="G192" s="5"/>
      <c r="I192" s="3"/>
      <c r="J192" s="3"/>
      <c r="K192" s="3"/>
      <c r="L192" s="103"/>
      <c r="M192" s="3"/>
      <c r="N192" s="103"/>
      <c r="O192" s="108"/>
      <c r="P192" s="9"/>
      <c r="Q192" s="9"/>
      <c r="R192" s="9"/>
      <c r="S192" s="9"/>
    </row>
    <row r="193" spans="1:19" ht="13.95" customHeight="1">
      <c r="A193" s="9"/>
      <c r="B193" s="1"/>
      <c r="C193" s="33"/>
      <c r="D193" s="1"/>
      <c r="E193" s="3"/>
      <c r="F193" s="4"/>
      <c r="G193" s="5"/>
      <c r="I193" s="3"/>
      <c r="J193" s="3"/>
      <c r="K193" s="3"/>
      <c r="L193" s="103"/>
      <c r="M193" s="3"/>
      <c r="N193" s="103"/>
      <c r="O193" s="108"/>
      <c r="P193" s="9"/>
      <c r="Q193" s="9"/>
      <c r="R193" s="9"/>
      <c r="S193" s="9"/>
    </row>
    <row r="194" spans="1:19" ht="13.95" customHeight="1">
      <c r="A194" s="9">
        <f>A188+1</f>
        <v>36</v>
      </c>
      <c r="B194" s="1"/>
      <c r="C194" s="33" t="s">
        <v>32</v>
      </c>
      <c r="D194" s="1" t="s">
        <v>51</v>
      </c>
      <c r="E194" s="3">
        <f>SUM(I194:S194)</f>
        <v>2.5999999999999996</v>
      </c>
      <c r="F194" s="3">
        <v>35000</v>
      </c>
      <c r="G194" s="5">
        <f t="shared" ref="G194" si="46">+E194*F194</f>
        <v>90999.999999999985</v>
      </c>
      <c r="I194" s="4">
        <v>0.7</v>
      </c>
      <c r="J194" s="4"/>
      <c r="K194" s="4"/>
      <c r="L194" s="103"/>
      <c r="M194" s="4"/>
      <c r="N194" s="103">
        <v>1.9</v>
      </c>
      <c r="O194" s="108"/>
      <c r="P194" s="9"/>
      <c r="Q194" s="9"/>
      <c r="R194" s="9"/>
      <c r="S194" s="9"/>
    </row>
    <row r="195" spans="1:19" ht="13.95" customHeight="1">
      <c r="A195" s="9"/>
      <c r="B195" s="1"/>
      <c r="C195" s="33"/>
      <c r="D195" s="1"/>
      <c r="E195" s="4"/>
      <c r="F195" s="3"/>
      <c r="G195" s="5"/>
      <c r="I195" s="4"/>
      <c r="J195" s="4"/>
      <c r="K195" s="4"/>
      <c r="L195" s="103"/>
      <c r="M195" s="4"/>
      <c r="N195" s="103"/>
      <c r="O195" s="108"/>
      <c r="P195" s="9"/>
      <c r="Q195" s="9"/>
      <c r="R195" s="9"/>
      <c r="S195" s="9"/>
    </row>
    <row r="196" spans="1:19" ht="13.95" customHeight="1">
      <c r="A196" s="9"/>
      <c r="B196" s="1"/>
      <c r="C196" s="37" t="s">
        <v>40</v>
      </c>
      <c r="D196" s="1"/>
      <c r="E196" s="4"/>
      <c r="F196" s="3"/>
      <c r="G196" s="5"/>
      <c r="I196" s="4"/>
      <c r="J196" s="4"/>
      <c r="K196" s="4"/>
      <c r="L196" s="103"/>
      <c r="M196" s="4"/>
      <c r="N196" s="103"/>
      <c r="O196" s="108"/>
      <c r="P196" s="9"/>
      <c r="Q196" s="9"/>
      <c r="R196" s="9"/>
      <c r="S196" s="9"/>
    </row>
    <row r="197" spans="1:19" ht="13.95" customHeight="1">
      <c r="A197" s="9"/>
      <c r="B197" s="1"/>
      <c r="C197" s="33"/>
      <c r="D197" s="1"/>
      <c r="E197" s="4"/>
      <c r="F197" s="3"/>
      <c r="G197" s="5"/>
      <c r="I197" s="4"/>
      <c r="J197" s="4"/>
      <c r="K197" s="4"/>
      <c r="L197" s="103"/>
      <c r="M197" s="4"/>
      <c r="N197" s="103"/>
      <c r="O197" s="108"/>
      <c r="P197" s="9"/>
      <c r="Q197" s="9"/>
      <c r="R197" s="9"/>
      <c r="S197" s="9"/>
    </row>
    <row r="198" spans="1:19" ht="13.95" customHeight="1">
      <c r="A198" s="9">
        <f>A194+1</f>
        <v>37</v>
      </c>
      <c r="B198" s="1"/>
      <c r="C198" s="33" t="s">
        <v>32</v>
      </c>
      <c r="D198" s="1" t="s">
        <v>51</v>
      </c>
      <c r="E198" s="3">
        <f>SUM(I198:S198)</f>
        <v>0.75</v>
      </c>
      <c r="F198" s="3">
        <f>F194</f>
        <v>35000</v>
      </c>
      <c r="G198" s="5">
        <f t="shared" ref="G198" si="47">+E198*F198</f>
        <v>26250</v>
      </c>
      <c r="I198" s="4">
        <v>0.45</v>
      </c>
      <c r="J198" s="4"/>
      <c r="K198" s="4"/>
      <c r="L198" s="103"/>
      <c r="M198" s="4"/>
      <c r="N198" s="103">
        <v>0.3</v>
      </c>
      <c r="O198" s="108"/>
      <c r="P198" s="9"/>
      <c r="Q198" s="9"/>
      <c r="R198" s="9"/>
      <c r="S198" s="9"/>
    </row>
    <row r="199" spans="1:19" ht="13.95" customHeight="1">
      <c r="A199" s="1"/>
      <c r="B199" s="1"/>
      <c r="C199" s="33"/>
      <c r="D199" s="1"/>
      <c r="E199" s="3"/>
      <c r="F199" s="4"/>
      <c r="G199" s="5"/>
      <c r="I199" s="3"/>
      <c r="J199" s="3"/>
      <c r="K199" s="3"/>
      <c r="L199" s="103"/>
      <c r="M199" s="3"/>
      <c r="N199" s="103"/>
      <c r="O199" s="108"/>
      <c r="P199" s="9"/>
      <c r="Q199" s="9"/>
      <c r="R199" s="9"/>
      <c r="S199" s="9"/>
    </row>
    <row r="200" spans="1:19" ht="20.100000000000001" customHeight="1">
      <c r="A200" s="149" t="s">
        <v>66</v>
      </c>
      <c r="B200" s="150"/>
      <c r="C200" s="150"/>
      <c r="D200" s="150"/>
      <c r="E200" s="150"/>
      <c r="F200" s="151"/>
      <c r="G200" s="111">
        <f>SUM(G154:G199)</f>
        <v>3863317.0249999999</v>
      </c>
      <c r="I200" s="9"/>
      <c r="J200" s="9"/>
      <c r="K200" s="9"/>
      <c r="L200" s="103"/>
      <c r="M200" s="9"/>
      <c r="N200" s="103"/>
      <c r="O200" s="108"/>
      <c r="P200" s="9"/>
      <c r="Q200" s="9"/>
      <c r="R200" s="9"/>
      <c r="S200" s="9"/>
    </row>
    <row r="201" spans="1:19" ht="13.95" customHeight="1">
      <c r="A201" s="39"/>
      <c r="B201" s="39"/>
      <c r="C201" s="39"/>
      <c r="D201" s="39"/>
      <c r="E201" s="39"/>
      <c r="F201" s="39"/>
      <c r="G201" s="112"/>
      <c r="I201" s="9"/>
      <c r="J201" s="9"/>
      <c r="K201" s="9"/>
      <c r="L201" s="103"/>
      <c r="M201" s="9"/>
      <c r="N201" s="103"/>
      <c r="O201" s="108"/>
      <c r="P201" s="9"/>
      <c r="Q201" s="9"/>
      <c r="R201" s="9"/>
      <c r="S201" s="9"/>
    </row>
    <row r="202" spans="1:19" ht="13.95" customHeight="1">
      <c r="A202" s="50"/>
      <c r="B202" s="50"/>
      <c r="C202" s="50"/>
      <c r="D202" s="50"/>
      <c r="E202" s="50"/>
      <c r="F202" s="50"/>
      <c r="G202" s="112"/>
      <c r="I202" s="9"/>
      <c r="J202" s="9"/>
      <c r="K202" s="9"/>
      <c r="L202" s="103"/>
      <c r="M202" s="9"/>
      <c r="N202" s="103"/>
      <c r="O202" s="108"/>
      <c r="P202" s="9"/>
      <c r="Q202" s="9"/>
      <c r="R202" s="9"/>
      <c r="S202" s="9"/>
    </row>
    <row r="203" spans="1:19" ht="24" customHeight="1">
      <c r="A203" s="44" t="s">
        <v>8</v>
      </c>
      <c r="B203" s="48" t="s">
        <v>9</v>
      </c>
      <c r="C203" s="44" t="s">
        <v>10</v>
      </c>
      <c r="D203" s="48" t="s">
        <v>11</v>
      </c>
      <c r="E203" s="48" t="s">
        <v>59</v>
      </c>
      <c r="F203" s="49" t="s">
        <v>12</v>
      </c>
      <c r="G203" s="111" t="s">
        <v>13</v>
      </c>
      <c r="I203" s="9"/>
      <c r="J203" s="9"/>
      <c r="K203" s="9"/>
      <c r="L203" s="103"/>
      <c r="M203" s="9"/>
      <c r="N203" s="103"/>
      <c r="O203" s="108"/>
      <c r="P203" s="9"/>
      <c r="Q203" s="9"/>
      <c r="R203" s="9"/>
      <c r="S203" s="9"/>
    </row>
    <row r="204" spans="1:19" ht="20.100000000000001" customHeight="1">
      <c r="A204" s="149" t="s">
        <v>67</v>
      </c>
      <c r="B204" s="150"/>
      <c r="C204" s="150"/>
      <c r="D204" s="150"/>
      <c r="E204" s="150"/>
      <c r="F204" s="151"/>
      <c r="G204" s="111">
        <f>+G200</f>
        <v>3863317.0249999999</v>
      </c>
      <c r="I204" s="9"/>
      <c r="J204" s="9"/>
      <c r="K204" s="9"/>
      <c r="L204" s="103"/>
      <c r="M204" s="9"/>
      <c r="N204" s="103"/>
      <c r="O204" s="108"/>
      <c r="P204" s="9"/>
      <c r="Q204" s="9"/>
      <c r="R204" s="9"/>
      <c r="S204" s="9"/>
    </row>
    <row r="205" spans="1:19" ht="13.95" customHeight="1">
      <c r="A205" s="120"/>
      <c r="B205" s="120"/>
      <c r="C205" s="120"/>
      <c r="D205" s="120"/>
      <c r="E205" s="120"/>
      <c r="F205" s="120"/>
      <c r="G205" s="121"/>
      <c r="I205" s="9"/>
      <c r="J205" s="9"/>
      <c r="K205" s="9"/>
      <c r="L205" s="103"/>
      <c r="M205" s="9"/>
      <c r="N205" s="103"/>
      <c r="O205" s="108"/>
      <c r="P205" s="9"/>
      <c r="Q205" s="9"/>
      <c r="R205" s="9"/>
      <c r="S205" s="9"/>
    </row>
    <row r="206" spans="1:19" ht="24.6" customHeight="1">
      <c r="A206" s="9"/>
      <c r="B206" s="1" t="s">
        <v>99</v>
      </c>
      <c r="C206" s="34" t="s">
        <v>63</v>
      </c>
      <c r="D206" s="1"/>
      <c r="E206" s="3"/>
      <c r="F206" s="4"/>
      <c r="G206" s="5"/>
      <c r="I206" s="9"/>
      <c r="J206" s="9"/>
      <c r="K206" s="9"/>
      <c r="L206" s="103"/>
      <c r="M206" s="9"/>
      <c r="N206" s="103"/>
      <c r="O206" s="108"/>
      <c r="P206" s="9"/>
      <c r="Q206" s="9"/>
      <c r="R206" s="9"/>
      <c r="S206" s="9"/>
    </row>
    <row r="207" spans="1:19" ht="13.95" customHeight="1">
      <c r="A207" s="9"/>
      <c r="B207" s="1"/>
      <c r="C207" s="34"/>
      <c r="D207" s="1"/>
      <c r="E207" s="3"/>
      <c r="F207" s="4"/>
      <c r="G207" s="5"/>
      <c r="I207" s="9"/>
      <c r="J207" s="9"/>
      <c r="K207" s="9"/>
      <c r="L207" s="103"/>
      <c r="M207" s="9"/>
      <c r="N207" s="103"/>
      <c r="O207" s="108"/>
      <c r="P207" s="9"/>
      <c r="Q207" s="9"/>
      <c r="R207" s="9"/>
      <c r="S207" s="9"/>
    </row>
    <row r="208" spans="1:19" ht="22.95" customHeight="1">
      <c r="A208" s="9"/>
      <c r="B208" s="1"/>
      <c r="C208" s="34" t="s">
        <v>58</v>
      </c>
      <c r="D208" s="1"/>
      <c r="E208" s="3"/>
      <c r="F208" s="4"/>
      <c r="G208" s="5"/>
      <c r="I208" s="9"/>
      <c r="J208" s="9"/>
      <c r="K208" s="9"/>
      <c r="L208" s="103"/>
      <c r="M208" s="9"/>
      <c r="N208" s="103"/>
      <c r="O208" s="108"/>
      <c r="P208" s="9"/>
      <c r="Q208" s="9"/>
      <c r="R208" s="9"/>
      <c r="S208" s="9"/>
    </row>
    <row r="209" spans="1:19" ht="13.95" customHeight="1">
      <c r="A209" s="9"/>
      <c r="B209" s="1"/>
      <c r="C209" s="33"/>
      <c r="D209" s="1"/>
      <c r="E209" s="3"/>
      <c r="F209" s="4"/>
      <c r="G209" s="5"/>
      <c r="I209" s="9"/>
      <c r="J209" s="9"/>
      <c r="K209" s="9"/>
      <c r="L209" s="103"/>
      <c r="M209" s="9"/>
      <c r="N209" s="103"/>
      <c r="O209" s="108"/>
      <c r="P209" s="9"/>
      <c r="Q209" s="9"/>
      <c r="R209" s="9"/>
      <c r="S209" s="9"/>
    </row>
    <row r="210" spans="1:19" ht="46.2" customHeight="1">
      <c r="A210" s="9">
        <f>A198+1</f>
        <v>38</v>
      </c>
      <c r="B210" s="1"/>
      <c r="C210" s="33" t="s">
        <v>240</v>
      </c>
      <c r="D210" s="1" t="s">
        <v>6</v>
      </c>
      <c r="E210" s="3">
        <f>SUM(I210:S210)</f>
        <v>164</v>
      </c>
      <c r="F210" s="3">
        <v>275</v>
      </c>
      <c r="G210" s="5">
        <f t="shared" ref="G210" si="48">+E210*F210</f>
        <v>45100</v>
      </c>
      <c r="I210" s="9">
        <v>100</v>
      </c>
      <c r="J210" s="9"/>
      <c r="K210" s="9"/>
      <c r="L210" s="103"/>
      <c r="M210" s="9"/>
      <c r="N210" s="103">
        <v>64</v>
      </c>
      <c r="O210" s="108"/>
      <c r="P210" s="9"/>
      <c r="Q210" s="9"/>
      <c r="R210" s="9"/>
      <c r="S210" s="9"/>
    </row>
    <row r="211" spans="1:19" ht="13.95" customHeight="1">
      <c r="A211" s="9"/>
      <c r="B211" s="1"/>
      <c r="C211" s="33"/>
      <c r="D211" s="1"/>
      <c r="E211" s="3"/>
      <c r="F211" s="3"/>
      <c r="G211" s="5"/>
      <c r="I211" s="9"/>
      <c r="J211" s="9"/>
      <c r="K211" s="9"/>
      <c r="L211" s="103"/>
      <c r="M211" s="9"/>
      <c r="N211" s="103"/>
      <c r="O211" s="108"/>
      <c r="P211" s="9"/>
      <c r="Q211" s="9"/>
      <c r="R211" s="9"/>
      <c r="S211" s="9"/>
    </row>
    <row r="212" spans="1:19" ht="48" customHeight="1">
      <c r="A212" s="9">
        <f>A210+1</f>
        <v>39</v>
      </c>
      <c r="B212" s="1"/>
      <c r="C212" s="33" t="s">
        <v>227</v>
      </c>
      <c r="D212" s="1" t="s">
        <v>6</v>
      </c>
      <c r="E212" s="3">
        <f>SUM(I212:S212)</f>
        <v>0</v>
      </c>
      <c r="F212" s="3">
        <v>975</v>
      </c>
      <c r="G212" s="5">
        <f t="shared" ref="G212" si="49">+E212*F212</f>
        <v>0</v>
      </c>
      <c r="I212" s="45"/>
      <c r="J212" s="45"/>
      <c r="K212" s="45"/>
      <c r="L212" s="103"/>
      <c r="M212" s="45"/>
      <c r="N212" s="103"/>
      <c r="O212" s="108"/>
      <c r="P212" s="9"/>
      <c r="Q212" s="9"/>
      <c r="R212" s="9"/>
      <c r="S212" s="9"/>
    </row>
    <row r="213" spans="1:19" ht="12.6" customHeight="1">
      <c r="A213" s="9"/>
      <c r="B213" s="1"/>
      <c r="C213" s="33"/>
      <c r="D213" s="1"/>
      <c r="E213" s="3"/>
      <c r="F213" s="4"/>
      <c r="G213" s="5"/>
      <c r="I213" s="9"/>
      <c r="J213" s="9"/>
      <c r="K213" s="9"/>
      <c r="L213" s="103"/>
      <c r="M213" s="9"/>
      <c r="N213" s="103"/>
      <c r="O213" s="108"/>
      <c r="P213" s="9"/>
      <c r="Q213" s="9"/>
      <c r="R213" s="9"/>
      <c r="S213" s="9"/>
    </row>
    <row r="214" spans="1:19" ht="13.95" customHeight="1">
      <c r="A214" s="1"/>
      <c r="B214" s="1" t="s">
        <v>103</v>
      </c>
      <c r="C214" s="34" t="s">
        <v>7</v>
      </c>
      <c r="D214" s="1"/>
      <c r="E214" s="3"/>
      <c r="F214" s="4"/>
      <c r="G214" s="5"/>
      <c r="I214" s="9"/>
      <c r="J214" s="9"/>
      <c r="K214" s="9"/>
      <c r="L214" s="103"/>
      <c r="M214" s="9"/>
      <c r="N214" s="103"/>
      <c r="O214" s="108"/>
      <c r="P214" s="9"/>
      <c r="Q214" s="9"/>
      <c r="R214" s="9"/>
      <c r="S214" s="9"/>
    </row>
    <row r="215" spans="1:19" ht="13.95" customHeight="1">
      <c r="A215" s="1"/>
      <c r="B215" s="1"/>
      <c r="C215" s="33"/>
      <c r="D215" s="1"/>
      <c r="E215" s="3"/>
      <c r="F215" s="4"/>
      <c r="G215" s="5"/>
      <c r="I215" s="9"/>
      <c r="J215" s="9"/>
      <c r="K215" s="9"/>
      <c r="L215" s="103"/>
      <c r="M215" s="9"/>
      <c r="N215" s="103"/>
      <c r="O215" s="108"/>
      <c r="P215" s="9"/>
      <c r="Q215" s="9"/>
      <c r="R215" s="9"/>
      <c r="S215" s="9"/>
    </row>
    <row r="216" spans="1:19" ht="13.95" customHeight="1">
      <c r="A216" s="1"/>
      <c r="B216" s="1"/>
      <c r="C216" s="33" t="s">
        <v>68</v>
      </c>
      <c r="D216" s="1"/>
      <c r="E216" s="3"/>
      <c r="F216" s="4"/>
      <c r="G216" s="5"/>
      <c r="I216" s="9"/>
      <c r="J216" s="9"/>
      <c r="K216" s="9"/>
      <c r="L216" s="103"/>
      <c r="M216" s="9"/>
      <c r="N216" s="103"/>
      <c r="O216" s="108"/>
      <c r="P216" s="9"/>
      <c r="Q216" s="9"/>
      <c r="R216" s="9"/>
      <c r="S216" s="9"/>
    </row>
    <row r="217" spans="1:19" ht="13.95" customHeight="1">
      <c r="A217" s="1"/>
      <c r="B217" s="1"/>
      <c r="C217" s="33"/>
      <c r="D217" s="1"/>
      <c r="E217" s="3"/>
      <c r="F217" s="4"/>
      <c r="G217" s="5"/>
      <c r="I217" s="9"/>
      <c r="J217" s="9"/>
      <c r="K217" s="9"/>
      <c r="L217" s="103"/>
      <c r="M217" s="9"/>
      <c r="N217" s="103"/>
      <c r="O217" s="108"/>
      <c r="P217" s="9"/>
      <c r="Q217" s="9"/>
      <c r="R217" s="9"/>
      <c r="S217" s="9"/>
    </row>
    <row r="218" spans="1:19" ht="22.95" customHeight="1">
      <c r="A218" s="1">
        <f>A212+1</f>
        <v>40</v>
      </c>
      <c r="B218" s="1"/>
      <c r="C218" s="33" t="s">
        <v>197</v>
      </c>
      <c r="D218" s="1" t="s">
        <v>60</v>
      </c>
      <c r="E218" s="3">
        <f>SUM(I218:S218)</f>
        <v>280</v>
      </c>
      <c r="F218" s="13">
        <v>165</v>
      </c>
      <c r="G218" s="5">
        <f t="shared" ref="G218" si="50">+E218*F218</f>
        <v>46200</v>
      </c>
      <c r="I218" s="9"/>
      <c r="J218" s="9"/>
      <c r="K218" s="9">
        <v>280</v>
      </c>
      <c r="L218" s="103"/>
      <c r="M218" s="9"/>
      <c r="N218" s="103"/>
      <c r="O218" s="108"/>
      <c r="P218" s="9"/>
      <c r="Q218" s="9"/>
      <c r="R218" s="9"/>
      <c r="S218" s="9"/>
    </row>
    <row r="219" spans="1:19" ht="13.95" customHeight="1">
      <c r="A219" s="1"/>
      <c r="B219" s="1"/>
      <c r="C219" s="33"/>
      <c r="D219" s="35"/>
      <c r="E219" s="3"/>
      <c r="F219" s="4"/>
      <c r="G219" s="5"/>
      <c r="I219" s="9"/>
      <c r="J219" s="9"/>
      <c r="K219" s="9"/>
      <c r="L219" s="103"/>
      <c r="M219" s="9"/>
      <c r="N219" s="103"/>
      <c r="O219" s="108"/>
      <c r="P219" s="9"/>
      <c r="Q219" s="9"/>
      <c r="R219" s="9"/>
      <c r="S219" s="9"/>
    </row>
    <row r="220" spans="1:19" ht="13.95" customHeight="1">
      <c r="A220" s="1"/>
      <c r="B220" s="1"/>
      <c r="C220" s="46" t="s">
        <v>231</v>
      </c>
      <c r="D220" s="1"/>
      <c r="E220" s="3"/>
      <c r="F220" s="4"/>
      <c r="G220" s="5"/>
      <c r="I220" s="9"/>
      <c r="J220" s="9"/>
      <c r="K220" s="9"/>
      <c r="L220" s="103"/>
      <c r="M220" s="9"/>
      <c r="N220" s="103"/>
      <c r="O220" s="108"/>
      <c r="P220" s="9"/>
      <c r="Q220" s="9"/>
      <c r="R220" s="9"/>
      <c r="S220" s="9"/>
    </row>
    <row r="221" spans="1:19" ht="13.95" customHeight="1">
      <c r="A221" s="1"/>
      <c r="B221" s="1"/>
      <c r="C221" s="47"/>
      <c r="D221" s="35"/>
      <c r="E221" s="3"/>
      <c r="F221" s="4"/>
      <c r="G221" s="5"/>
      <c r="I221" s="9"/>
      <c r="J221" s="9"/>
      <c r="K221" s="9"/>
      <c r="L221" s="103"/>
      <c r="M221" s="9"/>
      <c r="N221" s="103"/>
      <c r="O221" s="108"/>
      <c r="P221" s="9"/>
      <c r="Q221" s="9"/>
      <c r="R221" s="9"/>
      <c r="S221" s="9"/>
    </row>
    <row r="222" spans="1:19" ht="49.2" customHeight="1">
      <c r="A222" s="1">
        <f>A218+1</f>
        <v>41</v>
      </c>
      <c r="B222" s="1"/>
      <c r="C222" s="55" t="s">
        <v>75</v>
      </c>
      <c r="D222" s="1" t="s">
        <v>51</v>
      </c>
      <c r="E222" s="3">
        <f>SUM(I222:S222)</f>
        <v>0</v>
      </c>
      <c r="F222" s="3">
        <v>1185</v>
      </c>
      <c r="G222" s="5">
        <f t="shared" ref="G222" si="51">+E222*F222</f>
        <v>0</v>
      </c>
      <c r="I222" s="9"/>
      <c r="J222" s="9"/>
      <c r="K222" s="9"/>
      <c r="L222" s="103"/>
      <c r="M222" s="9"/>
      <c r="N222" s="103"/>
      <c r="O222" s="108"/>
      <c r="P222" s="9"/>
      <c r="Q222" s="9"/>
      <c r="R222" s="9"/>
      <c r="S222" s="9"/>
    </row>
    <row r="223" spans="1:19" ht="10.5" customHeight="1">
      <c r="A223" s="1"/>
      <c r="B223" s="1"/>
      <c r="C223" s="55"/>
      <c r="D223" s="35"/>
      <c r="E223" s="3"/>
      <c r="F223" s="4"/>
      <c r="G223" s="5"/>
      <c r="I223" s="9"/>
      <c r="J223" s="9"/>
      <c r="K223" s="9"/>
      <c r="L223" s="103"/>
      <c r="M223" s="9"/>
      <c r="N223" s="103"/>
      <c r="O223" s="108"/>
      <c r="P223" s="9"/>
      <c r="Q223" s="9"/>
      <c r="R223" s="9"/>
      <c r="S223" s="9"/>
    </row>
    <row r="224" spans="1:19" ht="13.95" customHeight="1">
      <c r="A224" s="1"/>
      <c r="B224" s="1"/>
      <c r="C224" s="56" t="s">
        <v>230</v>
      </c>
      <c r="D224" s="9"/>
      <c r="E224" s="9"/>
      <c r="F224" s="122"/>
      <c r="G224" s="5"/>
      <c r="I224" s="9"/>
      <c r="J224" s="9"/>
      <c r="K224" s="9"/>
      <c r="L224" s="103"/>
      <c r="M224" s="9"/>
      <c r="N224" s="103"/>
      <c r="O224" s="108"/>
      <c r="P224" s="9"/>
      <c r="Q224" s="9"/>
      <c r="R224" s="9"/>
      <c r="S224" s="9"/>
    </row>
    <row r="225" spans="1:19" ht="9.75" customHeight="1">
      <c r="A225" s="1"/>
      <c r="B225" s="1"/>
      <c r="C225" s="57"/>
      <c r="D225" s="9"/>
      <c r="E225" s="9"/>
      <c r="F225" s="122"/>
      <c r="G225" s="5"/>
      <c r="I225" s="9"/>
      <c r="J225" s="9"/>
      <c r="K225" s="9"/>
      <c r="L225" s="103"/>
      <c r="M225" s="9"/>
      <c r="N225" s="103"/>
      <c r="O225" s="108"/>
      <c r="P225" s="9"/>
      <c r="Q225" s="9"/>
      <c r="R225" s="9"/>
      <c r="S225" s="9"/>
    </row>
    <row r="226" spans="1:19" ht="48" customHeight="1">
      <c r="A226" s="1"/>
      <c r="B226" s="1"/>
      <c r="C226" s="33" t="s">
        <v>242</v>
      </c>
      <c r="D226" s="57"/>
      <c r="E226" s="57"/>
      <c r="F226" s="57"/>
      <c r="G226" s="5"/>
      <c r="I226" s="9"/>
      <c r="J226" s="9"/>
      <c r="K226" s="9"/>
      <c r="L226" s="103"/>
      <c r="M226" s="9"/>
      <c r="N226" s="103"/>
      <c r="O226" s="108"/>
      <c r="P226" s="9"/>
      <c r="Q226" s="9"/>
      <c r="R226" s="9"/>
      <c r="S226" s="9"/>
    </row>
    <row r="227" spans="1:19" ht="13.95" customHeight="1">
      <c r="A227" s="1"/>
      <c r="B227" s="1"/>
      <c r="C227" s="33"/>
      <c r="D227" s="9"/>
      <c r="E227" s="9"/>
      <c r="F227" s="122"/>
      <c r="G227" s="5"/>
      <c r="I227" s="9"/>
      <c r="J227" s="9"/>
      <c r="K227" s="9"/>
      <c r="L227" s="103"/>
      <c r="M227" s="9"/>
      <c r="N227" s="103"/>
      <c r="O227" s="108"/>
      <c r="P227" s="9"/>
      <c r="Q227" s="9"/>
      <c r="R227" s="9"/>
      <c r="S227" s="9"/>
    </row>
    <row r="228" spans="1:19" ht="25.95" customHeight="1">
      <c r="A228" s="1"/>
      <c r="B228" s="1"/>
      <c r="C228" s="33" t="s">
        <v>232</v>
      </c>
      <c r="D228" s="9"/>
      <c r="E228" s="9"/>
      <c r="F228" s="122"/>
      <c r="G228" s="5"/>
      <c r="I228" s="9"/>
      <c r="J228" s="9"/>
      <c r="K228" s="9"/>
      <c r="L228" s="103"/>
      <c r="M228" s="9"/>
      <c r="N228" s="103"/>
      <c r="O228" s="108"/>
      <c r="P228" s="9"/>
      <c r="Q228" s="9"/>
      <c r="R228" s="9"/>
      <c r="S228" s="9"/>
    </row>
    <row r="229" spans="1:19" ht="13.95" customHeight="1">
      <c r="A229" s="1"/>
      <c r="B229" s="1"/>
      <c r="C229" s="33"/>
      <c r="D229" s="9"/>
      <c r="E229" s="9"/>
      <c r="F229" s="122"/>
      <c r="G229" s="5"/>
      <c r="I229" s="9"/>
      <c r="J229" s="9"/>
      <c r="K229" s="9"/>
      <c r="L229" s="103"/>
      <c r="M229" s="9"/>
      <c r="N229" s="103"/>
      <c r="O229" s="108"/>
      <c r="P229" s="9"/>
      <c r="Q229" s="9"/>
      <c r="R229" s="9"/>
      <c r="S229" s="9"/>
    </row>
    <row r="230" spans="1:19" ht="38.4" customHeight="1">
      <c r="A230" s="1">
        <f>A222+1</f>
        <v>42</v>
      </c>
      <c r="B230" s="1"/>
      <c r="C230" s="33" t="s">
        <v>233</v>
      </c>
      <c r="D230" s="9" t="s">
        <v>1</v>
      </c>
      <c r="E230" s="3">
        <f>SUM(I230:S230)</f>
        <v>8</v>
      </c>
      <c r="F230" s="144">
        <v>775</v>
      </c>
      <c r="G230" s="5">
        <f t="shared" ref="G230" si="52">+E230*F230</f>
        <v>6200</v>
      </c>
      <c r="I230" s="9"/>
      <c r="J230" s="9"/>
      <c r="K230" s="9"/>
      <c r="L230" s="103"/>
      <c r="M230" s="9">
        <v>8</v>
      </c>
      <c r="N230" s="103"/>
      <c r="O230" s="108"/>
      <c r="P230" s="9"/>
      <c r="Q230" s="9"/>
      <c r="R230" s="9"/>
      <c r="S230" s="9"/>
    </row>
    <row r="231" spans="1:19" ht="13.95" customHeight="1">
      <c r="A231" s="1"/>
      <c r="B231" s="1"/>
      <c r="C231" s="33"/>
      <c r="D231" s="9"/>
      <c r="E231" s="9"/>
      <c r="F231" s="144"/>
      <c r="G231" s="5"/>
      <c r="I231" s="9"/>
      <c r="J231" s="9"/>
      <c r="K231" s="9"/>
      <c r="L231" s="103"/>
      <c r="M231" s="9"/>
      <c r="N231" s="103"/>
      <c r="O231" s="108"/>
      <c r="P231" s="9"/>
      <c r="Q231" s="9"/>
      <c r="R231" s="9"/>
      <c r="S231" s="9"/>
    </row>
    <row r="232" spans="1:19" ht="25.95" customHeight="1">
      <c r="A232" s="1">
        <f>A230+1</f>
        <v>43</v>
      </c>
      <c r="B232" s="1"/>
      <c r="C232" s="33" t="s">
        <v>228</v>
      </c>
      <c r="D232" s="9" t="s">
        <v>6</v>
      </c>
      <c r="E232" s="3">
        <f>SUM(I232:S232)</f>
        <v>0</v>
      </c>
      <c r="F232" s="144">
        <v>275</v>
      </c>
      <c r="G232" s="5">
        <f t="shared" ref="G232" si="53">+E232*F232</f>
        <v>0</v>
      </c>
      <c r="I232" s="9"/>
      <c r="J232" s="9"/>
      <c r="K232" s="9"/>
      <c r="L232" s="103"/>
      <c r="M232" s="9"/>
      <c r="N232" s="103"/>
      <c r="O232" s="108"/>
      <c r="P232" s="9"/>
      <c r="Q232" s="9"/>
      <c r="R232" s="9"/>
      <c r="S232" s="9"/>
    </row>
    <row r="233" spans="1:19" ht="9" customHeight="1">
      <c r="A233" s="1"/>
      <c r="B233" s="1"/>
      <c r="C233" s="33"/>
      <c r="D233" s="9"/>
      <c r="E233" s="9"/>
      <c r="F233" s="144"/>
      <c r="G233" s="5"/>
      <c r="I233" s="9"/>
      <c r="J233" s="9"/>
      <c r="K233" s="9"/>
      <c r="L233" s="103"/>
      <c r="M233" s="9"/>
      <c r="N233" s="103"/>
      <c r="O233" s="108"/>
      <c r="P233" s="9"/>
      <c r="Q233" s="9"/>
      <c r="R233" s="9"/>
      <c r="S233" s="9"/>
    </row>
    <row r="234" spans="1:19" ht="13.95" customHeight="1">
      <c r="A234" s="1">
        <f>A232+1</f>
        <v>44</v>
      </c>
      <c r="B234" s="1"/>
      <c r="C234" s="33" t="s">
        <v>229</v>
      </c>
      <c r="D234" s="9" t="s">
        <v>6</v>
      </c>
      <c r="E234" s="3">
        <f>SUM(I234:S234)</f>
        <v>0</v>
      </c>
      <c r="F234" s="144">
        <v>650</v>
      </c>
      <c r="G234" s="5">
        <f t="shared" ref="G234" si="54">+E234*F234</f>
        <v>0</v>
      </c>
      <c r="I234" s="9"/>
      <c r="J234" s="9"/>
      <c r="K234" s="9"/>
      <c r="L234" s="103"/>
      <c r="M234" s="9"/>
      <c r="N234" s="103"/>
      <c r="O234" s="108"/>
      <c r="P234" s="9"/>
      <c r="Q234" s="9"/>
      <c r="R234" s="9"/>
      <c r="S234" s="9"/>
    </row>
    <row r="235" spans="1:19" ht="11.25" customHeight="1">
      <c r="A235" s="1"/>
      <c r="B235" s="1"/>
      <c r="C235" s="17"/>
      <c r="D235" s="35"/>
      <c r="E235" s="3"/>
      <c r="F235" s="14"/>
      <c r="G235" s="5"/>
      <c r="I235" s="9"/>
      <c r="J235" s="9"/>
      <c r="K235" s="9"/>
      <c r="L235" s="103"/>
      <c r="M235" s="9"/>
      <c r="N235" s="103"/>
      <c r="O235" s="108"/>
      <c r="P235" s="9"/>
      <c r="Q235" s="9"/>
      <c r="R235" s="9"/>
      <c r="S235" s="9"/>
    </row>
    <row r="236" spans="1:19">
      <c r="A236" s="16">
        <f>+A234+1</f>
        <v>45</v>
      </c>
      <c r="B236" s="16"/>
      <c r="C236" s="47" t="s">
        <v>241</v>
      </c>
      <c r="D236" s="58" t="s">
        <v>1</v>
      </c>
      <c r="E236" s="3">
        <f>SUM(I236:S236)</f>
        <v>0</v>
      </c>
      <c r="F236" s="13">
        <v>425</v>
      </c>
      <c r="G236" s="15">
        <f t="shared" ref="G236" si="55">+E236*F236</f>
        <v>0</v>
      </c>
      <c r="I236" s="9"/>
      <c r="J236" s="9"/>
      <c r="K236" s="9"/>
      <c r="L236" s="103"/>
      <c r="M236" s="9"/>
      <c r="N236" s="103"/>
      <c r="O236" s="108"/>
      <c r="P236" s="9"/>
      <c r="Q236" s="9"/>
      <c r="R236" s="9"/>
      <c r="S236" s="9"/>
    </row>
    <row r="237" spans="1:19" ht="13.95" customHeight="1">
      <c r="A237" s="1"/>
      <c r="B237" s="1"/>
      <c r="C237" s="17"/>
      <c r="D237" s="35"/>
      <c r="E237" s="3"/>
      <c r="F237" s="14"/>
      <c r="G237" s="5"/>
      <c r="I237" s="9"/>
      <c r="J237" s="9"/>
      <c r="K237" s="9"/>
      <c r="L237" s="103"/>
      <c r="M237" s="9"/>
      <c r="N237" s="103"/>
      <c r="O237" s="108"/>
      <c r="P237" s="9"/>
      <c r="Q237" s="9"/>
      <c r="R237" s="9"/>
      <c r="S237" s="9"/>
    </row>
    <row r="238" spans="1:19" ht="20.100000000000001" customHeight="1">
      <c r="A238" s="149" t="s">
        <v>66</v>
      </c>
      <c r="B238" s="150"/>
      <c r="C238" s="150"/>
      <c r="D238" s="150"/>
      <c r="E238" s="150"/>
      <c r="F238" s="151"/>
      <c r="G238" s="111">
        <f>SUM(G204:G237)</f>
        <v>3960817.0249999999</v>
      </c>
      <c r="I238" s="9"/>
      <c r="J238" s="9"/>
      <c r="K238" s="9"/>
      <c r="L238" s="103"/>
      <c r="M238" s="9"/>
      <c r="N238" s="103"/>
      <c r="O238" s="108"/>
      <c r="P238" s="9"/>
      <c r="Q238" s="9"/>
      <c r="R238" s="9"/>
      <c r="S238" s="9"/>
    </row>
    <row r="239" spans="1:19" ht="13.95" customHeight="1">
      <c r="A239" s="39"/>
      <c r="B239" s="39"/>
      <c r="C239" s="39"/>
      <c r="D239" s="39"/>
      <c r="E239" s="39"/>
      <c r="F239" s="39"/>
      <c r="G239" s="112"/>
      <c r="I239" s="9"/>
      <c r="J239" s="9"/>
      <c r="K239" s="9"/>
      <c r="L239" s="103"/>
      <c r="M239" s="9"/>
      <c r="N239" s="103"/>
      <c r="O239" s="108"/>
      <c r="P239" s="9"/>
      <c r="Q239" s="9"/>
      <c r="R239" s="9"/>
      <c r="S239" s="9"/>
    </row>
    <row r="240" spans="1:19" ht="13.95" customHeight="1">
      <c r="A240" s="50"/>
      <c r="B240" s="50"/>
      <c r="C240" s="50"/>
      <c r="D240" s="50"/>
      <c r="E240" s="50"/>
      <c r="F240" s="50"/>
      <c r="G240" s="112"/>
      <c r="I240" s="9"/>
      <c r="J240" s="9"/>
      <c r="K240" s="9"/>
      <c r="L240" s="103"/>
      <c r="M240" s="9"/>
      <c r="N240" s="103"/>
      <c r="O240" s="108"/>
      <c r="P240" s="9"/>
      <c r="Q240" s="9"/>
      <c r="R240" s="9"/>
      <c r="S240" s="9"/>
    </row>
    <row r="241" spans="1:19" ht="21.6" customHeight="1">
      <c r="A241" s="44" t="s">
        <v>8</v>
      </c>
      <c r="B241" s="48" t="s">
        <v>9</v>
      </c>
      <c r="C241" s="44" t="s">
        <v>10</v>
      </c>
      <c r="D241" s="48" t="s">
        <v>11</v>
      </c>
      <c r="E241" s="48" t="s">
        <v>59</v>
      </c>
      <c r="F241" s="49" t="s">
        <v>12</v>
      </c>
      <c r="G241" s="111" t="s">
        <v>13</v>
      </c>
      <c r="I241" s="9"/>
      <c r="J241" s="9"/>
      <c r="K241" s="9"/>
      <c r="L241" s="103"/>
      <c r="M241" s="9"/>
      <c r="N241" s="103"/>
      <c r="O241" s="108"/>
      <c r="P241" s="9"/>
      <c r="Q241" s="9"/>
      <c r="R241" s="9"/>
      <c r="S241" s="9"/>
    </row>
    <row r="242" spans="1:19" ht="20.100000000000001" customHeight="1">
      <c r="A242" s="149" t="s">
        <v>67</v>
      </c>
      <c r="B242" s="150"/>
      <c r="C242" s="150"/>
      <c r="D242" s="150"/>
      <c r="E242" s="150"/>
      <c r="F242" s="151"/>
      <c r="G242" s="111">
        <f>+G238</f>
        <v>3960817.0249999999</v>
      </c>
      <c r="I242" s="9"/>
      <c r="J242" s="9"/>
      <c r="K242" s="9"/>
      <c r="L242" s="103"/>
      <c r="M242" s="9"/>
      <c r="N242" s="103"/>
      <c r="O242" s="108"/>
      <c r="P242" s="9"/>
      <c r="Q242" s="9"/>
      <c r="R242" s="9"/>
      <c r="S242" s="9"/>
    </row>
    <row r="243" spans="1:19" ht="13.95" customHeight="1">
      <c r="A243" s="120"/>
      <c r="B243" s="120"/>
      <c r="C243" s="120"/>
      <c r="D243" s="120"/>
      <c r="E243" s="120"/>
      <c r="F243" s="120"/>
      <c r="G243" s="121"/>
      <c r="I243" s="9"/>
      <c r="J243" s="9"/>
      <c r="K243" s="9"/>
      <c r="L243" s="103"/>
      <c r="M243" s="9"/>
      <c r="N243" s="103"/>
      <c r="O243" s="108"/>
      <c r="P243" s="9"/>
      <c r="Q243" s="9"/>
      <c r="R243" s="9"/>
      <c r="S243" s="9"/>
    </row>
    <row r="244" spans="1:19" ht="22.2" customHeight="1">
      <c r="A244" s="1"/>
      <c r="B244" s="51" t="s">
        <v>105</v>
      </c>
      <c r="C244" s="11" t="s">
        <v>204</v>
      </c>
      <c r="D244" s="40"/>
      <c r="E244" s="3"/>
      <c r="F244" s="4"/>
      <c r="G244" s="5"/>
      <c r="I244" s="9"/>
      <c r="J244" s="9"/>
      <c r="K244" s="9"/>
      <c r="L244" s="103"/>
      <c r="M244" s="9"/>
      <c r="N244" s="103"/>
      <c r="O244" s="108"/>
      <c r="P244" s="9"/>
      <c r="Q244" s="9"/>
      <c r="R244" s="9"/>
      <c r="S244" s="9"/>
    </row>
    <row r="245" spans="1:19" ht="13.95" customHeight="1">
      <c r="A245" s="1"/>
      <c r="B245" s="51"/>
      <c r="C245" s="6"/>
      <c r="D245" s="9"/>
      <c r="E245" s="3"/>
      <c r="F245" s="4"/>
      <c r="G245" s="5"/>
      <c r="I245" s="9"/>
      <c r="J245" s="9"/>
      <c r="K245" s="9"/>
      <c r="L245" s="103"/>
      <c r="M245" s="9"/>
      <c r="N245" s="103"/>
      <c r="O245" s="108"/>
      <c r="P245" s="9"/>
      <c r="Q245" s="9"/>
      <c r="R245" s="9"/>
      <c r="S245" s="9"/>
    </row>
    <row r="246" spans="1:19" ht="13.95" customHeight="1">
      <c r="A246" s="1"/>
      <c r="B246" s="51" t="s">
        <v>92</v>
      </c>
      <c r="C246" s="52" t="s">
        <v>205</v>
      </c>
      <c r="D246" s="9"/>
      <c r="E246" s="3"/>
      <c r="F246" s="4"/>
      <c r="G246" s="5"/>
      <c r="I246" s="9"/>
      <c r="J246" s="9"/>
      <c r="K246" s="9"/>
      <c r="L246" s="103"/>
      <c r="M246" s="9"/>
      <c r="N246" s="103"/>
      <c r="O246" s="108"/>
      <c r="P246" s="9"/>
      <c r="Q246" s="9"/>
      <c r="R246" s="9"/>
      <c r="S246" s="9"/>
    </row>
    <row r="247" spans="1:19" ht="13.95" customHeight="1">
      <c r="A247" s="1"/>
      <c r="B247" s="51"/>
      <c r="C247" s="6"/>
      <c r="D247" s="9"/>
      <c r="E247" s="3"/>
      <c r="F247" s="4"/>
      <c r="G247" s="5"/>
      <c r="I247" s="9"/>
      <c r="J247" s="9"/>
      <c r="K247" s="9"/>
      <c r="L247" s="103"/>
      <c r="M247" s="9"/>
      <c r="N247" s="103"/>
      <c r="O247" s="108"/>
      <c r="P247" s="9"/>
      <c r="Q247" s="9"/>
      <c r="R247" s="9"/>
      <c r="S247" s="9"/>
    </row>
    <row r="248" spans="1:19" ht="24" customHeight="1">
      <c r="A248" s="1"/>
      <c r="B248" s="51" t="s">
        <v>206</v>
      </c>
      <c r="C248" s="21" t="s">
        <v>207</v>
      </c>
      <c r="D248" s="9"/>
      <c r="E248" s="3"/>
      <c r="F248" s="3"/>
      <c r="G248" s="5"/>
      <c r="I248" s="9"/>
      <c r="J248" s="9"/>
      <c r="K248" s="9"/>
      <c r="L248" s="103"/>
      <c r="M248" s="9"/>
      <c r="N248" s="103"/>
      <c r="O248" s="108"/>
      <c r="P248" s="9"/>
      <c r="Q248" s="9"/>
      <c r="R248" s="9"/>
      <c r="S248" s="9"/>
    </row>
    <row r="249" spans="1:19" ht="13.95" customHeight="1">
      <c r="A249" s="1"/>
      <c r="B249" s="51"/>
      <c r="C249" s="6"/>
      <c r="D249" s="9"/>
      <c r="E249" s="3"/>
      <c r="F249" s="13"/>
      <c r="G249" s="5"/>
      <c r="I249" s="9"/>
      <c r="J249" s="9"/>
      <c r="K249" s="9"/>
      <c r="L249" s="103"/>
      <c r="M249" s="9"/>
      <c r="N249" s="103"/>
      <c r="O249" s="108"/>
      <c r="P249" s="9"/>
      <c r="Q249" s="9"/>
      <c r="R249" s="9"/>
      <c r="S249" s="9"/>
    </row>
    <row r="250" spans="1:19" ht="13.95" customHeight="1">
      <c r="A250" s="1">
        <f>A236+1</f>
        <v>46</v>
      </c>
      <c r="B250" s="51" t="s">
        <v>208</v>
      </c>
      <c r="C250" s="6" t="s">
        <v>21</v>
      </c>
      <c r="D250" s="9" t="s">
        <v>1</v>
      </c>
      <c r="E250" s="3">
        <f>SUM(I250:S250)</f>
        <v>0</v>
      </c>
      <c r="F250" s="13">
        <v>1950</v>
      </c>
      <c r="G250" s="5">
        <f t="shared" ref="G250" si="56">+E250*F250</f>
        <v>0</v>
      </c>
      <c r="I250" s="9"/>
      <c r="J250" s="9"/>
      <c r="K250" s="9"/>
      <c r="L250" s="103"/>
      <c r="M250" s="9"/>
      <c r="N250" s="103"/>
      <c r="O250" s="108"/>
      <c r="P250" s="9"/>
      <c r="Q250" s="9"/>
      <c r="R250" s="9"/>
      <c r="S250" s="9"/>
    </row>
    <row r="251" spans="1:19" ht="13.95" customHeight="1">
      <c r="A251" s="1"/>
      <c r="B251" s="51"/>
      <c r="C251" s="6"/>
      <c r="D251" s="9"/>
      <c r="E251" s="3"/>
      <c r="F251" s="13"/>
      <c r="G251" s="5"/>
      <c r="I251" s="9"/>
      <c r="J251" s="9"/>
      <c r="K251" s="9"/>
      <c r="L251" s="103"/>
      <c r="M251" s="9"/>
      <c r="N251" s="103"/>
      <c r="O251" s="108"/>
      <c r="P251" s="9"/>
      <c r="Q251" s="9"/>
      <c r="R251" s="9"/>
      <c r="S251" s="9"/>
    </row>
    <row r="252" spans="1:19" ht="12.6" customHeight="1">
      <c r="A252" s="1">
        <f>A250+1</f>
        <v>47</v>
      </c>
      <c r="B252" s="51" t="s">
        <v>209</v>
      </c>
      <c r="C252" s="18" t="s">
        <v>210</v>
      </c>
      <c r="D252" s="9" t="s">
        <v>6</v>
      </c>
      <c r="E252" s="3">
        <f>SUM(I252:S252)</f>
        <v>0</v>
      </c>
      <c r="F252" s="13">
        <v>350</v>
      </c>
      <c r="G252" s="5">
        <f t="shared" ref="G252" si="57">+E252*F252</f>
        <v>0</v>
      </c>
      <c r="I252" s="9"/>
      <c r="J252" s="9"/>
      <c r="K252" s="9"/>
      <c r="L252" s="103"/>
      <c r="M252" s="9"/>
      <c r="N252" s="103"/>
      <c r="O252" s="108"/>
      <c r="P252" s="9"/>
      <c r="Q252" s="9"/>
      <c r="R252" s="9"/>
      <c r="S252" s="9"/>
    </row>
    <row r="253" spans="1:19" ht="12.6" customHeight="1">
      <c r="A253" s="1"/>
      <c r="B253" s="1"/>
      <c r="C253" s="33"/>
      <c r="D253" s="35"/>
      <c r="E253" s="3"/>
      <c r="F253" s="13"/>
      <c r="G253" s="5"/>
      <c r="I253" s="9"/>
      <c r="J253" s="9"/>
      <c r="K253" s="9"/>
      <c r="L253" s="103"/>
      <c r="M253" s="9"/>
      <c r="N253" s="103"/>
      <c r="O253" s="108"/>
      <c r="P253" s="9"/>
      <c r="Q253" s="9"/>
      <c r="R253" s="9"/>
      <c r="S253" s="9"/>
    </row>
    <row r="254" spans="1:19" ht="12.6" customHeight="1">
      <c r="A254" s="1"/>
      <c r="B254" s="1"/>
      <c r="C254" s="123" t="s">
        <v>236</v>
      </c>
      <c r="D254" s="35"/>
      <c r="E254" s="3"/>
      <c r="F254" s="13"/>
      <c r="G254" s="5"/>
      <c r="I254" s="9"/>
      <c r="J254" s="9"/>
      <c r="K254" s="9"/>
      <c r="L254" s="103"/>
      <c r="M254" s="9"/>
      <c r="N254" s="103"/>
      <c r="O254" s="108"/>
      <c r="P254" s="9"/>
      <c r="Q254" s="9"/>
      <c r="R254" s="9"/>
      <c r="S254" s="9"/>
    </row>
    <row r="255" spans="1:19" ht="12.6" customHeight="1">
      <c r="A255" s="1"/>
      <c r="B255" s="1"/>
      <c r="C255" s="6"/>
      <c r="D255" s="35"/>
      <c r="E255" s="3"/>
      <c r="F255" s="13"/>
      <c r="G255" s="5"/>
      <c r="I255" s="9"/>
      <c r="J255" s="9"/>
      <c r="K255" s="9"/>
      <c r="L255" s="103"/>
      <c r="M255" s="9"/>
      <c r="N255" s="103"/>
      <c r="O255" s="108"/>
      <c r="P255" s="9"/>
      <c r="Q255" s="9"/>
      <c r="R255" s="9"/>
      <c r="S255" s="9"/>
    </row>
    <row r="256" spans="1:19" ht="12.6" customHeight="1">
      <c r="A256" s="1"/>
      <c r="B256" s="1"/>
      <c r="C256" s="124" t="s">
        <v>234</v>
      </c>
      <c r="D256" s="35"/>
      <c r="E256" s="3"/>
      <c r="F256" s="13"/>
      <c r="G256" s="5"/>
      <c r="I256" s="9"/>
      <c r="J256" s="9"/>
      <c r="K256" s="9"/>
      <c r="L256" s="103"/>
      <c r="M256" s="9"/>
      <c r="N256" s="103"/>
      <c r="O256" s="108"/>
      <c r="P256" s="9"/>
      <c r="Q256" s="9"/>
      <c r="R256" s="9"/>
      <c r="S256" s="9"/>
    </row>
    <row r="257" spans="1:19" ht="12.6" customHeight="1">
      <c r="A257" s="1"/>
      <c r="B257" s="1"/>
      <c r="C257" s="33"/>
      <c r="D257" s="35"/>
      <c r="E257" s="3"/>
      <c r="F257" s="13"/>
      <c r="G257" s="5"/>
      <c r="I257" s="9"/>
      <c r="J257" s="9"/>
      <c r="K257" s="9"/>
      <c r="L257" s="103"/>
      <c r="M257" s="9"/>
      <c r="N257" s="103"/>
      <c r="O257" s="108"/>
      <c r="P257" s="9"/>
      <c r="Q257" s="9"/>
      <c r="R257" s="9"/>
      <c r="S257" s="9"/>
    </row>
    <row r="258" spans="1:19" ht="38.4" customHeight="1">
      <c r="A258" s="1">
        <f>A252+1</f>
        <v>48</v>
      </c>
      <c r="B258" s="1"/>
      <c r="C258" s="125" t="s">
        <v>235</v>
      </c>
      <c r="D258" s="1" t="s">
        <v>60</v>
      </c>
      <c r="E258" s="3">
        <f>SUM(I258:S258)</f>
        <v>4</v>
      </c>
      <c r="F258" s="13">
        <v>3750</v>
      </c>
      <c r="G258" s="5">
        <f t="shared" ref="G258" si="58">+E258*F258</f>
        <v>15000</v>
      </c>
      <c r="I258" s="9"/>
      <c r="J258" s="9"/>
      <c r="K258" s="9"/>
      <c r="L258" s="103"/>
      <c r="M258" s="9">
        <v>4</v>
      </c>
      <c r="N258" s="103"/>
      <c r="O258" s="108"/>
      <c r="P258" s="9"/>
      <c r="Q258" s="9"/>
      <c r="R258" s="9"/>
      <c r="S258" s="9"/>
    </row>
    <row r="259" spans="1:19" ht="12.6" customHeight="1">
      <c r="A259" s="1"/>
      <c r="B259" s="1"/>
      <c r="C259" s="33"/>
      <c r="D259" s="35"/>
      <c r="E259" s="3"/>
      <c r="F259" s="13"/>
      <c r="G259" s="5"/>
      <c r="I259" s="9"/>
      <c r="J259" s="9"/>
      <c r="K259" s="9"/>
      <c r="L259" s="103"/>
      <c r="M259" s="9"/>
      <c r="N259" s="103"/>
      <c r="O259" s="108"/>
      <c r="P259" s="9"/>
      <c r="Q259" s="9"/>
      <c r="R259" s="9"/>
      <c r="S259" s="9"/>
    </row>
    <row r="260" spans="1:19" ht="13.95" customHeight="1">
      <c r="A260" s="1"/>
      <c r="B260" s="1"/>
      <c r="C260" s="34" t="s">
        <v>212</v>
      </c>
      <c r="D260" s="1" t="s">
        <v>64</v>
      </c>
      <c r="E260" s="3"/>
      <c r="F260" s="14"/>
      <c r="G260" s="5"/>
      <c r="I260" s="9"/>
      <c r="J260" s="9"/>
      <c r="K260" s="9"/>
      <c r="L260" s="103"/>
      <c r="M260" s="9"/>
      <c r="N260" s="103"/>
      <c r="O260" s="108"/>
      <c r="P260" s="9"/>
      <c r="Q260" s="9"/>
      <c r="R260" s="9"/>
      <c r="S260" s="9"/>
    </row>
    <row r="261" spans="1:19" ht="13.95" customHeight="1">
      <c r="A261" s="1"/>
      <c r="B261" s="1"/>
      <c r="C261" s="33" t="s">
        <v>64</v>
      </c>
      <c r="D261" s="1" t="s">
        <v>64</v>
      </c>
      <c r="E261" s="3"/>
      <c r="F261" s="4"/>
      <c r="G261" s="5"/>
      <c r="I261" s="9"/>
      <c r="J261" s="9"/>
      <c r="K261" s="9"/>
      <c r="L261" s="103"/>
      <c r="M261" s="9"/>
      <c r="N261" s="103"/>
      <c r="O261" s="108"/>
      <c r="P261" s="9"/>
      <c r="Q261" s="9"/>
      <c r="R261" s="9"/>
      <c r="S261" s="9"/>
    </row>
    <row r="262" spans="1:19" ht="22.2" customHeight="1">
      <c r="A262" s="1">
        <f>A258+1</f>
        <v>49</v>
      </c>
      <c r="B262" s="1"/>
      <c r="C262" s="33" t="s">
        <v>217</v>
      </c>
      <c r="D262" s="1" t="s">
        <v>60</v>
      </c>
      <c r="E262" s="3">
        <f>SUM(I262:S262)</f>
        <v>930</v>
      </c>
      <c r="F262" s="3">
        <v>885</v>
      </c>
      <c r="G262" s="5">
        <f t="shared" ref="G262" si="59">+E262*F262</f>
        <v>823050</v>
      </c>
      <c r="I262" s="9"/>
      <c r="J262" s="9"/>
      <c r="K262" s="9">
        <v>677</v>
      </c>
      <c r="L262" s="103">
        <v>245</v>
      </c>
      <c r="M262" s="9">
        <v>8</v>
      </c>
      <c r="N262" s="103"/>
      <c r="O262" s="108"/>
      <c r="P262" s="9"/>
      <c r="Q262" s="9"/>
      <c r="R262" s="9"/>
      <c r="S262" s="9"/>
    </row>
    <row r="263" spans="1:19" ht="13.95" customHeight="1">
      <c r="A263" s="1"/>
      <c r="B263" s="1"/>
      <c r="C263" s="33"/>
      <c r="D263" s="35"/>
      <c r="E263" s="3"/>
      <c r="F263" s="4"/>
      <c r="G263" s="5"/>
      <c r="I263" s="9"/>
      <c r="J263" s="9"/>
      <c r="K263" s="9"/>
      <c r="L263" s="103"/>
      <c r="M263" s="9"/>
      <c r="N263" s="103"/>
      <c r="O263" s="108"/>
      <c r="P263" s="9"/>
      <c r="Q263" s="9"/>
      <c r="R263" s="9"/>
      <c r="S263" s="9"/>
    </row>
    <row r="264" spans="1:19" ht="13.95" customHeight="1">
      <c r="A264" s="16"/>
      <c r="B264" s="76" t="s">
        <v>167</v>
      </c>
      <c r="C264" s="74" t="s">
        <v>168</v>
      </c>
      <c r="D264" s="93"/>
      <c r="E264" s="94"/>
      <c r="F264" s="14"/>
      <c r="G264" s="15"/>
      <c r="I264" s="9"/>
      <c r="J264" s="9"/>
      <c r="K264" s="9"/>
      <c r="L264" s="103"/>
      <c r="M264" s="9"/>
      <c r="N264" s="103"/>
      <c r="O264" s="108"/>
      <c r="P264" s="9"/>
      <c r="Q264" s="9"/>
      <c r="R264" s="9"/>
      <c r="S264" s="9"/>
    </row>
    <row r="265" spans="1:19" ht="13.95" customHeight="1">
      <c r="A265" s="16"/>
      <c r="B265" s="12"/>
      <c r="C265" s="75"/>
      <c r="D265" s="93"/>
      <c r="E265" s="94"/>
      <c r="F265" s="14"/>
      <c r="G265" s="15"/>
      <c r="I265" s="9"/>
      <c r="J265" s="9"/>
      <c r="K265" s="9"/>
      <c r="L265" s="103"/>
      <c r="M265" s="9"/>
      <c r="N265" s="103"/>
      <c r="O265" s="108"/>
      <c r="P265" s="9"/>
      <c r="Q265" s="9"/>
      <c r="R265" s="9"/>
      <c r="S265" s="9"/>
    </row>
    <row r="266" spans="1:19" ht="13.95" customHeight="1">
      <c r="A266" s="16"/>
      <c r="B266" s="12" t="s">
        <v>193</v>
      </c>
      <c r="C266" s="70" t="s">
        <v>164</v>
      </c>
      <c r="D266" s="12"/>
      <c r="E266" s="94"/>
      <c r="F266" s="14"/>
      <c r="G266" s="15"/>
      <c r="I266" s="9"/>
      <c r="J266" s="9"/>
      <c r="K266" s="9"/>
      <c r="L266" s="103"/>
      <c r="M266" s="9"/>
      <c r="N266" s="103"/>
      <c r="O266" s="108"/>
      <c r="P266" s="9"/>
      <c r="Q266" s="9"/>
      <c r="R266" s="9"/>
      <c r="S266" s="9"/>
    </row>
    <row r="267" spans="1:19" ht="13.95" customHeight="1">
      <c r="A267" s="16"/>
      <c r="B267" s="73"/>
      <c r="C267" s="62"/>
      <c r="D267" s="12"/>
      <c r="E267" s="94"/>
      <c r="F267" s="14"/>
      <c r="G267" s="15"/>
      <c r="I267" s="9"/>
      <c r="J267" s="9"/>
      <c r="K267" s="9"/>
      <c r="L267" s="103"/>
      <c r="M267" s="9"/>
      <c r="N267" s="103"/>
      <c r="O267" s="108"/>
      <c r="P267" s="9"/>
      <c r="Q267" s="9"/>
      <c r="R267" s="9"/>
      <c r="S267" s="9"/>
    </row>
    <row r="268" spans="1:19" ht="13.95" customHeight="1">
      <c r="A268" s="16">
        <v>50</v>
      </c>
      <c r="B268" s="73"/>
      <c r="C268" s="75" t="s">
        <v>112</v>
      </c>
      <c r="D268" s="12" t="s">
        <v>60</v>
      </c>
      <c r="E268" s="3">
        <f>SUM(I268:S268)</f>
        <v>0</v>
      </c>
      <c r="F268" s="13">
        <v>890</v>
      </c>
      <c r="G268" s="15">
        <f t="shared" ref="G268" si="60">+E268*F268</f>
        <v>0</v>
      </c>
      <c r="I268" s="9"/>
      <c r="J268" s="9"/>
      <c r="K268" s="9"/>
      <c r="L268" s="103"/>
      <c r="M268" s="9"/>
      <c r="N268" s="103"/>
      <c r="O268" s="108"/>
      <c r="P268" s="9"/>
      <c r="Q268" s="9"/>
      <c r="R268" s="9"/>
      <c r="S268" s="9"/>
    </row>
    <row r="269" spans="1:19" ht="13.95" customHeight="1">
      <c r="A269" s="16"/>
      <c r="B269" s="73"/>
      <c r="C269" s="62"/>
      <c r="D269" s="12"/>
      <c r="E269" s="94"/>
      <c r="F269" s="14"/>
      <c r="G269" s="15"/>
      <c r="I269" s="9"/>
      <c r="J269" s="9"/>
      <c r="K269" s="9"/>
      <c r="L269" s="103"/>
      <c r="M269" s="9"/>
      <c r="N269" s="103"/>
      <c r="O269" s="108"/>
      <c r="P269" s="9"/>
      <c r="Q269" s="9"/>
      <c r="R269" s="9"/>
      <c r="S269" s="9"/>
    </row>
    <row r="270" spans="1:19" ht="13.95" customHeight="1">
      <c r="A270" s="16"/>
      <c r="B270" s="12" t="s">
        <v>195</v>
      </c>
      <c r="C270" s="70" t="s">
        <v>194</v>
      </c>
      <c r="D270" s="12"/>
      <c r="E270" s="94"/>
      <c r="F270" s="14"/>
      <c r="G270" s="15"/>
      <c r="I270" s="9"/>
      <c r="J270" s="9"/>
      <c r="K270" s="9"/>
      <c r="L270" s="103"/>
      <c r="M270" s="9"/>
      <c r="N270" s="103"/>
      <c r="O270" s="108"/>
      <c r="P270" s="9"/>
      <c r="Q270" s="9"/>
      <c r="R270" s="9"/>
      <c r="S270" s="9"/>
    </row>
    <row r="271" spans="1:19" ht="13.95" customHeight="1">
      <c r="A271" s="16"/>
      <c r="B271" s="73"/>
      <c r="C271" s="62"/>
      <c r="D271" s="12"/>
      <c r="E271" s="94"/>
      <c r="F271" s="14"/>
      <c r="G271" s="15"/>
      <c r="I271" s="9"/>
      <c r="J271" s="9"/>
      <c r="K271" s="9"/>
      <c r="L271" s="103"/>
      <c r="M271" s="9"/>
      <c r="N271" s="103"/>
      <c r="O271" s="108"/>
      <c r="P271" s="9"/>
      <c r="Q271" s="9"/>
      <c r="R271" s="9"/>
      <c r="S271" s="9"/>
    </row>
    <row r="272" spans="1:19" ht="13.95" customHeight="1">
      <c r="A272" s="16">
        <v>51</v>
      </c>
      <c r="B272" s="73"/>
      <c r="C272" s="75" t="s">
        <v>165</v>
      </c>
      <c r="D272" s="12" t="s">
        <v>60</v>
      </c>
      <c r="E272" s="3">
        <f>SUM(I272:S272)</f>
        <v>0</v>
      </c>
      <c r="F272" s="14">
        <v>325</v>
      </c>
      <c r="G272" s="15">
        <f t="shared" ref="G272" si="61">+E272*F272</f>
        <v>0</v>
      </c>
      <c r="I272" s="9"/>
      <c r="J272" s="9"/>
      <c r="K272" s="9"/>
      <c r="L272" s="103"/>
      <c r="M272" s="9"/>
      <c r="N272" s="103"/>
      <c r="O272" s="108"/>
      <c r="P272" s="9"/>
      <c r="Q272" s="9"/>
      <c r="R272" s="9"/>
      <c r="S272" s="9"/>
    </row>
    <row r="273" spans="1:19" ht="13.95" customHeight="1">
      <c r="A273" s="16"/>
      <c r="B273" s="12"/>
      <c r="C273" s="75"/>
      <c r="D273" s="93"/>
      <c r="E273" s="94"/>
      <c r="F273" s="14"/>
      <c r="G273" s="15"/>
      <c r="I273" s="9"/>
      <c r="J273" s="9"/>
      <c r="K273" s="9"/>
      <c r="L273" s="103"/>
      <c r="M273" s="9"/>
      <c r="N273" s="103"/>
      <c r="O273" s="108"/>
      <c r="P273" s="9"/>
      <c r="Q273" s="9"/>
      <c r="R273" s="9"/>
      <c r="S273" s="9"/>
    </row>
    <row r="274" spans="1:19" ht="24">
      <c r="A274" s="16"/>
      <c r="B274" s="76" t="s">
        <v>169</v>
      </c>
      <c r="C274" s="46" t="s">
        <v>216</v>
      </c>
      <c r="D274" s="12"/>
      <c r="E274" s="12"/>
      <c r="F274" s="145"/>
      <c r="G274" s="15"/>
      <c r="I274" s="9"/>
      <c r="J274" s="9"/>
      <c r="K274" s="9"/>
      <c r="L274" s="103"/>
      <c r="M274" s="9"/>
      <c r="N274" s="103"/>
      <c r="O274" s="108"/>
      <c r="P274" s="9"/>
      <c r="Q274" s="9"/>
      <c r="R274" s="9"/>
      <c r="S274" s="9"/>
    </row>
    <row r="275" spans="1:19" ht="13.95" customHeight="1">
      <c r="A275" s="16"/>
      <c r="B275" s="76"/>
      <c r="C275" s="75"/>
      <c r="D275" s="12"/>
      <c r="E275" s="12"/>
      <c r="F275" s="145"/>
      <c r="G275" s="15"/>
      <c r="I275" s="9"/>
      <c r="J275" s="9"/>
      <c r="K275" s="9"/>
      <c r="L275" s="103"/>
      <c r="M275" s="9"/>
      <c r="N275" s="103"/>
      <c r="O275" s="108"/>
      <c r="P275" s="9"/>
      <c r="Q275" s="9"/>
      <c r="R275" s="9"/>
      <c r="S275" s="9"/>
    </row>
    <row r="276" spans="1:19" ht="13.95" customHeight="1">
      <c r="A276" s="16"/>
      <c r="B276" s="76" t="s">
        <v>169</v>
      </c>
      <c r="C276" s="75" t="s">
        <v>170</v>
      </c>
      <c r="D276" s="12"/>
      <c r="E276" s="12"/>
      <c r="F276" s="145"/>
      <c r="G276" s="15"/>
      <c r="I276" s="9"/>
      <c r="J276" s="9"/>
      <c r="K276" s="9"/>
      <c r="L276" s="103"/>
      <c r="M276" s="9"/>
      <c r="N276" s="103"/>
      <c r="O276" s="108"/>
      <c r="P276" s="9"/>
      <c r="Q276" s="9"/>
      <c r="R276" s="9"/>
      <c r="S276" s="9"/>
    </row>
    <row r="277" spans="1:19" ht="13.95" customHeight="1">
      <c r="A277" s="16"/>
      <c r="B277" s="76"/>
      <c r="C277" s="75"/>
      <c r="D277" s="12"/>
      <c r="E277" s="12"/>
      <c r="F277" s="145"/>
      <c r="G277" s="15"/>
      <c r="I277" s="9"/>
      <c r="J277" s="9"/>
      <c r="K277" s="9"/>
      <c r="L277" s="103"/>
      <c r="M277" s="9"/>
      <c r="N277" s="103"/>
      <c r="O277" s="108"/>
      <c r="P277" s="9"/>
      <c r="Q277" s="9"/>
      <c r="R277" s="9"/>
      <c r="S277" s="9"/>
    </row>
    <row r="278" spans="1:19" ht="13.95" customHeight="1">
      <c r="A278" s="16">
        <v>52</v>
      </c>
      <c r="B278" s="76" t="s">
        <v>171</v>
      </c>
      <c r="C278" s="75" t="s">
        <v>172</v>
      </c>
      <c r="D278" s="12" t="s">
        <v>60</v>
      </c>
      <c r="E278" s="3">
        <f>SUM(I278:S278)</f>
        <v>0</v>
      </c>
      <c r="F278" s="94">
        <v>275</v>
      </c>
      <c r="G278" s="15">
        <f t="shared" ref="G278:G299" si="62">+E278*F278</f>
        <v>0</v>
      </c>
      <c r="I278" s="9"/>
      <c r="J278" s="9"/>
      <c r="K278" s="9"/>
      <c r="L278" s="103"/>
      <c r="M278" s="9"/>
      <c r="N278" s="103"/>
      <c r="O278" s="108"/>
      <c r="P278" s="9"/>
      <c r="Q278" s="9"/>
      <c r="R278" s="9"/>
      <c r="S278" s="9"/>
    </row>
    <row r="279" spans="1:19" ht="13.95" customHeight="1">
      <c r="A279" s="16"/>
      <c r="B279" s="12"/>
      <c r="C279" s="75"/>
      <c r="D279" s="93"/>
      <c r="E279" s="94"/>
      <c r="F279" s="14"/>
      <c r="G279" s="15"/>
      <c r="I279" s="9"/>
      <c r="J279" s="9"/>
      <c r="K279" s="9"/>
      <c r="L279" s="103"/>
      <c r="M279" s="9"/>
      <c r="N279" s="103"/>
      <c r="O279" s="108"/>
      <c r="P279" s="9"/>
      <c r="Q279" s="9"/>
      <c r="R279" s="9"/>
      <c r="S279" s="9"/>
    </row>
    <row r="280" spans="1:19" ht="13.95" customHeight="1">
      <c r="A280" s="16"/>
      <c r="B280" s="12"/>
      <c r="C280" s="75"/>
      <c r="D280" s="93"/>
      <c r="E280" s="94"/>
      <c r="F280" s="14"/>
      <c r="G280" s="15"/>
      <c r="I280" s="9"/>
      <c r="J280" s="9"/>
      <c r="K280" s="9"/>
      <c r="L280" s="103"/>
      <c r="M280" s="9"/>
      <c r="N280" s="103"/>
      <c r="O280" s="108"/>
      <c r="P280" s="9"/>
      <c r="Q280" s="9"/>
      <c r="R280" s="9"/>
      <c r="S280" s="9"/>
    </row>
    <row r="281" spans="1:19" ht="13.95" customHeight="1">
      <c r="A281" s="16"/>
      <c r="B281" s="12"/>
      <c r="C281" s="75"/>
      <c r="D281" s="93"/>
      <c r="E281" s="94"/>
      <c r="F281" s="14"/>
      <c r="G281" s="15"/>
      <c r="I281" s="9"/>
      <c r="J281" s="9"/>
      <c r="K281" s="9"/>
      <c r="L281" s="103"/>
      <c r="M281" s="9"/>
      <c r="N281" s="103"/>
      <c r="O281" s="108"/>
      <c r="P281" s="9"/>
      <c r="Q281" s="9"/>
      <c r="R281" s="9"/>
      <c r="S281" s="9"/>
    </row>
    <row r="282" spans="1:19" ht="13.95" customHeight="1">
      <c r="A282" s="16"/>
      <c r="B282" s="12"/>
      <c r="C282" s="75"/>
      <c r="D282" s="93"/>
      <c r="E282" s="94"/>
      <c r="F282" s="14"/>
      <c r="G282" s="15"/>
      <c r="I282" s="9"/>
      <c r="J282" s="9"/>
      <c r="K282" s="9"/>
      <c r="L282" s="103"/>
      <c r="M282" s="9"/>
      <c r="N282" s="103"/>
      <c r="O282" s="108"/>
      <c r="P282" s="9"/>
      <c r="Q282" s="9"/>
      <c r="R282" s="9"/>
      <c r="S282" s="9"/>
    </row>
    <row r="283" spans="1:19" ht="13.95" customHeight="1">
      <c r="A283" s="16"/>
      <c r="B283" s="12"/>
      <c r="C283" s="75"/>
      <c r="D283" s="93"/>
      <c r="E283" s="94"/>
      <c r="F283" s="14"/>
      <c r="G283" s="15"/>
      <c r="I283" s="9"/>
      <c r="J283" s="9"/>
      <c r="K283" s="9"/>
      <c r="L283" s="103"/>
      <c r="M283" s="9"/>
      <c r="N283" s="103"/>
      <c r="O283" s="108"/>
      <c r="P283" s="9"/>
      <c r="Q283" s="9"/>
      <c r="R283" s="9"/>
      <c r="S283" s="9"/>
    </row>
    <row r="284" spans="1:19" ht="13.95" customHeight="1">
      <c r="A284" s="16"/>
      <c r="B284" s="12"/>
      <c r="C284" s="75"/>
      <c r="D284" s="93"/>
      <c r="E284" s="94"/>
      <c r="F284" s="14"/>
      <c r="G284" s="15"/>
      <c r="I284" s="9"/>
      <c r="J284" s="9"/>
      <c r="K284" s="9"/>
      <c r="L284" s="103"/>
      <c r="M284" s="9"/>
      <c r="N284" s="103"/>
      <c r="O284" s="108"/>
      <c r="P284" s="9"/>
      <c r="Q284" s="9"/>
      <c r="R284" s="9"/>
      <c r="S284" s="9"/>
    </row>
    <row r="285" spans="1:19" ht="13.95" customHeight="1">
      <c r="A285" s="16"/>
      <c r="B285" s="12"/>
      <c r="C285" s="75"/>
      <c r="D285" s="93"/>
      <c r="E285" s="94"/>
      <c r="F285" s="14"/>
      <c r="G285" s="15"/>
      <c r="I285" s="9"/>
      <c r="J285" s="9"/>
      <c r="K285" s="9"/>
      <c r="L285" s="103"/>
      <c r="M285" s="9"/>
      <c r="N285" s="103"/>
      <c r="O285" s="108"/>
      <c r="P285" s="9"/>
      <c r="Q285" s="9"/>
      <c r="R285" s="9"/>
      <c r="S285" s="9"/>
    </row>
    <row r="286" spans="1:19" ht="13.95" customHeight="1">
      <c r="A286" s="16"/>
      <c r="B286" s="12"/>
      <c r="C286" s="75"/>
      <c r="D286" s="93"/>
      <c r="E286" s="94"/>
      <c r="F286" s="14"/>
      <c r="G286" s="15"/>
      <c r="I286" s="9"/>
      <c r="J286" s="9"/>
      <c r="K286" s="9"/>
      <c r="L286" s="103"/>
      <c r="M286" s="9"/>
      <c r="N286" s="103"/>
      <c r="O286" s="108"/>
      <c r="P286" s="9"/>
      <c r="Q286" s="9"/>
      <c r="R286" s="9"/>
      <c r="S286" s="9"/>
    </row>
    <row r="287" spans="1:19" ht="20.100000000000001" customHeight="1">
      <c r="A287" s="149" t="s">
        <v>66</v>
      </c>
      <c r="B287" s="150"/>
      <c r="C287" s="150"/>
      <c r="D287" s="150"/>
      <c r="E287" s="150"/>
      <c r="F287" s="151"/>
      <c r="G287" s="111">
        <f>SUM(G242:G286)</f>
        <v>4798867.0250000004</v>
      </c>
      <c r="I287" s="9"/>
      <c r="J287" s="9"/>
      <c r="K287" s="9"/>
      <c r="L287" s="103"/>
      <c r="M287" s="9"/>
      <c r="N287" s="103"/>
      <c r="O287" s="108"/>
      <c r="P287" s="9"/>
      <c r="Q287" s="9"/>
      <c r="R287" s="9"/>
      <c r="S287" s="9"/>
    </row>
    <row r="288" spans="1:19" ht="13.95" customHeight="1">
      <c r="A288" s="39"/>
      <c r="B288" s="39"/>
      <c r="C288" s="39"/>
      <c r="D288" s="39"/>
      <c r="E288" s="39"/>
      <c r="F288" s="39"/>
      <c r="G288" s="112"/>
      <c r="I288" s="9"/>
      <c r="J288" s="9"/>
      <c r="K288" s="9"/>
      <c r="L288" s="103"/>
      <c r="M288" s="9"/>
      <c r="N288" s="103"/>
      <c r="O288" s="108"/>
      <c r="P288" s="9"/>
      <c r="Q288" s="9"/>
      <c r="R288" s="9"/>
      <c r="S288" s="9"/>
    </row>
    <row r="289" spans="1:20" ht="13.95" customHeight="1">
      <c r="A289" s="50"/>
      <c r="B289" s="50"/>
      <c r="C289" s="50"/>
      <c r="D289" s="50"/>
      <c r="E289" s="50"/>
      <c r="F289" s="50"/>
      <c r="G289" s="112"/>
      <c r="I289" s="9"/>
      <c r="J289" s="9"/>
      <c r="K289" s="9"/>
      <c r="L289" s="103"/>
      <c r="M289" s="9"/>
      <c r="N289" s="103"/>
      <c r="O289" s="108"/>
      <c r="P289" s="9"/>
      <c r="Q289" s="9"/>
      <c r="R289" s="9"/>
      <c r="S289" s="9"/>
    </row>
    <row r="290" spans="1:20" ht="21.6" customHeight="1">
      <c r="A290" s="44" t="s">
        <v>8</v>
      </c>
      <c r="B290" s="48" t="s">
        <v>9</v>
      </c>
      <c r="C290" s="44" t="s">
        <v>10</v>
      </c>
      <c r="D290" s="48" t="s">
        <v>11</v>
      </c>
      <c r="E290" s="48" t="s">
        <v>59</v>
      </c>
      <c r="F290" s="49" t="s">
        <v>12</v>
      </c>
      <c r="G290" s="111" t="s">
        <v>13</v>
      </c>
      <c r="I290" s="9"/>
      <c r="J290" s="9"/>
      <c r="K290" s="9"/>
      <c r="L290" s="103"/>
      <c r="M290" s="9"/>
      <c r="N290" s="103"/>
      <c r="O290" s="108"/>
      <c r="P290" s="9"/>
      <c r="Q290" s="9"/>
      <c r="R290" s="9"/>
      <c r="S290" s="9"/>
    </row>
    <row r="291" spans="1:20" ht="20.100000000000001" customHeight="1">
      <c r="A291" s="149" t="s">
        <v>67</v>
      </c>
      <c r="B291" s="150"/>
      <c r="C291" s="150"/>
      <c r="D291" s="150"/>
      <c r="E291" s="150"/>
      <c r="F291" s="151"/>
      <c r="G291" s="111">
        <f>+G287</f>
        <v>4798867.0250000004</v>
      </c>
      <c r="I291" s="9"/>
      <c r="J291" s="9"/>
      <c r="K291" s="9"/>
      <c r="L291" s="103"/>
      <c r="M291" s="9"/>
      <c r="N291" s="103"/>
      <c r="O291" s="108"/>
      <c r="P291" s="9"/>
      <c r="Q291" s="9"/>
      <c r="R291" s="9"/>
      <c r="S291" s="9"/>
    </row>
    <row r="292" spans="1:20" ht="13.95" customHeight="1">
      <c r="A292" s="16"/>
      <c r="B292" s="12"/>
      <c r="C292" s="75"/>
      <c r="D292" s="93"/>
      <c r="E292" s="94"/>
      <c r="F292" s="14"/>
      <c r="G292" s="15"/>
      <c r="I292" s="9"/>
      <c r="J292" s="9"/>
      <c r="K292" s="9"/>
      <c r="L292" s="103"/>
      <c r="M292" s="9"/>
      <c r="N292" s="103"/>
      <c r="O292" s="108"/>
      <c r="P292" s="9"/>
      <c r="Q292" s="9"/>
      <c r="R292" s="9"/>
      <c r="S292" s="9"/>
    </row>
    <row r="293" spans="1:20" ht="13.95" customHeight="1">
      <c r="A293" s="16"/>
      <c r="B293" s="12" t="s">
        <v>102</v>
      </c>
      <c r="C293" s="74" t="s">
        <v>166</v>
      </c>
      <c r="D293" s="12"/>
      <c r="E293" s="94"/>
      <c r="F293" s="14"/>
      <c r="G293" s="15"/>
      <c r="I293" s="9"/>
      <c r="J293" s="9"/>
      <c r="K293" s="9"/>
      <c r="L293" s="103"/>
      <c r="M293" s="9"/>
      <c r="N293" s="103"/>
      <c r="O293" s="108"/>
      <c r="P293" s="9"/>
      <c r="Q293" s="9"/>
      <c r="R293" s="9"/>
      <c r="S293" s="9"/>
    </row>
    <row r="294" spans="1:20" ht="13.95" customHeight="1">
      <c r="A294" s="16"/>
      <c r="B294" s="12"/>
      <c r="C294" s="95"/>
      <c r="D294" s="12"/>
      <c r="E294" s="94"/>
      <c r="F294" s="14"/>
      <c r="G294" s="15"/>
      <c r="I294" s="9"/>
      <c r="J294" s="9"/>
      <c r="K294" s="103"/>
      <c r="L294" s="103"/>
      <c r="M294" s="103"/>
      <c r="N294" s="103"/>
      <c r="O294" s="108"/>
      <c r="P294" s="9"/>
      <c r="Q294" s="9"/>
      <c r="R294" s="103"/>
      <c r="S294" s="9"/>
    </row>
    <row r="295" spans="1:20" ht="13.95" customHeight="1">
      <c r="A295" s="16"/>
      <c r="B295" s="12"/>
      <c r="C295" s="75" t="s">
        <v>78</v>
      </c>
      <c r="D295" s="12"/>
      <c r="E295" s="94"/>
      <c r="F295" s="14"/>
      <c r="G295" s="15"/>
      <c r="I295" s="103"/>
      <c r="J295" s="103"/>
      <c r="K295" s="103"/>
      <c r="L295" s="103"/>
      <c r="M295" s="103"/>
      <c r="N295" s="103"/>
      <c r="O295" s="134"/>
      <c r="P295" s="103"/>
      <c r="Q295" s="103"/>
      <c r="R295" s="103"/>
      <c r="S295" s="9"/>
    </row>
    <row r="296" spans="1:20" ht="13.95" customHeight="1">
      <c r="A296" s="16"/>
      <c r="B296" s="12"/>
      <c r="C296" s="75"/>
      <c r="D296" s="12"/>
      <c r="E296" s="94"/>
      <c r="F296" s="14"/>
      <c r="G296" s="15"/>
      <c r="I296" s="103"/>
      <c r="J296" s="103"/>
      <c r="K296" s="103"/>
      <c r="L296" s="103"/>
      <c r="M296" s="103"/>
      <c r="N296" s="103"/>
      <c r="O296" s="134"/>
      <c r="P296" s="103"/>
      <c r="Q296" s="103"/>
      <c r="R296" s="103"/>
      <c r="S296" s="9"/>
    </row>
    <row r="297" spans="1:20" ht="36">
      <c r="A297" s="16">
        <v>53</v>
      </c>
      <c r="B297" s="12"/>
      <c r="C297" s="47" t="s">
        <v>203</v>
      </c>
      <c r="D297" s="12" t="s">
        <v>6</v>
      </c>
      <c r="E297" s="3">
        <f>SUM(I297:S297)</f>
        <v>0</v>
      </c>
      <c r="F297" s="13">
        <v>16000</v>
      </c>
      <c r="G297" s="15">
        <f t="shared" si="62"/>
        <v>0</v>
      </c>
      <c r="I297" s="103"/>
      <c r="J297" s="103"/>
      <c r="K297" s="103"/>
      <c r="L297" s="103"/>
      <c r="M297" s="103"/>
      <c r="N297" s="103"/>
      <c r="O297" s="134"/>
      <c r="P297" s="103"/>
      <c r="Q297" s="103"/>
      <c r="R297" s="103"/>
      <c r="S297" s="103"/>
      <c r="T297" s="41"/>
    </row>
    <row r="298" spans="1:20" ht="13.95" customHeight="1">
      <c r="A298" s="16"/>
      <c r="B298" s="12"/>
      <c r="C298" s="75"/>
      <c r="D298" s="93"/>
      <c r="E298" s="94"/>
      <c r="F298" s="13"/>
      <c r="G298" s="15"/>
      <c r="I298" s="103"/>
      <c r="J298" s="103"/>
      <c r="K298" s="103"/>
      <c r="L298" s="103"/>
      <c r="M298" s="103"/>
      <c r="N298" s="103"/>
      <c r="O298" s="134"/>
      <c r="P298" s="103"/>
      <c r="Q298" s="103"/>
      <c r="R298" s="103"/>
      <c r="S298" s="103"/>
      <c r="T298" s="41"/>
    </row>
    <row r="299" spans="1:20" ht="36">
      <c r="A299" s="16">
        <v>54</v>
      </c>
      <c r="B299" s="12"/>
      <c r="C299" s="47" t="s">
        <v>286</v>
      </c>
      <c r="D299" s="12" t="s">
        <v>6</v>
      </c>
      <c r="E299" s="3">
        <f>SUM(I299:S299)</f>
        <v>0</v>
      </c>
      <c r="F299" s="13">
        <v>65000</v>
      </c>
      <c r="G299" s="15">
        <f t="shared" si="62"/>
        <v>0</v>
      </c>
      <c r="I299" s="103"/>
      <c r="J299" s="103"/>
      <c r="K299" s="103"/>
      <c r="L299" s="103"/>
      <c r="M299" s="103"/>
      <c r="N299" s="103"/>
      <c r="O299" s="134"/>
      <c r="P299" s="103"/>
      <c r="Q299" s="103"/>
      <c r="R299" s="103"/>
      <c r="S299" s="103"/>
      <c r="T299" s="41"/>
    </row>
    <row r="300" spans="1:20">
      <c r="A300" s="16"/>
      <c r="B300" s="12"/>
      <c r="C300" s="47"/>
      <c r="D300" s="93"/>
      <c r="E300" s="3"/>
      <c r="F300" s="13"/>
      <c r="G300" s="15"/>
      <c r="I300" s="103"/>
      <c r="J300" s="103"/>
      <c r="K300" s="103"/>
      <c r="L300" s="103"/>
      <c r="M300" s="103"/>
      <c r="N300" s="103"/>
      <c r="O300" s="134"/>
      <c r="P300" s="103"/>
      <c r="Q300" s="103"/>
      <c r="R300" s="103"/>
      <c r="S300" s="103"/>
      <c r="T300" s="41"/>
    </row>
    <row r="301" spans="1:20">
      <c r="A301" s="16"/>
      <c r="B301" s="12"/>
      <c r="C301" s="47"/>
      <c r="D301" s="93"/>
      <c r="E301" s="3"/>
      <c r="F301" s="13"/>
      <c r="G301" s="15"/>
      <c r="I301" s="103"/>
      <c r="J301" s="103"/>
      <c r="K301" s="103"/>
      <c r="L301" s="103"/>
      <c r="M301" s="103"/>
      <c r="N301" s="103"/>
      <c r="O301" s="134"/>
      <c r="P301" s="103"/>
      <c r="Q301" s="103"/>
      <c r="R301" s="103"/>
      <c r="S301" s="103"/>
      <c r="T301" s="41"/>
    </row>
    <row r="302" spans="1:20">
      <c r="A302" s="16"/>
      <c r="B302" s="12"/>
      <c r="C302" s="47"/>
      <c r="D302" s="93"/>
      <c r="E302" s="3"/>
      <c r="F302" s="13"/>
      <c r="G302" s="15"/>
      <c r="I302" s="103"/>
      <c r="J302" s="103"/>
      <c r="K302" s="103"/>
      <c r="L302" s="103"/>
      <c r="M302" s="103"/>
      <c r="N302" s="103"/>
      <c r="O302" s="134"/>
      <c r="P302" s="103"/>
      <c r="Q302" s="103"/>
      <c r="R302" s="103"/>
      <c r="S302" s="103"/>
      <c r="T302" s="41"/>
    </row>
    <row r="303" spans="1:20">
      <c r="A303" s="16"/>
      <c r="B303" s="12"/>
      <c r="C303" s="47"/>
      <c r="D303" s="93"/>
      <c r="E303" s="3"/>
      <c r="F303" s="13"/>
      <c r="G303" s="15"/>
      <c r="I303" s="103"/>
      <c r="J303" s="103"/>
      <c r="K303" s="103"/>
      <c r="L303" s="103"/>
      <c r="M303" s="103"/>
      <c r="N303" s="103"/>
      <c r="O303" s="134"/>
      <c r="P303" s="103"/>
      <c r="Q303" s="103"/>
      <c r="R303" s="103"/>
      <c r="S303" s="103"/>
      <c r="T303" s="41"/>
    </row>
    <row r="304" spans="1:20">
      <c r="A304" s="16"/>
      <c r="B304" s="12"/>
      <c r="C304" s="47"/>
      <c r="D304" s="93"/>
      <c r="E304" s="3"/>
      <c r="F304" s="13"/>
      <c r="G304" s="15"/>
      <c r="I304" s="103"/>
      <c r="J304" s="103"/>
      <c r="K304" s="103"/>
      <c r="L304" s="103"/>
      <c r="M304" s="103"/>
      <c r="N304" s="103"/>
      <c r="O304" s="134"/>
      <c r="P304" s="103"/>
      <c r="Q304" s="103"/>
      <c r="R304" s="103"/>
      <c r="S304" s="103"/>
      <c r="T304" s="41"/>
    </row>
    <row r="305" spans="1:20">
      <c r="A305" s="16"/>
      <c r="B305" s="12"/>
      <c r="C305" s="47"/>
      <c r="D305" s="93"/>
      <c r="E305" s="3"/>
      <c r="F305" s="13"/>
      <c r="G305" s="15"/>
      <c r="I305" s="103"/>
      <c r="J305" s="103"/>
      <c r="K305" s="103"/>
      <c r="L305" s="103"/>
      <c r="M305" s="103"/>
      <c r="N305" s="103"/>
      <c r="O305" s="134"/>
      <c r="P305" s="103"/>
      <c r="Q305" s="103"/>
      <c r="R305" s="103"/>
      <c r="S305" s="103"/>
      <c r="T305" s="41"/>
    </row>
    <row r="306" spans="1:20">
      <c r="A306" s="16"/>
      <c r="B306" s="12"/>
      <c r="C306" s="47"/>
      <c r="D306" s="93"/>
      <c r="E306" s="3"/>
      <c r="F306" s="13"/>
      <c r="G306" s="15"/>
      <c r="I306" s="103"/>
      <c r="J306" s="103"/>
      <c r="K306" s="103"/>
      <c r="L306" s="103"/>
      <c r="M306" s="103"/>
      <c r="N306" s="103"/>
      <c r="O306" s="134"/>
      <c r="P306" s="103"/>
      <c r="Q306" s="103"/>
      <c r="R306" s="103"/>
      <c r="S306" s="103"/>
      <c r="T306" s="41"/>
    </row>
    <row r="307" spans="1:20">
      <c r="A307" s="16"/>
      <c r="B307" s="12"/>
      <c r="C307" s="47"/>
      <c r="D307" s="93"/>
      <c r="E307" s="3"/>
      <c r="F307" s="13"/>
      <c r="G307" s="15"/>
      <c r="I307" s="103"/>
      <c r="J307" s="103"/>
      <c r="K307" s="103"/>
      <c r="L307" s="103"/>
      <c r="M307" s="103"/>
      <c r="N307" s="103"/>
      <c r="O307" s="134"/>
      <c r="P307" s="103"/>
      <c r="Q307" s="103"/>
      <c r="R307" s="103"/>
      <c r="S307" s="103"/>
      <c r="T307" s="41"/>
    </row>
    <row r="308" spans="1:20">
      <c r="A308" s="16"/>
      <c r="B308" s="12"/>
      <c r="C308" s="47"/>
      <c r="D308" s="93"/>
      <c r="E308" s="3"/>
      <c r="F308" s="13"/>
      <c r="G308" s="15"/>
      <c r="I308" s="103"/>
      <c r="J308" s="103"/>
      <c r="K308" s="103"/>
      <c r="L308" s="103"/>
      <c r="M308" s="103"/>
      <c r="N308" s="103"/>
      <c r="O308" s="134"/>
      <c r="P308" s="103"/>
      <c r="Q308" s="103"/>
      <c r="R308" s="103"/>
      <c r="S308" s="103"/>
      <c r="T308" s="41"/>
    </row>
    <row r="309" spans="1:20">
      <c r="A309" s="16"/>
      <c r="B309" s="12"/>
      <c r="C309" s="47"/>
      <c r="D309" s="93"/>
      <c r="E309" s="3"/>
      <c r="F309" s="13"/>
      <c r="G309" s="15"/>
      <c r="I309" s="103"/>
      <c r="J309" s="103"/>
      <c r="K309" s="103"/>
      <c r="L309" s="103"/>
      <c r="M309" s="103"/>
      <c r="N309" s="103"/>
      <c r="O309" s="134"/>
      <c r="P309" s="103"/>
      <c r="Q309" s="103"/>
      <c r="R309" s="103"/>
      <c r="S309" s="103"/>
      <c r="T309" s="41"/>
    </row>
    <row r="310" spans="1:20">
      <c r="A310" s="16"/>
      <c r="B310" s="12"/>
      <c r="C310" s="47"/>
      <c r="D310" s="93"/>
      <c r="E310" s="3"/>
      <c r="F310" s="13"/>
      <c r="G310" s="15"/>
      <c r="I310" s="103"/>
      <c r="J310" s="103"/>
      <c r="K310" s="103"/>
      <c r="L310" s="103"/>
      <c r="M310" s="103"/>
      <c r="N310" s="103"/>
      <c r="O310" s="134"/>
      <c r="P310" s="103"/>
      <c r="Q310" s="103"/>
      <c r="R310" s="103"/>
      <c r="S310" s="103"/>
      <c r="T310" s="41"/>
    </row>
    <row r="311" spans="1:20">
      <c r="A311" s="16"/>
      <c r="B311" s="12"/>
      <c r="C311" s="47"/>
      <c r="D311" s="93"/>
      <c r="E311" s="3"/>
      <c r="F311" s="13"/>
      <c r="G311" s="15"/>
      <c r="I311" s="103"/>
      <c r="J311" s="103"/>
      <c r="K311" s="103"/>
      <c r="L311" s="103"/>
      <c r="M311" s="103"/>
      <c r="N311" s="103"/>
      <c r="O311" s="134"/>
      <c r="P311" s="103"/>
      <c r="Q311" s="103"/>
      <c r="R311" s="103"/>
      <c r="S311" s="103"/>
      <c r="T311" s="41"/>
    </row>
    <row r="312" spans="1:20">
      <c r="A312" s="16"/>
      <c r="B312" s="12"/>
      <c r="C312" s="47"/>
      <c r="D312" s="93"/>
      <c r="E312" s="3"/>
      <c r="F312" s="13"/>
      <c r="G312" s="15"/>
      <c r="I312" s="103"/>
      <c r="J312" s="103"/>
      <c r="K312" s="103"/>
      <c r="L312" s="103"/>
      <c r="M312" s="103"/>
      <c r="N312" s="103"/>
      <c r="O312" s="134"/>
      <c r="P312" s="103"/>
      <c r="Q312" s="103"/>
      <c r="R312" s="103"/>
      <c r="S312" s="103"/>
      <c r="T312" s="41"/>
    </row>
    <row r="313" spans="1:20">
      <c r="A313" s="16"/>
      <c r="B313" s="12"/>
      <c r="C313" s="47"/>
      <c r="D313" s="93"/>
      <c r="E313" s="3"/>
      <c r="F313" s="13"/>
      <c r="G313" s="15"/>
      <c r="I313" s="103"/>
      <c r="J313" s="103"/>
      <c r="K313" s="103"/>
      <c r="L313" s="103"/>
      <c r="M313" s="103"/>
      <c r="N313" s="103"/>
      <c r="O313" s="134"/>
      <c r="P313" s="103"/>
      <c r="Q313" s="103"/>
      <c r="R313" s="103"/>
      <c r="S313" s="103"/>
      <c r="T313" s="41"/>
    </row>
    <row r="314" spans="1:20">
      <c r="A314" s="16"/>
      <c r="B314" s="12"/>
      <c r="C314" s="47"/>
      <c r="D314" s="93"/>
      <c r="E314" s="3"/>
      <c r="F314" s="13"/>
      <c r="G314" s="15"/>
      <c r="I314" s="103"/>
      <c r="J314" s="103"/>
      <c r="K314" s="103"/>
      <c r="L314" s="103"/>
      <c r="M314" s="103"/>
      <c r="N314" s="103"/>
      <c r="O314" s="134"/>
      <c r="P314" s="103"/>
      <c r="Q314" s="103"/>
      <c r="R314" s="103"/>
      <c r="S314" s="103"/>
      <c r="T314" s="41"/>
    </row>
    <row r="315" spans="1:20">
      <c r="A315" s="16"/>
      <c r="B315" s="12"/>
      <c r="C315" s="47"/>
      <c r="D315" s="93"/>
      <c r="E315" s="3"/>
      <c r="F315" s="13"/>
      <c r="G315" s="15"/>
      <c r="I315" s="103"/>
      <c r="J315" s="103"/>
      <c r="K315" s="103"/>
      <c r="L315" s="103"/>
      <c r="M315" s="103"/>
      <c r="N315" s="103"/>
      <c r="O315" s="134"/>
      <c r="P315" s="103"/>
      <c r="Q315" s="103"/>
      <c r="R315" s="103"/>
      <c r="S315" s="103"/>
      <c r="T315" s="41"/>
    </row>
    <row r="316" spans="1:20">
      <c r="A316" s="16"/>
      <c r="B316" s="12"/>
      <c r="C316" s="47"/>
      <c r="D316" s="93"/>
      <c r="E316" s="3"/>
      <c r="F316" s="13"/>
      <c r="G316" s="15"/>
      <c r="I316" s="103"/>
      <c r="J316" s="103"/>
      <c r="K316" s="103"/>
      <c r="L316" s="103"/>
      <c r="M316" s="103"/>
      <c r="N316" s="103"/>
      <c r="O316" s="134"/>
      <c r="P316" s="103"/>
      <c r="Q316" s="103"/>
      <c r="R316" s="103"/>
      <c r="S316" s="103"/>
      <c r="T316" s="41"/>
    </row>
    <row r="317" spans="1:20">
      <c r="A317" s="16"/>
      <c r="B317" s="12"/>
      <c r="C317" s="47"/>
      <c r="D317" s="93"/>
      <c r="E317" s="3"/>
      <c r="F317" s="13"/>
      <c r="G317" s="15"/>
      <c r="I317" s="103"/>
      <c r="J317" s="103"/>
      <c r="K317" s="103"/>
      <c r="L317" s="103"/>
      <c r="M317" s="103"/>
      <c r="N317" s="103"/>
      <c r="O317" s="134"/>
      <c r="P317" s="103"/>
      <c r="Q317" s="103"/>
      <c r="R317" s="103"/>
      <c r="S317" s="103"/>
      <c r="T317" s="41"/>
    </row>
    <row r="318" spans="1:20">
      <c r="A318" s="16"/>
      <c r="B318" s="12"/>
      <c r="C318" s="47"/>
      <c r="D318" s="93"/>
      <c r="E318" s="3"/>
      <c r="F318" s="13"/>
      <c r="G318" s="15"/>
      <c r="I318" s="103"/>
      <c r="J318" s="103"/>
      <c r="K318" s="103"/>
      <c r="L318" s="103"/>
      <c r="M318" s="103"/>
      <c r="N318" s="103"/>
      <c r="O318" s="134"/>
      <c r="P318" s="103"/>
      <c r="Q318" s="103"/>
      <c r="R318" s="103"/>
      <c r="S318" s="103"/>
      <c r="T318" s="41"/>
    </row>
    <row r="319" spans="1:20">
      <c r="A319" s="16"/>
      <c r="B319" s="12"/>
      <c r="C319" s="47"/>
      <c r="D319" s="93"/>
      <c r="E319" s="3"/>
      <c r="F319" s="13"/>
      <c r="G319" s="15"/>
      <c r="I319" s="103"/>
      <c r="J319" s="103"/>
      <c r="K319" s="103"/>
      <c r="L319" s="103"/>
      <c r="M319" s="103"/>
      <c r="N319" s="103"/>
      <c r="O319" s="134"/>
      <c r="P319" s="103"/>
      <c r="Q319" s="103"/>
      <c r="R319" s="103"/>
      <c r="S319" s="103"/>
      <c r="T319" s="41"/>
    </row>
    <row r="320" spans="1:20">
      <c r="A320" s="16"/>
      <c r="B320" s="12"/>
      <c r="C320" s="47"/>
      <c r="D320" s="93"/>
      <c r="E320" s="3"/>
      <c r="F320" s="13"/>
      <c r="G320" s="15"/>
      <c r="I320" s="103"/>
      <c r="J320" s="103"/>
      <c r="K320" s="103"/>
      <c r="L320" s="103"/>
      <c r="M320" s="103"/>
      <c r="N320" s="103"/>
      <c r="O320" s="134"/>
      <c r="P320" s="103"/>
      <c r="Q320" s="103"/>
      <c r="R320" s="103"/>
      <c r="S320" s="103"/>
      <c r="T320" s="41"/>
    </row>
    <row r="321" spans="1:20">
      <c r="A321" s="16"/>
      <c r="B321" s="12"/>
      <c r="C321" s="47"/>
      <c r="D321" s="93"/>
      <c r="E321" s="3"/>
      <c r="F321" s="13"/>
      <c r="G321" s="15"/>
      <c r="I321" s="103"/>
      <c r="J321" s="103"/>
      <c r="K321" s="103"/>
      <c r="L321" s="103"/>
      <c r="M321" s="103"/>
      <c r="N321" s="103"/>
      <c r="O321" s="134"/>
      <c r="P321" s="103"/>
      <c r="Q321" s="103"/>
      <c r="R321" s="103"/>
      <c r="S321" s="103"/>
      <c r="T321" s="41"/>
    </row>
    <row r="322" spans="1:20">
      <c r="A322" s="16"/>
      <c r="B322" s="12"/>
      <c r="C322" s="47"/>
      <c r="D322" s="93"/>
      <c r="E322" s="3"/>
      <c r="F322" s="13"/>
      <c r="G322" s="15"/>
      <c r="I322" s="103"/>
      <c r="J322" s="103"/>
      <c r="K322" s="103"/>
      <c r="L322" s="103"/>
      <c r="M322" s="103"/>
      <c r="N322" s="103"/>
      <c r="O322" s="134"/>
      <c r="P322" s="103"/>
      <c r="Q322" s="103"/>
      <c r="R322" s="103"/>
      <c r="S322" s="103"/>
      <c r="T322" s="41"/>
    </row>
    <row r="323" spans="1:20">
      <c r="A323" s="16"/>
      <c r="B323" s="12"/>
      <c r="C323" s="47"/>
      <c r="D323" s="93"/>
      <c r="E323" s="3"/>
      <c r="F323" s="13"/>
      <c r="G323" s="15"/>
      <c r="I323" s="103"/>
      <c r="J323" s="103"/>
      <c r="K323" s="103"/>
      <c r="L323" s="103"/>
      <c r="M323" s="103"/>
      <c r="N323" s="103"/>
      <c r="O323" s="134"/>
      <c r="P323" s="103"/>
      <c r="Q323" s="103"/>
      <c r="R323" s="103"/>
      <c r="S323" s="103"/>
      <c r="T323" s="41"/>
    </row>
    <row r="324" spans="1:20">
      <c r="A324" s="16"/>
      <c r="B324" s="12"/>
      <c r="C324" s="47"/>
      <c r="D324" s="93"/>
      <c r="E324" s="3"/>
      <c r="F324" s="13"/>
      <c r="G324" s="15"/>
      <c r="I324" s="103"/>
      <c r="J324" s="103"/>
      <c r="K324" s="103"/>
      <c r="L324" s="103"/>
      <c r="M324" s="103"/>
      <c r="N324" s="103"/>
      <c r="O324" s="134"/>
      <c r="P324" s="103"/>
      <c r="Q324" s="103"/>
      <c r="R324" s="103"/>
      <c r="S324" s="103"/>
      <c r="T324" s="41"/>
    </row>
    <row r="325" spans="1:20">
      <c r="A325" s="16"/>
      <c r="B325" s="12"/>
      <c r="C325" s="47"/>
      <c r="D325" s="93"/>
      <c r="E325" s="3"/>
      <c r="F325" s="13"/>
      <c r="G325" s="15"/>
      <c r="I325" s="103"/>
      <c r="J325" s="103"/>
      <c r="K325" s="103"/>
      <c r="L325" s="103"/>
      <c r="M325" s="103"/>
      <c r="N325" s="103"/>
      <c r="O325" s="134"/>
      <c r="P325" s="103"/>
      <c r="Q325" s="103"/>
      <c r="R325" s="103"/>
      <c r="S325" s="103"/>
      <c r="T325" s="41"/>
    </row>
    <row r="326" spans="1:20">
      <c r="A326" s="16"/>
      <c r="B326" s="12"/>
      <c r="C326" s="47"/>
      <c r="D326" s="93"/>
      <c r="E326" s="3"/>
      <c r="F326" s="13"/>
      <c r="G326" s="15"/>
      <c r="I326" s="103"/>
      <c r="J326" s="103"/>
      <c r="K326" s="103"/>
      <c r="L326" s="103"/>
      <c r="M326" s="103"/>
      <c r="N326" s="103"/>
      <c r="O326" s="134"/>
      <c r="P326" s="103"/>
      <c r="Q326" s="103"/>
      <c r="R326" s="103"/>
      <c r="S326" s="103"/>
      <c r="T326" s="41"/>
    </row>
    <row r="327" spans="1:20">
      <c r="A327" s="16"/>
      <c r="B327" s="12"/>
      <c r="C327" s="47"/>
      <c r="D327" s="93"/>
      <c r="E327" s="3"/>
      <c r="F327" s="13"/>
      <c r="G327" s="15"/>
      <c r="I327" s="103"/>
      <c r="J327" s="103"/>
      <c r="K327" s="103"/>
      <c r="L327" s="103"/>
      <c r="M327" s="103"/>
      <c r="N327" s="103"/>
      <c r="O327" s="134"/>
      <c r="P327" s="103"/>
      <c r="Q327" s="103"/>
      <c r="R327" s="103"/>
      <c r="S327" s="103"/>
      <c r="T327" s="41"/>
    </row>
    <row r="328" spans="1:20" ht="13.95" customHeight="1">
      <c r="A328" s="16"/>
      <c r="B328" s="16"/>
      <c r="C328" s="47"/>
      <c r="D328" s="58"/>
      <c r="E328" s="13"/>
      <c r="F328" s="14"/>
      <c r="G328" s="15"/>
      <c r="I328" s="105"/>
      <c r="J328" s="105"/>
      <c r="K328" s="105"/>
      <c r="L328" s="105"/>
      <c r="M328" s="105"/>
      <c r="N328" s="105"/>
      <c r="O328" s="135"/>
      <c r="P328" s="105"/>
      <c r="Q328" s="105"/>
      <c r="R328" s="105"/>
      <c r="S328" s="53"/>
      <c r="T328" s="41"/>
    </row>
    <row r="329" spans="1:20">
      <c r="A329" s="16"/>
      <c r="B329" s="16"/>
      <c r="C329" s="47"/>
      <c r="D329" s="58"/>
      <c r="E329" s="13"/>
      <c r="F329" s="14"/>
      <c r="G329" s="15"/>
      <c r="I329" s="22"/>
    </row>
    <row r="330" spans="1:20">
      <c r="A330" s="16"/>
      <c r="B330" s="16"/>
      <c r="C330" s="47"/>
      <c r="D330" s="58"/>
      <c r="E330" s="13"/>
      <c r="F330" s="14"/>
      <c r="G330" s="15"/>
      <c r="I330" s="22"/>
    </row>
    <row r="331" spans="1:20">
      <c r="A331" s="16"/>
      <c r="B331" s="16"/>
      <c r="C331" s="47"/>
      <c r="D331" s="58"/>
      <c r="E331" s="13"/>
      <c r="F331" s="14"/>
      <c r="G331" s="15"/>
      <c r="I331" s="22"/>
    </row>
    <row r="332" spans="1:20" ht="20.399999999999999" customHeight="1">
      <c r="A332" s="156" t="s">
        <v>161</v>
      </c>
      <c r="B332" s="157"/>
      <c r="C332" s="157"/>
      <c r="D332" s="157"/>
      <c r="E332" s="157"/>
      <c r="F332" s="158"/>
      <c r="G332" s="78">
        <f>SUM(G291:G331)</f>
        <v>4798867.0250000004</v>
      </c>
      <c r="I332" s="22"/>
    </row>
  </sheetData>
  <mergeCells count="13">
    <mergeCell ref="A154:F154"/>
    <mergeCell ref="A50:F50"/>
    <mergeCell ref="A54:F54"/>
    <mergeCell ref="A98:F98"/>
    <mergeCell ref="A102:F102"/>
    <mergeCell ref="A150:F150"/>
    <mergeCell ref="A332:F332"/>
    <mergeCell ref="A200:F200"/>
    <mergeCell ref="A204:F204"/>
    <mergeCell ref="A238:F238"/>
    <mergeCell ref="A242:F242"/>
    <mergeCell ref="A287:F287"/>
    <mergeCell ref="A291:F291"/>
  </mergeCells>
  <pageMargins left="0.7" right="0.7" top="0.75" bottom="0.75" header="0.3" footer="0.3"/>
  <pageSetup paperSize="9" scale="95" orientation="portrait" r:id="rId1"/>
  <rowBreaks count="6" manualBreakCount="6">
    <brk id="51" max="6" man="1"/>
    <brk id="99" max="6" man="1"/>
    <brk id="151" max="6" man="1"/>
    <brk id="201" max="6" man="1"/>
    <brk id="239" max="6" man="1"/>
    <brk id="288" max="6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B6DCF-3F86-4E3D-A307-01990B786073}">
  <dimension ref="A1:O335"/>
  <sheetViews>
    <sheetView showGridLines="0" view="pageBreakPreview" topLeftCell="A36" zoomScaleNormal="100" zoomScaleSheetLayoutView="100" workbookViewId="0">
      <selection activeCell="I36" sqref="I1:O1048576"/>
    </sheetView>
  </sheetViews>
  <sheetFormatPr defaultColWidth="13.109375" defaultRowHeight="12"/>
  <cols>
    <col min="1" max="1" width="4.88671875" style="22" customWidth="1"/>
    <col min="2" max="2" width="8.33203125" style="20" customWidth="1"/>
    <col min="3" max="3" width="40.6640625" style="21" customWidth="1"/>
    <col min="4" max="4" width="5.109375" style="22" customWidth="1"/>
    <col min="5" max="5" width="7.6640625" style="22" customWidth="1"/>
    <col min="6" max="6" width="8.6640625" style="23" customWidth="1"/>
    <col min="7" max="7" width="11.6640625" style="24" customWidth="1"/>
    <col min="8" max="8" width="4.33203125" style="6" customWidth="1"/>
    <col min="9" max="9" width="11.33203125" style="22" hidden="1" customWidth="1"/>
    <col min="10" max="10" width="11.109375" style="22" hidden="1" customWidth="1"/>
    <col min="11" max="11" width="10.88671875" style="22" hidden="1" customWidth="1"/>
    <col min="12" max="12" width="11.6640625" style="22" hidden="1" customWidth="1"/>
    <col min="13" max="13" width="13.109375" style="106" hidden="1" customWidth="1"/>
    <col min="14" max="14" width="0" style="22" hidden="1" customWidth="1"/>
    <col min="15" max="15" width="0" style="6" hidden="1" customWidth="1"/>
    <col min="16" max="16384" width="13.109375" style="6"/>
  </cols>
  <sheetData>
    <row r="1" spans="1:14" ht="20.399999999999999" hidden="1" customHeight="1">
      <c r="A1" s="19" t="s">
        <v>80</v>
      </c>
    </row>
    <row r="2" spans="1:14" ht="15" customHeight="1">
      <c r="A2" s="142" t="str">
        <f>Summary!A2</f>
        <v>NAFASI WATER - ARNOT WASTE TREATMENT PLANT</v>
      </c>
      <c r="G2" s="25" t="str">
        <f>Summary!C2</f>
        <v>Revision T1</v>
      </c>
    </row>
    <row r="3" spans="1:14" ht="15" customHeight="1">
      <c r="A3" s="19" t="str">
        <f>Summary!A3</f>
        <v>PILING AND CIVIL WORK</v>
      </c>
      <c r="G3" s="26"/>
    </row>
    <row r="4" spans="1:14" ht="15" customHeight="1">
      <c r="A4" s="19" t="s">
        <v>298</v>
      </c>
      <c r="G4" s="143">
        <f>Summary!C4</f>
        <v>45183</v>
      </c>
    </row>
    <row r="5" spans="1:14" ht="15" customHeight="1">
      <c r="A5" s="27"/>
      <c r="B5" s="28"/>
      <c r="C5" s="28"/>
      <c r="E5" s="29"/>
      <c r="G5" s="30"/>
    </row>
    <row r="6" spans="1:14" s="42" customFormat="1" ht="37.200000000000003" customHeight="1">
      <c r="A6" s="44" t="s">
        <v>8</v>
      </c>
      <c r="B6" s="48" t="s">
        <v>9</v>
      </c>
      <c r="C6" s="44" t="s">
        <v>10</v>
      </c>
      <c r="D6" s="48" t="s">
        <v>11</v>
      </c>
      <c r="E6" s="48" t="s">
        <v>59</v>
      </c>
      <c r="F6" s="49" t="s">
        <v>12</v>
      </c>
      <c r="G6" s="49" t="s">
        <v>13</v>
      </c>
      <c r="I6" s="100" t="s">
        <v>245</v>
      </c>
      <c r="J6" s="100" t="s">
        <v>275</v>
      </c>
      <c r="K6" s="100" t="s">
        <v>272</v>
      </c>
      <c r="L6" s="100" t="s">
        <v>300</v>
      </c>
      <c r="M6" s="100"/>
      <c r="N6" s="48"/>
    </row>
    <row r="7" spans="1:14" s="42" customFormat="1" ht="4.95" customHeight="1">
      <c r="A7" s="2"/>
      <c r="B7" s="40"/>
      <c r="C7" s="50"/>
      <c r="D7" s="40"/>
      <c r="E7" s="40"/>
      <c r="F7" s="54"/>
      <c r="G7" s="54"/>
      <c r="I7" s="40"/>
      <c r="J7" s="40"/>
      <c r="K7" s="107"/>
      <c r="L7" s="40"/>
      <c r="M7" s="107"/>
      <c r="N7" s="109"/>
    </row>
    <row r="8" spans="1:14" ht="19.2" customHeight="1">
      <c r="A8" s="1"/>
      <c r="B8" s="2"/>
      <c r="C8" s="11" t="s">
        <v>299</v>
      </c>
      <c r="D8" s="1"/>
      <c r="E8" s="1"/>
      <c r="F8" s="4"/>
      <c r="G8" s="5"/>
      <c r="I8" s="9"/>
      <c r="J8" s="9"/>
      <c r="K8" s="108"/>
      <c r="L8" s="9"/>
      <c r="M8" s="108"/>
      <c r="N8" s="9"/>
    </row>
    <row r="9" spans="1:14" ht="10.95" customHeight="1">
      <c r="A9" s="1"/>
      <c r="B9" s="2"/>
      <c r="C9" s="11"/>
      <c r="D9" s="1"/>
      <c r="E9" s="1"/>
      <c r="F9" s="4"/>
      <c r="G9" s="5"/>
      <c r="I9" s="9"/>
      <c r="J9" s="9"/>
      <c r="K9" s="108"/>
      <c r="L9" s="9"/>
      <c r="M9" s="108"/>
      <c r="N9" s="9"/>
    </row>
    <row r="10" spans="1:14" ht="22.2" customHeight="1">
      <c r="A10" s="1"/>
      <c r="B10" s="1" t="s">
        <v>22</v>
      </c>
      <c r="C10" s="34" t="s">
        <v>69</v>
      </c>
      <c r="D10" s="1"/>
      <c r="E10" s="3" t="str">
        <f>IF(SUM(H10:M10)&gt;0,SUM(H10:M10),"")</f>
        <v/>
      </c>
      <c r="F10" s="4"/>
      <c r="G10" s="5"/>
      <c r="I10" s="9"/>
      <c r="J10" s="9"/>
      <c r="K10" s="108"/>
      <c r="L10" s="9"/>
      <c r="M10" s="108"/>
      <c r="N10" s="9"/>
    </row>
    <row r="11" spans="1:14" ht="13.95" customHeight="1">
      <c r="A11" s="1"/>
      <c r="B11" s="1"/>
      <c r="C11" s="34"/>
      <c r="D11" s="1"/>
      <c r="E11" s="3" t="str">
        <f>IF(SUM(H11:M11)&gt;0,SUM(H11:M11),"")</f>
        <v/>
      </c>
      <c r="F11" s="4"/>
      <c r="G11" s="5"/>
      <c r="I11" s="9"/>
      <c r="J11" s="9"/>
      <c r="K11" s="108"/>
      <c r="L11" s="9"/>
      <c r="M11" s="108"/>
      <c r="N11" s="9"/>
    </row>
    <row r="12" spans="1:14" ht="13.95" customHeight="1">
      <c r="A12" s="1"/>
      <c r="B12" s="1"/>
      <c r="C12" s="32" t="s">
        <v>55</v>
      </c>
      <c r="D12" s="1"/>
      <c r="E12" s="3" t="str">
        <f>IF(SUM(H12:M12)&gt;0,SUM(H12:M12),"")</f>
        <v/>
      </c>
      <c r="F12" s="4"/>
      <c r="G12" s="5"/>
      <c r="I12" s="9"/>
      <c r="J12" s="9"/>
      <c r="K12" s="108"/>
      <c r="L12" s="9"/>
      <c r="M12" s="108"/>
      <c r="N12" s="9"/>
    </row>
    <row r="13" spans="1:14" ht="13.95" customHeight="1">
      <c r="A13" s="1"/>
      <c r="B13" s="1"/>
      <c r="C13" s="32"/>
      <c r="D13" s="1"/>
      <c r="E13" s="3" t="str">
        <f>IF(SUM(H13:M13)&gt;0,SUM(H13:M13),"")</f>
        <v/>
      </c>
      <c r="F13" s="4"/>
      <c r="G13" s="5"/>
      <c r="I13" s="9"/>
      <c r="J13" s="9"/>
      <c r="K13" s="108"/>
      <c r="L13" s="9"/>
      <c r="M13" s="108"/>
      <c r="N13" s="9"/>
    </row>
    <row r="14" spans="1:14" ht="22.2" customHeight="1">
      <c r="A14" s="1">
        <v>1</v>
      </c>
      <c r="B14" s="1"/>
      <c r="C14" s="33" t="s">
        <v>218</v>
      </c>
      <c r="D14" s="1" t="s">
        <v>6</v>
      </c>
      <c r="E14" s="3">
        <f>SUM(I14:N14)</f>
        <v>0</v>
      </c>
      <c r="F14" s="13">
        <v>1150</v>
      </c>
      <c r="G14" s="5">
        <f t="shared" ref="G14" si="0">+E14*F14</f>
        <v>0</v>
      </c>
      <c r="I14" s="137">
        <v>0</v>
      </c>
      <c r="J14" s="137">
        <v>0</v>
      </c>
      <c r="K14" s="137">
        <v>0</v>
      </c>
      <c r="L14" s="137">
        <v>0</v>
      </c>
      <c r="M14" s="137"/>
      <c r="N14" s="137"/>
    </row>
    <row r="15" spans="1:14" ht="13.95" customHeight="1">
      <c r="A15" s="1"/>
      <c r="B15" s="1"/>
      <c r="C15" s="32"/>
      <c r="D15" s="1"/>
      <c r="E15" s="3"/>
      <c r="F15" s="14"/>
      <c r="G15" s="5"/>
      <c r="I15" s="13"/>
      <c r="J15" s="13"/>
      <c r="K15" s="13"/>
      <c r="L15" s="13"/>
      <c r="M15" s="13"/>
      <c r="N15" s="13"/>
    </row>
    <row r="16" spans="1:14" ht="13.95" customHeight="1">
      <c r="A16" s="1"/>
      <c r="B16" s="1"/>
      <c r="C16" s="32" t="s">
        <v>221</v>
      </c>
      <c r="D16" s="1"/>
      <c r="E16" s="3"/>
      <c r="F16" s="14"/>
      <c r="G16" s="5"/>
      <c r="I16" s="13"/>
      <c r="J16" s="13"/>
      <c r="K16" s="13"/>
      <c r="L16" s="13"/>
      <c r="M16" s="13"/>
      <c r="N16" s="13"/>
    </row>
    <row r="17" spans="1:14" ht="34.950000000000003" customHeight="1">
      <c r="A17" s="1"/>
      <c r="B17" s="1"/>
      <c r="C17" s="33" t="s">
        <v>219</v>
      </c>
      <c r="D17" s="1"/>
      <c r="E17" s="3"/>
      <c r="F17" s="14"/>
      <c r="G17" s="5"/>
      <c r="I17" s="13"/>
      <c r="J17" s="13"/>
      <c r="K17" s="13"/>
      <c r="L17" s="13"/>
      <c r="M17" s="13"/>
      <c r="N17" s="13"/>
    </row>
    <row r="18" spans="1:14" ht="10.95" customHeight="1">
      <c r="A18" s="1"/>
      <c r="B18" s="1"/>
      <c r="C18" s="32"/>
      <c r="D18" s="1"/>
      <c r="E18" s="3"/>
      <c r="F18" s="13"/>
      <c r="G18" s="5"/>
      <c r="I18" s="13"/>
      <c r="J18" s="13"/>
      <c r="K18" s="13"/>
      <c r="L18" s="13"/>
      <c r="M18" s="13"/>
      <c r="N18" s="13"/>
    </row>
    <row r="19" spans="1:14" ht="13.2" customHeight="1">
      <c r="A19" s="1">
        <v>2</v>
      </c>
      <c r="B19" s="1"/>
      <c r="C19" s="33" t="s">
        <v>33</v>
      </c>
      <c r="D19" s="1" t="s">
        <v>1</v>
      </c>
      <c r="E19" s="3">
        <f>SUM(I19:N19)</f>
        <v>0</v>
      </c>
      <c r="F19" s="13">
        <v>1850</v>
      </c>
      <c r="G19" s="5">
        <f t="shared" ref="G19" si="1">+E19*F19</f>
        <v>0</v>
      </c>
      <c r="I19" s="138">
        <f t="shared" ref="I19:J19" si="2">I14*10</f>
        <v>0</v>
      </c>
      <c r="J19" s="138">
        <f t="shared" si="2"/>
        <v>0</v>
      </c>
      <c r="K19" s="138">
        <f t="shared" ref="K19" si="3">K14*10</f>
        <v>0</v>
      </c>
      <c r="L19" s="138">
        <f t="shared" ref="L19" si="4">L14*10</f>
        <v>0</v>
      </c>
      <c r="M19" s="138"/>
      <c r="N19" s="138"/>
    </row>
    <row r="20" spans="1:14" ht="13.2" customHeight="1">
      <c r="A20" s="1"/>
      <c r="B20" s="1"/>
      <c r="C20" s="32"/>
      <c r="D20" s="1"/>
      <c r="E20" s="3"/>
      <c r="F20" s="13"/>
      <c r="G20" s="5"/>
      <c r="I20" s="138"/>
      <c r="J20" s="138"/>
      <c r="K20" s="138"/>
      <c r="L20" s="138"/>
      <c r="M20" s="138"/>
      <c r="N20" s="138"/>
    </row>
    <row r="21" spans="1:14" ht="13.2" customHeight="1">
      <c r="A21" s="1">
        <v>3</v>
      </c>
      <c r="B21" s="1"/>
      <c r="C21" s="33" t="s">
        <v>34</v>
      </c>
      <c r="D21" s="1" t="s">
        <v>1</v>
      </c>
      <c r="E21" s="3">
        <f>SUM(I21:N21)</f>
        <v>0</v>
      </c>
      <c r="F21" s="13">
        <f>F19</f>
        <v>1850</v>
      </c>
      <c r="G21" s="5">
        <f t="shared" ref="G21" si="5">+E21*F21</f>
        <v>0</v>
      </c>
      <c r="I21" s="138">
        <f t="shared" ref="I21:J21" si="6">I14*5</f>
        <v>0</v>
      </c>
      <c r="J21" s="138">
        <f t="shared" si="6"/>
        <v>0</v>
      </c>
      <c r="K21" s="138">
        <f t="shared" ref="K21" si="7">K14*5</f>
        <v>0</v>
      </c>
      <c r="L21" s="138">
        <f t="shared" ref="L21" si="8">L14*5</f>
        <v>0</v>
      </c>
      <c r="M21" s="138"/>
      <c r="N21" s="138"/>
    </row>
    <row r="22" spans="1:14" ht="13.2" customHeight="1">
      <c r="A22" s="1"/>
      <c r="B22" s="1"/>
      <c r="C22" s="32"/>
      <c r="D22" s="1"/>
      <c r="E22" s="3"/>
      <c r="F22" s="13"/>
      <c r="G22" s="5"/>
      <c r="I22" s="138"/>
      <c r="J22" s="138"/>
      <c r="K22" s="138"/>
      <c r="L22" s="138"/>
      <c r="M22" s="138"/>
      <c r="N22" s="138"/>
    </row>
    <row r="23" spans="1:14" ht="13.2" customHeight="1">
      <c r="A23" s="1"/>
      <c r="B23" s="1"/>
      <c r="C23" s="32" t="s">
        <v>76</v>
      </c>
      <c r="D23" s="1"/>
      <c r="E23" s="3"/>
      <c r="F23" s="13"/>
      <c r="G23" s="5"/>
      <c r="I23" s="138"/>
      <c r="J23" s="138"/>
      <c r="K23" s="138"/>
      <c r="L23" s="138"/>
      <c r="M23" s="138"/>
      <c r="N23" s="138"/>
    </row>
    <row r="24" spans="1:14" ht="13.2" customHeight="1">
      <c r="A24" s="1"/>
      <c r="B24" s="1"/>
      <c r="C24" s="32"/>
      <c r="D24" s="1"/>
      <c r="E24" s="3"/>
      <c r="F24" s="13"/>
      <c r="G24" s="5"/>
      <c r="I24" s="138"/>
      <c r="J24" s="138"/>
      <c r="K24" s="138"/>
      <c r="L24" s="138"/>
      <c r="M24" s="138"/>
      <c r="N24" s="138"/>
    </row>
    <row r="25" spans="1:14" ht="13.2" customHeight="1">
      <c r="A25" s="1">
        <v>4</v>
      </c>
      <c r="B25" s="1"/>
      <c r="C25" s="47" t="s">
        <v>77</v>
      </c>
      <c r="D25" s="1" t="s">
        <v>6</v>
      </c>
      <c r="E25" s="3">
        <f>SUM(I25:N25)</f>
        <v>0</v>
      </c>
      <c r="F25" s="13">
        <v>1250</v>
      </c>
      <c r="G25" s="5">
        <f t="shared" ref="G25" si="9">+E25*F25</f>
        <v>0</v>
      </c>
      <c r="I25" s="138">
        <f t="shared" ref="I25:J25" si="10">I14</f>
        <v>0</v>
      </c>
      <c r="J25" s="138">
        <f t="shared" si="10"/>
        <v>0</v>
      </c>
      <c r="K25" s="138">
        <f t="shared" ref="K25" si="11">K14</f>
        <v>0</v>
      </c>
      <c r="L25" s="138">
        <f t="shared" ref="L25" si="12">L14</f>
        <v>0</v>
      </c>
      <c r="M25" s="138"/>
      <c r="N25" s="138"/>
    </row>
    <row r="26" spans="1:14" ht="13.2" customHeight="1">
      <c r="A26" s="1"/>
      <c r="B26" s="1"/>
      <c r="C26" s="32"/>
      <c r="D26" s="1"/>
      <c r="E26" s="3"/>
      <c r="F26" s="13"/>
      <c r="G26" s="5"/>
      <c r="I26" s="138"/>
      <c r="J26" s="138"/>
      <c r="K26" s="138"/>
      <c r="L26" s="138"/>
      <c r="M26" s="138"/>
      <c r="N26" s="138"/>
    </row>
    <row r="27" spans="1:14" ht="12.6" customHeight="1">
      <c r="A27" s="1"/>
      <c r="B27" s="1"/>
      <c r="C27" s="32" t="s">
        <v>71</v>
      </c>
      <c r="D27" s="1"/>
      <c r="E27" s="3"/>
      <c r="F27" s="13"/>
      <c r="G27" s="5"/>
      <c r="I27" s="138"/>
      <c r="J27" s="138"/>
      <c r="K27" s="138"/>
      <c r="L27" s="138"/>
      <c r="M27" s="138"/>
      <c r="N27" s="138"/>
    </row>
    <row r="28" spans="1:14" ht="12.6" customHeight="1">
      <c r="A28" s="1"/>
      <c r="B28" s="1"/>
      <c r="C28" s="33"/>
      <c r="D28" s="1"/>
      <c r="E28" s="3"/>
      <c r="F28" s="13"/>
      <c r="G28" s="5"/>
      <c r="I28" s="138"/>
      <c r="J28" s="138"/>
      <c r="K28" s="138"/>
      <c r="L28" s="138"/>
      <c r="M28" s="138"/>
      <c r="N28" s="138"/>
    </row>
    <row r="29" spans="1:14" ht="12.6" customHeight="1">
      <c r="A29" s="1">
        <v>5</v>
      </c>
      <c r="B29" s="1"/>
      <c r="C29" s="33" t="s">
        <v>223</v>
      </c>
      <c r="D29" s="1" t="s">
        <v>2</v>
      </c>
      <c r="E29" s="3">
        <f>SUM(I29:N29)</f>
        <v>0</v>
      </c>
      <c r="F29" s="13">
        <v>29500</v>
      </c>
      <c r="G29" s="5">
        <f t="shared" ref="G29" si="13">+E29*F29</f>
        <v>0</v>
      </c>
      <c r="I29" s="139">
        <f t="shared" ref="I29:J29" si="14">(I19+I21)*0.00325</f>
        <v>0</v>
      </c>
      <c r="J29" s="139">
        <f t="shared" si="14"/>
        <v>0</v>
      </c>
      <c r="K29" s="139">
        <f t="shared" ref="K29" si="15">(K19+K21)*0.00325</f>
        <v>0</v>
      </c>
      <c r="L29" s="139">
        <f t="shared" ref="L29" si="16">(L19+L21)*0.00325</f>
        <v>0</v>
      </c>
      <c r="M29" s="139"/>
      <c r="N29" s="139"/>
    </row>
    <row r="30" spans="1:14" ht="12.6" customHeight="1">
      <c r="A30" s="1"/>
      <c r="B30" s="1"/>
      <c r="C30" s="33"/>
      <c r="D30" s="1"/>
      <c r="E30" s="3"/>
      <c r="F30" s="13"/>
      <c r="G30" s="5"/>
      <c r="I30" s="138"/>
      <c r="J30" s="138"/>
      <c r="K30" s="138"/>
      <c r="L30" s="138"/>
      <c r="M30" s="138"/>
      <c r="N30" s="138"/>
    </row>
    <row r="31" spans="1:14" ht="12.6" customHeight="1">
      <c r="A31" s="1">
        <v>6</v>
      </c>
      <c r="B31" s="1"/>
      <c r="C31" s="33" t="s">
        <v>222</v>
      </c>
      <c r="D31" s="1" t="s">
        <v>2</v>
      </c>
      <c r="E31" s="3">
        <f>SUM(I31:AG31)</f>
        <v>0</v>
      </c>
      <c r="F31" s="13">
        <v>28000</v>
      </c>
      <c r="G31" s="5">
        <f t="shared" ref="G31" si="17">+E31*F31</f>
        <v>0</v>
      </c>
      <c r="I31" s="139">
        <f t="shared" ref="I31:J31" si="18">(I19+I21)*0.0215</f>
        <v>0</v>
      </c>
      <c r="J31" s="139">
        <f t="shared" si="18"/>
        <v>0</v>
      </c>
      <c r="K31" s="139">
        <f t="shared" ref="K31" si="19">(K19+K21)*0.0215</f>
        <v>0</v>
      </c>
      <c r="L31" s="139">
        <f t="shared" ref="L31" si="20">(L19+L21)*0.0215</f>
        <v>0</v>
      </c>
      <c r="M31" s="139"/>
      <c r="N31" s="139"/>
    </row>
    <row r="32" spans="1:14" ht="12.6" customHeight="1">
      <c r="A32" s="1"/>
      <c r="B32" s="1"/>
      <c r="C32" s="33"/>
      <c r="D32" s="1"/>
      <c r="E32" s="3"/>
      <c r="F32" s="13"/>
      <c r="G32" s="5"/>
      <c r="I32" s="138"/>
      <c r="J32" s="138"/>
      <c r="K32" s="138"/>
      <c r="L32" s="138"/>
      <c r="M32" s="138"/>
      <c r="N32" s="138"/>
    </row>
    <row r="33" spans="1:14" ht="12.6" customHeight="1">
      <c r="A33" s="1"/>
      <c r="B33" s="1"/>
      <c r="C33" s="32" t="s">
        <v>56</v>
      </c>
      <c r="D33" s="1"/>
      <c r="E33" s="3"/>
      <c r="F33" s="13"/>
      <c r="G33" s="5"/>
      <c r="I33" s="138"/>
      <c r="J33" s="138"/>
      <c r="K33" s="138"/>
      <c r="L33" s="138"/>
      <c r="M33" s="138"/>
      <c r="N33" s="138"/>
    </row>
    <row r="34" spans="1:14" ht="13.2" customHeight="1">
      <c r="A34" s="1"/>
      <c r="B34" s="1"/>
      <c r="C34" s="33"/>
      <c r="D34" s="1"/>
      <c r="E34" s="3"/>
      <c r="F34" s="13"/>
      <c r="G34" s="5"/>
      <c r="I34" s="138"/>
      <c r="J34" s="138"/>
      <c r="K34" s="138"/>
      <c r="L34" s="138"/>
      <c r="M34" s="138"/>
      <c r="N34" s="138"/>
    </row>
    <row r="35" spans="1:14" ht="13.2" customHeight="1">
      <c r="A35" s="1">
        <v>7</v>
      </c>
      <c r="B35" s="1"/>
      <c r="C35" s="33" t="s">
        <v>220</v>
      </c>
      <c r="D35" s="1"/>
      <c r="E35" s="3"/>
      <c r="F35" s="13"/>
      <c r="G35" s="5"/>
      <c r="I35" s="138"/>
      <c r="J35" s="138"/>
      <c r="K35" s="138"/>
      <c r="L35" s="138"/>
      <c r="M35" s="138"/>
      <c r="N35" s="138"/>
    </row>
    <row r="36" spans="1:14" ht="13.2" customHeight="1">
      <c r="A36" s="1"/>
      <c r="B36" s="1"/>
      <c r="C36" s="1"/>
      <c r="D36" s="1"/>
      <c r="E36" s="3"/>
      <c r="F36" s="13"/>
      <c r="G36" s="5"/>
      <c r="I36" s="138"/>
      <c r="J36" s="138"/>
      <c r="K36" s="138"/>
      <c r="L36" s="138"/>
      <c r="M36" s="138"/>
      <c r="N36" s="138"/>
    </row>
    <row r="37" spans="1:14" ht="13.2" customHeight="1">
      <c r="A37" s="1"/>
      <c r="B37" s="1"/>
      <c r="C37" s="33" t="s">
        <v>38</v>
      </c>
      <c r="D37" s="1" t="s">
        <v>51</v>
      </c>
      <c r="E37" s="3">
        <f>SUM(I37:N37)</f>
        <v>0</v>
      </c>
      <c r="F37" s="13">
        <v>3500</v>
      </c>
      <c r="G37" s="5">
        <f t="shared" ref="G37" si="21">+E37*F37</f>
        <v>0</v>
      </c>
      <c r="I37" s="139">
        <f t="shared" ref="I37:J37" si="22">((I19+I21)*0.292)+(I14*0.75)</f>
        <v>0</v>
      </c>
      <c r="J37" s="139">
        <f t="shared" si="22"/>
        <v>0</v>
      </c>
      <c r="K37" s="139">
        <f t="shared" ref="K37" si="23">((K19+K21)*0.292)+(K14*0.75)</f>
        <v>0</v>
      </c>
      <c r="L37" s="139">
        <f t="shared" ref="L37" si="24">((L19+L21)*0.292)+(L14*0.75)</f>
        <v>0</v>
      </c>
      <c r="M37" s="139"/>
      <c r="N37" s="139"/>
    </row>
    <row r="38" spans="1:14" ht="13.2" customHeight="1">
      <c r="A38" s="1"/>
      <c r="B38" s="1"/>
      <c r="C38" s="33"/>
      <c r="D38" s="1"/>
      <c r="E38" s="3"/>
      <c r="F38" s="13"/>
      <c r="G38" s="5"/>
      <c r="I38" s="138"/>
      <c r="J38" s="138"/>
      <c r="K38" s="138"/>
      <c r="L38" s="138"/>
      <c r="M38" s="138"/>
      <c r="N38" s="138"/>
    </row>
    <row r="39" spans="1:14" ht="13.2" customHeight="1">
      <c r="A39" s="1"/>
      <c r="B39" s="1" t="s">
        <v>23</v>
      </c>
      <c r="C39" s="32" t="s">
        <v>35</v>
      </c>
      <c r="D39" s="1"/>
      <c r="E39" s="3"/>
      <c r="F39" s="13"/>
      <c r="G39" s="5"/>
      <c r="I39" s="138"/>
      <c r="J39" s="138"/>
      <c r="K39" s="138"/>
      <c r="L39" s="138"/>
      <c r="M39" s="138"/>
      <c r="N39" s="138"/>
    </row>
    <row r="40" spans="1:14" ht="13.2" customHeight="1">
      <c r="A40" s="1"/>
      <c r="B40" s="1"/>
      <c r="C40" s="32"/>
      <c r="D40" s="1"/>
      <c r="E40" s="3"/>
      <c r="F40" s="13"/>
      <c r="G40" s="5"/>
      <c r="I40" s="138"/>
      <c r="J40" s="138"/>
      <c r="K40" s="138"/>
      <c r="L40" s="138"/>
      <c r="M40" s="138"/>
      <c r="N40" s="138"/>
    </row>
    <row r="41" spans="1:14" ht="13.2" customHeight="1">
      <c r="A41" s="1">
        <v>8</v>
      </c>
      <c r="B41" s="1"/>
      <c r="C41" s="33" t="s">
        <v>259</v>
      </c>
      <c r="D41" s="1" t="s">
        <v>6</v>
      </c>
      <c r="E41" s="3">
        <f>SUM(I41:N41)</f>
        <v>0</v>
      </c>
      <c r="F41" s="13">
        <v>875</v>
      </c>
      <c r="G41" s="5">
        <f t="shared" ref="G41" si="25">+E41*F41</f>
        <v>0</v>
      </c>
      <c r="I41" s="138">
        <f t="shared" ref="I41:J41" si="26">I14</f>
        <v>0</v>
      </c>
      <c r="J41" s="138">
        <f t="shared" si="26"/>
        <v>0</v>
      </c>
      <c r="K41" s="138">
        <f t="shared" ref="K41" si="27">K14</f>
        <v>0</v>
      </c>
      <c r="L41" s="138">
        <f t="shared" ref="L41" si="28">L14</f>
        <v>0</v>
      </c>
      <c r="M41" s="138"/>
      <c r="N41" s="138"/>
    </row>
    <row r="42" spans="1:14" ht="13.2" customHeight="1">
      <c r="A42" s="1"/>
      <c r="B42" s="2"/>
      <c r="C42" s="11"/>
      <c r="D42" s="1"/>
      <c r="E42" s="1"/>
      <c r="F42" s="13"/>
      <c r="G42" s="5"/>
      <c r="I42" s="1"/>
      <c r="J42" s="1"/>
      <c r="K42" s="108"/>
      <c r="L42" s="1"/>
      <c r="M42" s="108"/>
      <c r="N42" s="9"/>
    </row>
    <row r="43" spans="1:14" ht="24">
      <c r="A43" s="1"/>
      <c r="B43" s="2" t="s">
        <v>100</v>
      </c>
      <c r="C43" s="31" t="s">
        <v>79</v>
      </c>
      <c r="D43" s="1"/>
      <c r="E43" s="3"/>
      <c r="F43" s="14"/>
      <c r="G43" s="5"/>
      <c r="I43" s="3"/>
      <c r="J43" s="3"/>
      <c r="K43" s="108"/>
      <c r="L43" s="3"/>
      <c r="M43" s="108"/>
      <c r="N43" s="9"/>
    </row>
    <row r="44" spans="1:14" ht="13.95" customHeight="1">
      <c r="A44" s="1"/>
      <c r="B44" s="2"/>
      <c r="C44" s="8" t="s">
        <v>81</v>
      </c>
      <c r="D44" s="1"/>
      <c r="E44" s="3"/>
      <c r="F44" s="14"/>
      <c r="G44" s="5"/>
      <c r="I44" s="3"/>
      <c r="J44" s="3"/>
      <c r="K44" s="108"/>
      <c r="L44" s="3"/>
      <c r="M44" s="108"/>
      <c r="N44" s="9"/>
    </row>
    <row r="45" spans="1:14" ht="50.4" customHeight="1">
      <c r="A45" s="16">
        <v>9</v>
      </c>
      <c r="B45" s="33" t="s">
        <v>162</v>
      </c>
      <c r="C45" s="33" t="s">
        <v>163</v>
      </c>
      <c r="D45" s="9" t="s">
        <v>60</v>
      </c>
      <c r="E45" s="3">
        <f>SUM(I45:N45)</f>
        <v>88</v>
      </c>
      <c r="F45" s="13">
        <v>225</v>
      </c>
      <c r="G45" s="5">
        <f t="shared" ref="G45" si="29">+E45*F45</f>
        <v>19800</v>
      </c>
      <c r="I45" s="9">
        <v>88</v>
      </c>
      <c r="J45" s="9"/>
      <c r="K45" s="108"/>
      <c r="L45" s="9"/>
      <c r="M45" s="108"/>
      <c r="N45" s="9"/>
    </row>
    <row r="46" spans="1:14">
      <c r="A46" s="16"/>
      <c r="B46" s="33"/>
      <c r="D46" s="9"/>
      <c r="E46" s="3"/>
      <c r="F46" s="13"/>
      <c r="G46" s="5"/>
      <c r="I46" s="9"/>
      <c r="J46" s="9"/>
      <c r="K46" s="108"/>
      <c r="L46" s="9"/>
      <c r="M46" s="108"/>
      <c r="N46" s="9"/>
    </row>
    <row r="47" spans="1:14" ht="13.95" customHeight="1">
      <c r="A47" s="1"/>
      <c r="B47" s="2"/>
      <c r="C47" s="8"/>
      <c r="D47" s="9"/>
      <c r="E47" s="3"/>
      <c r="F47" s="4"/>
      <c r="G47" s="5"/>
      <c r="I47" s="9"/>
      <c r="J47" s="9"/>
      <c r="K47" s="108"/>
      <c r="L47" s="9"/>
      <c r="M47" s="108"/>
      <c r="N47" s="9"/>
    </row>
    <row r="48" spans="1:14" ht="20.100000000000001" customHeight="1">
      <c r="A48" s="149" t="s">
        <v>66</v>
      </c>
      <c r="B48" s="150"/>
      <c r="C48" s="150"/>
      <c r="D48" s="150"/>
      <c r="E48" s="150"/>
      <c r="F48" s="151"/>
      <c r="G48" s="116">
        <f>SUM(G8:G47)</f>
        <v>19800</v>
      </c>
      <c r="I48" s="9"/>
      <c r="J48" s="9"/>
      <c r="K48" s="108"/>
      <c r="L48" s="9"/>
      <c r="M48" s="108"/>
      <c r="N48" s="9"/>
    </row>
    <row r="49" spans="1:14">
      <c r="A49" s="39"/>
      <c r="B49" s="39"/>
      <c r="C49" s="39"/>
      <c r="D49" s="39"/>
      <c r="E49" s="39"/>
      <c r="F49" s="39"/>
      <c r="G49" s="113"/>
      <c r="I49" s="9"/>
      <c r="J49" s="9"/>
      <c r="K49" s="108"/>
      <c r="L49" s="9"/>
      <c r="M49" s="108"/>
      <c r="N49" s="9"/>
    </row>
    <row r="50" spans="1:14" ht="13.95" customHeight="1">
      <c r="A50" s="39"/>
      <c r="B50" s="39"/>
      <c r="C50" s="39"/>
      <c r="D50" s="39"/>
      <c r="E50" s="39"/>
      <c r="F50" s="39"/>
      <c r="G50" s="113"/>
      <c r="I50" s="9"/>
      <c r="J50" s="9"/>
      <c r="K50" s="108"/>
      <c r="L50" s="9"/>
      <c r="M50" s="108"/>
      <c r="N50" s="9"/>
    </row>
    <row r="51" spans="1:14" ht="24" customHeight="1">
      <c r="A51" s="44" t="s">
        <v>8</v>
      </c>
      <c r="B51" s="48" t="s">
        <v>9</v>
      </c>
      <c r="C51" s="44" t="s">
        <v>10</v>
      </c>
      <c r="D51" s="48" t="s">
        <v>11</v>
      </c>
      <c r="E51" s="48" t="s">
        <v>59</v>
      </c>
      <c r="F51" s="49" t="s">
        <v>12</v>
      </c>
      <c r="G51" s="111" t="s">
        <v>13</v>
      </c>
      <c r="I51" s="9"/>
      <c r="J51" s="9"/>
      <c r="K51" s="108"/>
      <c r="L51" s="9"/>
      <c r="M51" s="108"/>
      <c r="N51" s="9"/>
    </row>
    <row r="52" spans="1:14" ht="20.100000000000001" customHeight="1">
      <c r="A52" s="149" t="s">
        <v>67</v>
      </c>
      <c r="B52" s="150"/>
      <c r="C52" s="150"/>
      <c r="D52" s="150"/>
      <c r="E52" s="150"/>
      <c r="F52" s="151"/>
      <c r="G52" s="116">
        <f>+G48</f>
        <v>19800</v>
      </c>
      <c r="I52" s="9"/>
      <c r="J52" s="9"/>
      <c r="K52" s="108"/>
      <c r="L52" s="9"/>
      <c r="M52" s="108"/>
      <c r="N52" s="9"/>
    </row>
    <row r="53" spans="1:14" ht="9" customHeight="1">
      <c r="A53" s="1"/>
      <c r="B53" s="2"/>
      <c r="C53" s="8"/>
      <c r="D53" s="9"/>
      <c r="E53" s="3"/>
      <c r="F53" s="4"/>
      <c r="G53" s="5"/>
      <c r="I53" s="3"/>
      <c r="J53" s="3"/>
      <c r="K53" s="108"/>
      <c r="L53" s="3"/>
      <c r="M53" s="108"/>
      <c r="N53" s="9"/>
    </row>
    <row r="54" spans="1:14" ht="13.95" customHeight="1">
      <c r="A54" s="1"/>
      <c r="B54" s="2" t="s">
        <v>173</v>
      </c>
      <c r="C54" s="31" t="s">
        <v>79</v>
      </c>
      <c r="D54" s="1"/>
      <c r="E54" s="3"/>
      <c r="F54" s="4"/>
      <c r="G54" s="5"/>
      <c r="I54" s="3"/>
      <c r="J54" s="3"/>
      <c r="K54" s="108"/>
      <c r="L54" s="3"/>
      <c r="M54" s="108"/>
      <c r="N54" s="9"/>
    </row>
    <row r="55" spans="1:14" ht="13.95" customHeight="1">
      <c r="A55" s="1"/>
      <c r="B55" s="2"/>
      <c r="C55" s="8" t="s">
        <v>81</v>
      </c>
      <c r="D55" s="1"/>
      <c r="E55" s="3"/>
      <c r="F55" s="4"/>
      <c r="G55" s="5"/>
      <c r="I55" s="3"/>
      <c r="J55" s="3"/>
      <c r="K55" s="108"/>
      <c r="L55" s="3"/>
      <c r="M55" s="108"/>
      <c r="N55" s="9"/>
    </row>
    <row r="56" spans="1:14" ht="13.95" customHeight="1">
      <c r="A56" s="1"/>
      <c r="B56" s="1" t="s">
        <v>87</v>
      </c>
      <c r="C56" s="37" t="s">
        <v>0</v>
      </c>
      <c r="D56" s="1"/>
      <c r="E56" s="3"/>
      <c r="F56" s="4"/>
      <c r="G56" s="5"/>
      <c r="I56" s="3"/>
      <c r="J56" s="3"/>
      <c r="K56" s="108"/>
      <c r="L56" s="3"/>
      <c r="M56" s="108"/>
      <c r="N56" s="9"/>
    </row>
    <row r="57" spans="1:14" ht="13.95" customHeight="1">
      <c r="A57" s="1"/>
      <c r="B57" s="1"/>
      <c r="C57" s="33"/>
      <c r="D57" s="1"/>
      <c r="E57" s="3"/>
      <c r="F57" s="4"/>
      <c r="G57" s="5"/>
      <c r="I57" s="3"/>
      <c r="J57" s="3"/>
      <c r="K57" s="108"/>
      <c r="L57" s="3"/>
      <c r="M57" s="108"/>
      <c r="N57" s="9"/>
    </row>
    <row r="58" spans="1:14" ht="22.95" customHeight="1">
      <c r="A58" s="1"/>
      <c r="B58" s="1"/>
      <c r="C58" s="33" t="s">
        <v>61</v>
      </c>
      <c r="D58" s="1"/>
      <c r="E58" s="3"/>
      <c r="F58" s="4"/>
      <c r="G58" s="5"/>
      <c r="I58" s="3"/>
      <c r="J58" s="3"/>
      <c r="K58" s="108"/>
      <c r="L58" s="3"/>
      <c r="M58" s="108"/>
      <c r="N58" s="9"/>
    </row>
    <row r="59" spans="1:14" ht="13.95" customHeight="1">
      <c r="A59" s="1"/>
      <c r="B59" s="1"/>
      <c r="C59" s="6"/>
      <c r="D59" s="1"/>
      <c r="E59" s="3"/>
      <c r="F59" s="4"/>
      <c r="G59" s="5"/>
      <c r="I59" s="3"/>
      <c r="J59" s="3"/>
      <c r="K59" s="108"/>
      <c r="L59" s="3"/>
      <c r="M59" s="108"/>
      <c r="N59" s="9"/>
    </row>
    <row r="60" spans="1:14" ht="13.95" customHeight="1">
      <c r="A60" s="1">
        <v>10</v>
      </c>
      <c r="B60" s="1"/>
      <c r="C60" s="33" t="s">
        <v>14</v>
      </c>
      <c r="D60" s="1" t="s">
        <v>51</v>
      </c>
      <c r="E60" s="3">
        <f>SUM(I60:N60)</f>
        <v>77.150000000000006</v>
      </c>
      <c r="F60" s="13">
        <v>175</v>
      </c>
      <c r="G60" s="5">
        <f t="shared" ref="G60" si="30">+E60*F60</f>
        <v>13501.250000000002</v>
      </c>
      <c r="I60" s="3"/>
      <c r="J60" s="3">
        <v>60</v>
      </c>
      <c r="K60" s="108">
        <v>17.149999999999999</v>
      </c>
      <c r="L60" s="3"/>
      <c r="M60" s="108"/>
      <c r="N60" s="9"/>
    </row>
    <row r="61" spans="1:14" ht="9.75" customHeight="1">
      <c r="A61" s="1"/>
      <c r="B61" s="1"/>
      <c r="C61" s="33"/>
      <c r="D61" s="1"/>
      <c r="E61" s="3"/>
      <c r="F61" s="13"/>
      <c r="G61" s="5"/>
      <c r="I61" s="3"/>
      <c r="J61" s="3"/>
      <c r="K61" s="108"/>
      <c r="L61" s="3"/>
      <c r="M61" s="108"/>
      <c r="N61" s="9"/>
    </row>
    <row r="62" spans="1:14" ht="13.95" customHeight="1">
      <c r="A62" s="1"/>
      <c r="B62" s="1"/>
      <c r="C62" s="37" t="s">
        <v>111</v>
      </c>
      <c r="D62" s="1"/>
      <c r="E62" s="3"/>
      <c r="F62" s="13"/>
      <c r="G62" s="5"/>
      <c r="I62" s="3"/>
      <c r="J62" s="3"/>
      <c r="K62" s="108"/>
      <c r="L62" s="3"/>
      <c r="M62" s="108"/>
      <c r="N62" s="9"/>
    </row>
    <row r="63" spans="1:14" ht="9" customHeight="1">
      <c r="A63" s="1"/>
      <c r="B63" s="1"/>
      <c r="C63" s="33"/>
      <c r="D63" s="1"/>
      <c r="E63" s="3"/>
      <c r="F63" s="13"/>
      <c r="G63" s="5"/>
      <c r="I63" s="3"/>
      <c r="J63" s="3"/>
      <c r="K63" s="108"/>
      <c r="L63" s="3"/>
      <c r="M63" s="108"/>
      <c r="N63" s="9"/>
    </row>
    <row r="64" spans="1:14" ht="28.95" customHeight="1">
      <c r="A64" s="1">
        <v>11</v>
      </c>
      <c r="B64" s="1"/>
      <c r="C64" s="33" t="s">
        <v>54</v>
      </c>
      <c r="D64" s="1" t="s">
        <v>51</v>
      </c>
      <c r="E64" s="3">
        <f>SUM(I64:N64)</f>
        <v>0</v>
      </c>
      <c r="F64" s="13">
        <v>950</v>
      </c>
      <c r="G64" s="5">
        <f t="shared" ref="G64" si="31">+E64*F64</f>
        <v>0</v>
      </c>
      <c r="I64" s="3"/>
      <c r="J64" s="3"/>
      <c r="K64" s="108"/>
      <c r="L64" s="3"/>
      <c r="M64" s="108"/>
      <c r="N64" s="9"/>
    </row>
    <row r="65" spans="1:14" ht="13.95" customHeight="1">
      <c r="A65" s="1"/>
      <c r="B65" s="1"/>
      <c r="C65" s="33"/>
      <c r="D65" s="1"/>
      <c r="E65" s="3"/>
      <c r="F65" s="13"/>
      <c r="G65" s="5"/>
      <c r="I65" s="3"/>
      <c r="J65" s="3"/>
      <c r="K65" s="108"/>
      <c r="L65" s="3"/>
      <c r="M65" s="108"/>
      <c r="N65" s="9"/>
    </row>
    <row r="66" spans="1:14" ht="22.2" customHeight="1">
      <c r="A66" s="1"/>
      <c r="B66" s="1"/>
      <c r="C66" s="33" t="s">
        <v>57</v>
      </c>
      <c r="D66" s="1"/>
      <c r="E66" s="3"/>
      <c r="F66" s="13"/>
      <c r="G66" s="5"/>
      <c r="I66" s="3"/>
      <c r="J66" s="3"/>
      <c r="K66" s="108"/>
      <c r="L66" s="3"/>
      <c r="M66" s="108"/>
      <c r="N66" s="9"/>
    </row>
    <row r="67" spans="1:14" ht="13.95" customHeight="1">
      <c r="A67" s="1"/>
      <c r="B67" s="2"/>
      <c r="C67" s="8"/>
      <c r="D67" s="9"/>
      <c r="E67" s="3"/>
      <c r="F67" s="13"/>
      <c r="G67" s="5"/>
      <c r="I67" s="3"/>
      <c r="J67" s="3"/>
      <c r="K67" s="108"/>
      <c r="L67" s="3"/>
      <c r="M67" s="108"/>
      <c r="N67" s="9"/>
    </row>
    <row r="68" spans="1:14" ht="13.95" customHeight="1">
      <c r="A68" s="1"/>
      <c r="B68" s="1" t="s">
        <v>83</v>
      </c>
      <c r="C68" s="10" t="s">
        <v>25</v>
      </c>
      <c r="D68" s="9"/>
      <c r="E68" s="3"/>
      <c r="F68" s="13"/>
      <c r="G68" s="5"/>
      <c r="I68" s="3"/>
      <c r="J68" s="3"/>
      <c r="K68" s="108"/>
      <c r="L68" s="3"/>
      <c r="M68" s="108"/>
      <c r="N68" s="9"/>
    </row>
    <row r="69" spans="1:14" ht="13.95" customHeight="1">
      <c r="A69" s="1"/>
      <c r="B69" s="2"/>
      <c r="C69" s="8"/>
      <c r="D69" s="9"/>
      <c r="E69" s="3"/>
      <c r="F69" s="13"/>
      <c r="G69" s="5"/>
      <c r="I69" s="3"/>
      <c r="J69" s="3"/>
      <c r="K69" s="108"/>
      <c r="L69" s="3"/>
      <c r="M69" s="108"/>
      <c r="N69" s="9"/>
    </row>
    <row r="70" spans="1:14" ht="23.4" customHeight="1">
      <c r="A70" s="1"/>
      <c r="B70" s="2"/>
      <c r="C70" s="8" t="s">
        <v>109</v>
      </c>
      <c r="D70" s="9"/>
      <c r="E70" s="3"/>
      <c r="F70" s="13"/>
      <c r="G70" s="5"/>
      <c r="I70" s="3"/>
      <c r="J70" s="3"/>
      <c r="K70" s="108"/>
      <c r="L70" s="3"/>
      <c r="M70" s="108"/>
      <c r="N70" s="9"/>
    </row>
    <row r="71" spans="1:14" ht="13.95" customHeight="1">
      <c r="A71" s="1"/>
      <c r="B71" s="2"/>
      <c r="C71" s="8"/>
      <c r="D71" s="9"/>
      <c r="E71" s="3"/>
      <c r="F71" s="13"/>
      <c r="G71" s="5"/>
      <c r="I71" s="3"/>
      <c r="J71" s="3"/>
      <c r="K71" s="108"/>
      <c r="L71" s="3"/>
      <c r="M71" s="108"/>
      <c r="N71" s="9"/>
    </row>
    <row r="72" spans="1:14" ht="33.6" customHeight="1">
      <c r="A72" s="1">
        <v>12</v>
      </c>
      <c r="B72" s="2"/>
      <c r="C72" s="8" t="s">
        <v>108</v>
      </c>
      <c r="D72" s="9" t="s">
        <v>51</v>
      </c>
      <c r="E72" s="3">
        <f>SUM(I72:N72)</f>
        <v>46.78</v>
      </c>
      <c r="F72" s="13">
        <v>725</v>
      </c>
      <c r="G72" s="5">
        <f t="shared" ref="G72" si="32">+E72*F72</f>
        <v>33915.5</v>
      </c>
      <c r="I72" s="3"/>
      <c r="J72" s="3">
        <v>34</v>
      </c>
      <c r="K72" s="108">
        <v>12.78</v>
      </c>
      <c r="L72" s="3"/>
      <c r="M72" s="108"/>
      <c r="N72" s="9"/>
    </row>
    <row r="73" spans="1:14" ht="13.95" customHeight="1">
      <c r="A73" s="1"/>
      <c r="B73" s="2"/>
      <c r="C73" s="8"/>
      <c r="D73" s="9"/>
      <c r="E73" s="3"/>
      <c r="F73" s="13"/>
      <c r="G73" s="5"/>
      <c r="I73" s="3"/>
      <c r="J73" s="3"/>
      <c r="K73" s="108"/>
      <c r="L73" s="3"/>
      <c r="M73" s="108"/>
      <c r="N73" s="9"/>
    </row>
    <row r="74" spans="1:14" ht="21.6" customHeight="1">
      <c r="A74" s="1"/>
      <c r="B74" s="2" t="s">
        <v>101</v>
      </c>
      <c r="C74" s="34" t="s">
        <v>155</v>
      </c>
      <c r="D74" s="1"/>
      <c r="E74" s="3"/>
      <c r="F74" s="13"/>
      <c r="G74" s="5"/>
      <c r="I74" s="3"/>
      <c r="J74" s="3"/>
      <c r="K74" s="108"/>
      <c r="L74" s="3"/>
      <c r="M74" s="108"/>
      <c r="N74" s="9"/>
    </row>
    <row r="75" spans="1:14" ht="13.95" customHeight="1">
      <c r="A75" s="1"/>
      <c r="B75" s="1"/>
      <c r="C75" s="33"/>
      <c r="D75" s="1"/>
      <c r="E75" s="3"/>
      <c r="F75" s="13"/>
      <c r="G75" s="5"/>
      <c r="I75" s="3"/>
      <c r="J75" s="3"/>
      <c r="K75" s="108"/>
      <c r="L75" s="3"/>
      <c r="M75" s="108"/>
      <c r="N75" s="9"/>
    </row>
    <row r="76" spans="1:14" ht="13.95" customHeight="1">
      <c r="A76" s="1"/>
      <c r="B76" s="1" t="s">
        <v>88</v>
      </c>
      <c r="C76" s="32" t="s">
        <v>15</v>
      </c>
      <c r="D76" s="1"/>
      <c r="E76" s="3"/>
      <c r="F76" s="13"/>
      <c r="G76" s="5"/>
      <c r="I76" s="3"/>
      <c r="J76" s="3"/>
      <c r="K76" s="108"/>
      <c r="L76" s="3"/>
      <c r="M76" s="108"/>
      <c r="N76" s="9"/>
    </row>
    <row r="77" spans="1:14" ht="13.95" customHeight="1">
      <c r="A77" s="1"/>
      <c r="B77" s="1"/>
      <c r="C77" s="33"/>
      <c r="D77" s="1"/>
      <c r="E77" s="3"/>
      <c r="F77" s="13"/>
      <c r="G77" s="5"/>
      <c r="I77" s="3"/>
      <c r="J77" s="3"/>
      <c r="K77" s="108"/>
      <c r="L77" s="3"/>
      <c r="M77" s="108"/>
      <c r="N77" s="9"/>
    </row>
    <row r="78" spans="1:14" ht="13.95" customHeight="1">
      <c r="A78" s="1"/>
      <c r="B78" s="1" t="s">
        <v>82</v>
      </c>
      <c r="C78" s="34" t="s">
        <v>16</v>
      </c>
      <c r="D78" s="1"/>
      <c r="E78" s="3"/>
      <c r="F78" s="13"/>
      <c r="G78" s="5"/>
      <c r="I78" s="3"/>
      <c r="J78" s="3"/>
      <c r="K78" s="108"/>
      <c r="L78" s="3"/>
      <c r="M78" s="108"/>
      <c r="N78" s="9"/>
    </row>
    <row r="79" spans="1:14" ht="13.95" customHeight="1">
      <c r="A79" s="1"/>
      <c r="B79" s="1"/>
      <c r="C79" s="33"/>
      <c r="D79" s="1"/>
      <c r="E79" s="3"/>
      <c r="F79" s="13"/>
      <c r="G79" s="5"/>
      <c r="I79" s="3"/>
      <c r="J79" s="3"/>
      <c r="K79" s="108"/>
      <c r="L79" s="3"/>
      <c r="M79" s="108"/>
      <c r="N79" s="9"/>
    </row>
    <row r="80" spans="1:14" ht="13.95" customHeight="1">
      <c r="A80" s="1"/>
      <c r="B80" s="1"/>
      <c r="C80" s="37" t="s">
        <v>17</v>
      </c>
      <c r="D80" s="1"/>
      <c r="E80" s="3"/>
      <c r="F80" s="13"/>
      <c r="G80" s="5"/>
      <c r="I80" s="3"/>
      <c r="J80" s="3"/>
      <c r="K80" s="108"/>
      <c r="L80" s="3"/>
      <c r="M80" s="108"/>
      <c r="N80" s="9"/>
    </row>
    <row r="81" spans="1:14" ht="13.95" customHeight="1">
      <c r="A81" s="1"/>
      <c r="B81" s="1"/>
      <c r="C81" s="37"/>
      <c r="D81" s="1"/>
      <c r="E81" s="3"/>
      <c r="F81" s="13"/>
      <c r="G81" s="5"/>
      <c r="I81" s="3"/>
      <c r="J81" s="3"/>
      <c r="K81" s="108"/>
      <c r="L81" s="3"/>
      <c r="M81" s="108"/>
      <c r="N81" s="9"/>
    </row>
    <row r="82" spans="1:14" ht="13.95" customHeight="1">
      <c r="A82" s="1">
        <v>13</v>
      </c>
      <c r="B82" s="1"/>
      <c r="C82" s="33" t="s">
        <v>28</v>
      </c>
      <c r="D82" s="1" t="s">
        <v>60</v>
      </c>
      <c r="E82" s="3">
        <f>SUM(I82:N82)</f>
        <v>45.68</v>
      </c>
      <c r="F82" s="13">
        <v>475</v>
      </c>
      <c r="G82" s="5">
        <f t="shared" ref="G82" si="33">+E82*F82</f>
        <v>21698</v>
      </c>
      <c r="I82" s="3"/>
      <c r="J82" s="3">
        <v>42</v>
      </c>
      <c r="K82" s="108">
        <v>3.68</v>
      </c>
      <c r="L82" s="3"/>
      <c r="M82" s="108"/>
      <c r="N82" s="9"/>
    </row>
    <row r="83" spans="1:14" ht="13.95" customHeight="1">
      <c r="A83" s="1"/>
      <c r="B83" s="1"/>
      <c r="C83" s="33"/>
      <c r="D83" s="1"/>
      <c r="E83" s="3"/>
      <c r="F83" s="13"/>
      <c r="G83" s="5"/>
      <c r="I83" s="3"/>
      <c r="J83" s="3"/>
      <c r="K83" s="108"/>
      <c r="L83" s="3"/>
      <c r="M83" s="108"/>
      <c r="N83" s="9"/>
    </row>
    <row r="84" spans="1:14" ht="19.95" customHeight="1">
      <c r="A84" s="1"/>
      <c r="B84" s="1" t="s">
        <v>86</v>
      </c>
      <c r="C84" s="34" t="s">
        <v>26</v>
      </c>
      <c r="D84" s="1"/>
      <c r="E84" s="3"/>
      <c r="F84" s="13"/>
      <c r="G84" s="5"/>
      <c r="I84" s="3"/>
      <c r="J84" s="3"/>
      <c r="K84" s="108"/>
      <c r="L84" s="3"/>
      <c r="M84" s="108"/>
      <c r="N84" s="9"/>
    </row>
    <row r="85" spans="1:14" ht="13.95" customHeight="1">
      <c r="A85" s="1"/>
      <c r="B85" s="1"/>
      <c r="C85" s="33"/>
      <c r="D85" s="1"/>
      <c r="E85" s="3"/>
      <c r="F85" s="13"/>
      <c r="G85" s="5"/>
      <c r="I85" s="3"/>
      <c r="J85" s="3"/>
      <c r="K85" s="108"/>
      <c r="L85" s="3"/>
      <c r="M85" s="108"/>
      <c r="N85" s="9"/>
    </row>
    <row r="86" spans="1:14" ht="13.95" customHeight="1">
      <c r="A86" s="1"/>
      <c r="B86" s="1"/>
      <c r="C86" s="37" t="s">
        <v>17</v>
      </c>
      <c r="D86" s="1"/>
      <c r="E86" s="3"/>
      <c r="F86" s="13"/>
      <c r="G86" s="5"/>
      <c r="I86" s="3"/>
      <c r="J86" s="3"/>
      <c r="K86" s="108"/>
      <c r="L86" s="3"/>
      <c r="M86" s="108"/>
      <c r="N86" s="9"/>
    </row>
    <row r="87" spans="1:14" ht="13.95" customHeight="1">
      <c r="A87" s="1"/>
      <c r="B87" s="1"/>
      <c r="C87" s="33"/>
      <c r="D87" s="1"/>
      <c r="E87" s="3"/>
      <c r="F87" s="13"/>
      <c r="G87" s="5"/>
      <c r="I87" s="3"/>
      <c r="J87" s="3"/>
      <c r="K87" s="108"/>
      <c r="L87" s="3"/>
      <c r="M87" s="108"/>
      <c r="N87" s="9"/>
    </row>
    <row r="88" spans="1:14" ht="13.95" customHeight="1">
      <c r="A88" s="1">
        <v>14</v>
      </c>
      <c r="B88" s="1"/>
      <c r="C88" s="33" t="s">
        <v>201</v>
      </c>
      <c r="D88" s="1" t="s">
        <v>60</v>
      </c>
      <c r="E88" s="3">
        <f>SUM(I88:N88)</f>
        <v>17</v>
      </c>
      <c r="F88" s="13">
        <v>750</v>
      </c>
      <c r="G88" s="5">
        <f t="shared" ref="G88" si="34">+E88*F88</f>
        <v>12750</v>
      </c>
      <c r="I88" s="3"/>
      <c r="J88" s="3"/>
      <c r="K88" s="108"/>
      <c r="L88" s="3">
        <v>17</v>
      </c>
      <c r="M88" s="108"/>
      <c r="N88" s="9"/>
    </row>
    <row r="89" spans="1:14" ht="13.95" customHeight="1">
      <c r="A89" s="1"/>
      <c r="B89" s="1"/>
      <c r="C89" s="33"/>
      <c r="D89" s="1"/>
      <c r="E89" s="3"/>
      <c r="F89" s="13"/>
      <c r="G89" s="5"/>
      <c r="I89" s="3"/>
      <c r="J89" s="3"/>
      <c r="K89" s="108"/>
      <c r="L89" s="3"/>
      <c r="M89" s="108"/>
      <c r="N89" s="9"/>
    </row>
    <row r="90" spans="1:14" ht="13.95" customHeight="1">
      <c r="A90" s="1">
        <v>15</v>
      </c>
      <c r="B90" s="1"/>
      <c r="C90" s="33" t="s">
        <v>224</v>
      </c>
      <c r="D90" s="1" t="s">
        <v>60</v>
      </c>
      <c r="E90" s="3">
        <f>SUM(I90:N90)</f>
        <v>0</v>
      </c>
      <c r="F90" s="13">
        <v>635</v>
      </c>
      <c r="G90" s="5">
        <f t="shared" ref="G90" si="35">+E90*F90</f>
        <v>0</v>
      </c>
      <c r="I90" s="3"/>
      <c r="J90" s="3"/>
      <c r="K90" s="108"/>
      <c r="L90" s="3"/>
      <c r="M90" s="108"/>
      <c r="N90" s="9"/>
    </row>
    <row r="91" spans="1:14" ht="13.95" customHeight="1">
      <c r="A91" s="1"/>
      <c r="B91" s="1"/>
      <c r="C91" s="33"/>
      <c r="D91" s="1"/>
      <c r="E91" s="3"/>
      <c r="F91" s="13"/>
      <c r="G91" s="5"/>
      <c r="I91" s="3"/>
      <c r="J91" s="3"/>
      <c r="K91" s="108"/>
      <c r="L91" s="3"/>
      <c r="M91" s="108"/>
      <c r="N91" s="9"/>
    </row>
    <row r="92" spans="1:14" ht="13.95" customHeight="1">
      <c r="A92" s="1">
        <v>16</v>
      </c>
      <c r="B92" s="1"/>
      <c r="C92" s="33" t="s">
        <v>39</v>
      </c>
      <c r="D92" s="1" t="s">
        <v>60</v>
      </c>
      <c r="E92" s="3">
        <f>SUM(I92:N92)</f>
        <v>228</v>
      </c>
      <c r="F92" s="13">
        <v>850</v>
      </c>
      <c r="G92" s="5">
        <f t="shared" ref="G92" si="36">+E92*F92</f>
        <v>193800</v>
      </c>
      <c r="I92" s="3"/>
      <c r="J92" s="3">
        <v>223</v>
      </c>
      <c r="K92" s="108">
        <v>5</v>
      </c>
      <c r="L92" s="3"/>
      <c r="M92" s="108"/>
      <c r="N92" s="9"/>
    </row>
    <row r="93" spans="1:14" ht="13.95" customHeight="1">
      <c r="A93" s="1"/>
      <c r="B93" s="1"/>
      <c r="C93" s="33"/>
      <c r="D93" s="1"/>
      <c r="E93" s="3"/>
      <c r="F93" s="13"/>
      <c r="G93" s="5"/>
      <c r="I93" s="3"/>
      <c r="J93" s="3"/>
      <c r="K93" s="108"/>
      <c r="L93" s="3"/>
      <c r="M93" s="108"/>
      <c r="N93" s="9"/>
    </row>
    <row r="94" spans="1:14" ht="13.95" customHeight="1">
      <c r="A94" s="1">
        <v>17</v>
      </c>
      <c r="B94" s="1"/>
      <c r="C94" s="33" t="s">
        <v>247</v>
      </c>
      <c r="D94" s="1" t="s">
        <v>60</v>
      </c>
      <c r="E94" s="3">
        <f>SUM(I94:N94)</f>
        <v>0</v>
      </c>
      <c r="F94" s="13">
        <v>775</v>
      </c>
      <c r="G94" s="5">
        <f t="shared" ref="G94" si="37">+E94*F94</f>
        <v>0</v>
      </c>
      <c r="I94" s="3"/>
      <c r="J94" s="3"/>
      <c r="K94" s="108"/>
      <c r="L94" s="3"/>
      <c r="M94" s="108"/>
      <c r="N94" s="9"/>
    </row>
    <row r="95" spans="1:14" ht="13.95" customHeight="1">
      <c r="A95" s="1"/>
      <c r="B95" s="1"/>
      <c r="C95" s="33"/>
      <c r="D95" s="1"/>
      <c r="E95" s="3"/>
      <c r="F95" s="4"/>
      <c r="G95" s="5"/>
      <c r="I95" s="3"/>
      <c r="J95" s="3"/>
      <c r="K95" s="108"/>
      <c r="L95" s="3"/>
      <c r="M95" s="108"/>
      <c r="N95" s="9"/>
    </row>
    <row r="96" spans="1:14" ht="20.100000000000001" customHeight="1">
      <c r="A96" s="149" t="s">
        <v>66</v>
      </c>
      <c r="B96" s="150"/>
      <c r="C96" s="150"/>
      <c r="D96" s="150"/>
      <c r="E96" s="150"/>
      <c r="F96" s="151"/>
      <c r="G96" s="116">
        <f>SUM(G52:G95)</f>
        <v>295464.75</v>
      </c>
      <c r="I96" s="9"/>
      <c r="J96" s="9"/>
      <c r="K96" s="108"/>
      <c r="L96" s="9"/>
      <c r="M96" s="108"/>
      <c r="N96" s="9"/>
    </row>
    <row r="97" spans="1:14" ht="13.95" customHeight="1">
      <c r="A97" s="39"/>
      <c r="B97" s="39"/>
      <c r="C97" s="39"/>
      <c r="D97" s="39"/>
      <c r="E97" s="39"/>
      <c r="F97" s="39"/>
      <c r="G97" s="113"/>
      <c r="I97" s="9"/>
      <c r="J97" s="9"/>
      <c r="K97" s="108"/>
      <c r="L97" s="9"/>
      <c r="M97" s="108"/>
      <c r="N97" s="9"/>
    </row>
    <row r="98" spans="1:14" ht="13.95" customHeight="1">
      <c r="A98" s="39"/>
      <c r="B98" s="39"/>
      <c r="C98" s="39"/>
      <c r="D98" s="39"/>
      <c r="E98" s="39"/>
      <c r="F98" s="39"/>
      <c r="G98" s="113"/>
      <c r="I98" s="9"/>
      <c r="J98" s="9"/>
      <c r="K98" s="108"/>
      <c r="L98" s="9"/>
      <c r="M98" s="108"/>
      <c r="N98" s="9"/>
    </row>
    <row r="99" spans="1:14" ht="22.2" customHeight="1">
      <c r="A99" s="44" t="s">
        <v>8</v>
      </c>
      <c r="B99" s="48" t="s">
        <v>9</v>
      </c>
      <c r="C99" s="44" t="s">
        <v>10</v>
      </c>
      <c r="D99" s="48" t="s">
        <v>11</v>
      </c>
      <c r="E99" s="48" t="s">
        <v>59</v>
      </c>
      <c r="F99" s="49" t="s">
        <v>12</v>
      </c>
      <c r="G99" s="111" t="s">
        <v>13</v>
      </c>
      <c r="I99" s="9"/>
      <c r="J99" s="9"/>
      <c r="K99" s="108"/>
      <c r="L99" s="9"/>
      <c r="M99" s="108"/>
      <c r="N99" s="9"/>
    </row>
    <row r="100" spans="1:14" ht="20.100000000000001" customHeight="1">
      <c r="A100" s="149" t="s">
        <v>67</v>
      </c>
      <c r="B100" s="150"/>
      <c r="C100" s="150"/>
      <c r="D100" s="150"/>
      <c r="E100" s="150"/>
      <c r="F100" s="151"/>
      <c r="G100" s="116">
        <f>+G96</f>
        <v>295464.75</v>
      </c>
      <c r="I100" s="9"/>
      <c r="J100" s="9"/>
      <c r="K100" s="108"/>
      <c r="L100" s="9"/>
      <c r="M100" s="108"/>
      <c r="N100" s="9"/>
    </row>
    <row r="101" spans="1:14" ht="13.95" customHeight="1">
      <c r="A101" s="1"/>
      <c r="B101" s="1"/>
      <c r="C101" s="33"/>
      <c r="D101" s="1"/>
      <c r="E101" s="3"/>
      <c r="F101" s="13"/>
      <c r="G101" s="5"/>
      <c r="I101" s="9"/>
      <c r="J101" s="9"/>
      <c r="K101" s="108"/>
      <c r="L101" s="9"/>
      <c r="M101" s="108"/>
      <c r="N101" s="9"/>
    </row>
    <row r="102" spans="1:14" ht="13.95" customHeight="1">
      <c r="A102" s="1"/>
      <c r="B102" s="1"/>
      <c r="C102" s="37" t="s">
        <v>248</v>
      </c>
      <c r="D102" s="1"/>
      <c r="E102" s="3"/>
      <c r="F102" s="13"/>
      <c r="G102" s="5"/>
      <c r="I102" s="3"/>
      <c r="J102" s="3"/>
      <c r="K102" s="108"/>
      <c r="L102" s="3"/>
      <c r="M102" s="108"/>
      <c r="N102" s="9"/>
    </row>
    <row r="103" spans="1:14" ht="13.95" customHeight="1">
      <c r="A103" s="1"/>
      <c r="B103" s="1"/>
      <c r="C103" s="33"/>
      <c r="D103" s="1"/>
      <c r="E103" s="3"/>
      <c r="F103" s="13"/>
      <c r="G103" s="5"/>
      <c r="I103" s="3"/>
      <c r="J103" s="3"/>
      <c r="K103" s="108"/>
      <c r="L103" s="3"/>
      <c r="M103" s="108"/>
      <c r="N103" s="9"/>
    </row>
    <row r="104" spans="1:14" ht="13.95" customHeight="1">
      <c r="A104" s="1">
        <v>18</v>
      </c>
      <c r="B104" s="1"/>
      <c r="C104" s="33" t="s">
        <v>249</v>
      </c>
      <c r="D104" s="1" t="s">
        <v>60</v>
      </c>
      <c r="E104" s="3">
        <f>SUM(I104:N104)</f>
        <v>0</v>
      </c>
      <c r="F104" s="13">
        <v>1150</v>
      </c>
      <c r="G104" s="5">
        <f t="shared" ref="G104" si="38">+E104*F104</f>
        <v>0</v>
      </c>
      <c r="I104" s="3"/>
      <c r="J104" s="3"/>
      <c r="K104" s="108"/>
      <c r="L104" s="3"/>
      <c r="M104" s="108"/>
      <c r="N104" s="9"/>
    </row>
    <row r="105" spans="1:14" ht="13.95" customHeight="1">
      <c r="A105" s="1"/>
      <c r="B105" s="1"/>
      <c r="C105" s="33"/>
      <c r="D105" s="1"/>
      <c r="E105" s="3"/>
      <c r="F105" s="13"/>
      <c r="G105" s="5"/>
      <c r="I105" s="9"/>
      <c r="J105" s="9"/>
      <c r="K105" s="108"/>
      <c r="L105" s="9"/>
      <c r="M105" s="108"/>
      <c r="N105" s="9"/>
    </row>
    <row r="106" spans="1:14" ht="13.95" customHeight="1">
      <c r="A106" s="1"/>
      <c r="B106" s="1" t="s">
        <v>89</v>
      </c>
      <c r="C106" s="32" t="s">
        <v>156</v>
      </c>
      <c r="D106" s="1"/>
      <c r="E106" s="3"/>
      <c r="F106" s="4"/>
      <c r="G106" s="5"/>
      <c r="I106" s="9"/>
      <c r="J106" s="9"/>
      <c r="K106" s="108"/>
      <c r="L106" s="9"/>
      <c r="M106" s="108"/>
      <c r="N106" s="9"/>
    </row>
    <row r="107" spans="1:14" ht="13.95" customHeight="1">
      <c r="A107" s="1"/>
      <c r="B107" s="1"/>
      <c r="C107" s="33"/>
      <c r="D107" s="1"/>
      <c r="E107" s="3"/>
      <c r="F107" s="4"/>
      <c r="G107" s="5"/>
      <c r="I107" s="9"/>
      <c r="J107" s="9"/>
      <c r="K107" s="108"/>
      <c r="L107" s="9"/>
      <c r="M107" s="108"/>
      <c r="N107" s="9"/>
    </row>
    <row r="108" spans="1:14" ht="13.95" customHeight="1">
      <c r="A108" s="1">
        <v>19</v>
      </c>
      <c r="B108" s="1"/>
      <c r="C108" s="47" t="s">
        <v>244</v>
      </c>
      <c r="D108" s="1" t="s">
        <v>1</v>
      </c>
      <c r="E108" s="3">
        <f>SUM(I108:N108)</f>
        <v>42</v>
      </c>
      <c r="F108" s="3">
        <v>135</v>
      </c>
      <c r="G108" s="5">
        <f t="shared" ref="G108" si="39">+E108*F108</f>
        <v>5670</v>
      </c>
      <c r="I108" s="3">
        <v>42</v>
      </c>
      <c r="J108" s="3"/>
      <c r="K108" s="108"/>
      <c r="L108" s="3"/>
      <c r="M108" s="108"/>
      <c r="N108" s="9"/>
    </row>
    <row r="109" spans="1:14" ht="13.95" customHeight="1">
      <c r="A109" s="1"/>
      <c r="B109" s="1"/>
      <c r="C109" s="33"/>
      <c r="D109" s="1"/>
      <c r="E109" s="3"/>
      <c r="F109" s="4"/>
      <c r="G109" s="5"/>
      <c r="I109" s="3"/>
      <c r="J109" s="3"/>
      <c r="K109" s="108"/>
      <c r="L109" s="3"/>
      <c r="M109" s="108"/>
      <c r="N109" s="9"/>
    </row>
    <row r="110" spans="1:14" ht="13.95" customHeight="1">
      <c r="A110" s="1"/>
      <c r="B110" s="1" t="s">
        <v>90</v>
      </c>
      <c r="C110" s="32" t="s">
        <v>36</v>
      </c>
      <c r="D110" s="1"/>
      <c r="E110" s="3"/>
      <c r="F110" s="4"/>
      <c r="G110" s="5"/>
      <c r="I110" s="3"/>
      <c r="J110" s="3"/>
      <c r="K110" s="108"/>
      <c r="L110" s="3"/>
      <c r="M110" s="108"/>
      <c r="N110" s="9"/>
    </row>
    <row r="111" spans="1:14" ht="13.95" customHeight="1">
      <c r="A111" s="1"/>
      <c r="B111" s="1"/>
      <c r="C111" s="33"/>
      <c r="D111" s="1"/>
      <c r="E111" s="3"/>
      <c r="F111" s="4"/>
      <c r="G111" s="5"/>
      <c r="I111" s="3"/>
      <c r="J111" s="3"/>
      <c r="K111" s="108"/>
      <c r="L111" s="3"/>
      <c r="M111" s="108"/>
      <c r="N111" s="9"/>
    </row>
    <row r="112" spans="1:14" ht="24" customHeight="1">
      <c r="A112" s="1"/>
      <c r="B112" s="1"/>
      <c r="C112" s="33" t="s">
        <v>225</v>
      </c>
      <c r="D112" s="1"/>
      <c r="E112" s="3"/>
      <c r="F112" s="4"/>
      <c r="G112" s="5"/>
      <c r="I112" s="3"/>
      <c r="J112" s="3"/>
      <c r="K112" s="108"/>
      <c r="L112" s="3"/>
      <c r="M112" s="108"/>
      <c r="N112" s="9"/>
    </row>
    <row r="113" spans="1:14" ht="13.95" customHeight="1">
      <c r="A113" s="1"/>
      <c r="B113" s="1"/>
      <c r="C113" s="33"/>
      <c r="D113" s="1"/>
      <c r="E113" s="3"/>
      <c r="F113" s="4"/>
      <c r="G113" s="5"/>
      <c r="I113" s="3"/>
      <c r="J113" s="3"/>
      <c r="K113" s="108"/>
      <c r="L113" s="3"/>
      <c r="M113" s="108"/>
      <c r="N113" s="9"/>
    </row>
    <row r="114" spans="1:14" ht="13.95" customHeight="1">
      <c r="A114" s="1">
        <v>20</v>
      </c>
      <c r="B114" s="1"/>
      <c r="C114" s="33" t="s">
        <v>37</v>
      </c>
      <c r="D114" s="1" t="s">
        <v>6</v>
      </c>
      <c r="E114" s="3">
        <f>SUM(I114:N114)</f>
        <v>0</v>
      </c>
      <c r="F114" s="3">
        <v>75</v>
      </c>
      <c r="G114" s="5">
        <f t="shared" ref="G114" si="40">+E114*F114</f>
        <v>0</v>
      </c>
      <c r="I114" s="3"/>
      <c r="J114" s="3"/>
      <c r="K114" s="108"/>
      <c r="L114" s="3"/>
      <c r="M114" s="108"/>
      <c r="N114" s="9"/>
    </row>
    <row r="115" spans="1:14" ht="13.95" customHeight="1">
      <c r="A115" s="1"/>
      <c r="B115" s="1"/>
      <c r="C115" s="33"/>
      <c r="D115" s="1"/>
      <c r="E115" s="3"/>
      <c r="F115" s="3"/>
      <c r="G115" s="5"/>
      <c r="I115" s="3"/>
      <c r="J115" s="3"/>
      <c r="K115" s="108"/>
      <c r="L115" s="3"/>
      <c r="M115" s="108"/>
      <c r="N115" s="9"/>
    </row>
    <row r="116" spans="1:14" ht="13.95" customHeight="1">
      <c r="A116" s="1"/>
      <c r="B116" s="1"/>
      <c r="C116" s="33" t="s">
        <v>226</v>
      </c>
      <c r="D116" s="1" t="s">
        <v>6</v>
      </c>
      <c r="E116" s="3">
        <f>SUM(I116:N116)</f>
        <v>0</v>
      </c>
      <c r="F116" s="3">
        <v>275</v>
      </c>
      <c r="G116" s="5">
        <f t="shared" ref="G116" si="41">+E116*F116</f>
        <v>0</v>
      </c>
      <c r="I116" s="3"/>
      <c r="J116" s="3"/>
      <c r="K116" s="108"/>
      <c r="L116" s="3"/>
      <c r="M116" s="108"/>
      <c r="N116" s="9"/>
    </row>
    <row r="117" spans="1:14" ht="13.95" customHeight="1">
      <c r="A117" s="1"/>
      <c r="B117" s="1"/>
      <c r="D117" s="1"/>
      <c r="E117" s="3"/>
      <c r="F117" s="4"/>
      <c r="G117" s="5"/>
      <c r="I117" s="3"/>
      <c r="J117" s="3"/>
      <c r="K117" s="108"/>
      <c r="L117" s="3"/>
      <c r="M117" s="108"/>
      <c r="N117" s="9"/>
    </row>
    <row r="118" spans="1:14" ht="13.95" customHeight="1">
      <c r="A118" s="1"/>
      <c r="B118" s="1"/>
      <c r="C118" s="42" t="s">
        <v>104</v>
      </c>
      <c r="D118" s="1"/>
      <c r="E118" s="3"/>
      <c r="F118" s="4"/>
      <c r="G118" s="5"/>
      <c r="I118" s="3"/>
      <c r="J118" s="3"/>
      <c r="K118" s="108"/>
      <c r="L118" s="3"/>
      <c r="M118" s="108"/>
      <c r="N118" s="9"/>
    </row>
    <row r="119" spans="1:14" ht="13.95" customHeight="1">
      <c r="A119" s="1"/>
      <c r="B119" s="1"/>
      <c r="C119" s="6"/>
      <c r="D119" s="1"/>
      <c r="E119" s="3"/>
      <c r="F119" s="4"/>
      <c r="G119" s="5"/>
      <c r="I119" s="3"/>
      <c r="J119" s="3"/>
      <c r="K119" s="108"/>
      <c r="L119" s="3"/>
      <c r="M119" s="108"/>
      <c r="N119" s="9"/>
    </row>
    <row r="120" spans="1:14" ht="13.95" customHeight="1">
      <c r="A120" s="1">
        <f>A114+1</f>
        <v>21</v>
      </c>
      <c r="B120" s="1"/>
      <c r="C120" s="6" t="s">
        <v>106</v>
      </c>
      <c r="D120" s="1" t="s">
        <v>1</v>
      </c>
      <c r="E120" s="3">
        <f>SUM(I120:AG120)</f>
        <v>138</v>
      </c>
      <c r="F120" s="3">
        <v>36</v>
      </c>
      <c r="G120" s="5">
        <f t="shared" ref="G120" si="42">+E120*F120</f>
        <v>4968</v>
      </c>
      <c r="I120" s="3"/>
      <c r="J120" s="3">
        <v>104</v>
      </c>
      <c r="K120" s="108"/>
      <c r="L120" s="3">
        <v>34</v>
      </c>
      <c r="M120" s="108"/>
      <c r="N120" s="9"/>
    </row>
    <row r="121" spans="1:14" ht="13.95" customHeight="1">
      <c r="A121" s="1"/>
      <c r="B121" s="1"/>
      <c r="C121" s="6"/>
      <c r="D121" s="1"/>
      <c r="E121" s="3"/>
      <c r="F121" s="4"/>
      <c r="G121" s="5"/>
      <c r="I121" s="3"/>
      <c r="J121" s="3"/>
      <c r="K121" s="108"/>
      <c r="L121" s="3"/>
      <c r="M121" s="108"/>
      <c r="N121" s="9"/>
    </row>
    <row r="122" spans="1:14" ht="13.95" customHeight="1">
      <c r="A122" s="1"/>
      <c r="B122" s="2" t="s">
        <v>91</v>
      </c>
      <c r="C122" s="34" t="s">
        <v>18</v>
      </c>
      <c r="D122" s="1"/>
      <c r="E122" s="3"/>
      <c r="F122" s="4"/>
      <c r="G122" s="5"/>
      <c r="I122" s="3"/>
      <c r="J122" s="3"/>
      <c r="K122" s="108"/>
      <c r="L122" s="3"/>
      <c r="M122" s="108"/>
      <c r="N122" s="9"/>
    </row>
    <row r="123" spans="1:14" ht="13.95" customHeight="1">
      <c r="A123" s="1"/>
      <c r="B123" s="1"/>
      <c r="C123" s="33"/>
      <c r="D123" s="1"/>
      <c r="E123" s="3"/>
      <c r="F123" s="4"/>
      <c r="G123" s="5"/>
      <c r="I123" s="3"/>
      <c r="J123" s="3"/>
      <c r="K123" s="108"/>
      <c r="L123" s="3"/>
      <c r="M123" s="108"/>
      <c r="N123" s="9"/>
    </row>
    <row r="124" spans="1:14" ht="13.95" customHeight="1">
      <c r="A124" s="1"/>
      <c r="B124" s="1" t="s">
        <v>84</v>
      </c>
      <c r="C124" s="32" t="s">
        <v>19</v>
      </c>
      <c r="D124" s="1"/>
      <c r="E124" s="3"/>
      <c r="F124" s="4"/>
      <c r="G124" s="5"/>
      <c r="I124" s="3"/>
      <c r="J124" s="3"/>
      <c r="K124" s="108"/>
      <c r="L124" s="3"/>
      <c r="M124" s="108"/>
      <c r="N124" s="9"/>
    </row>
    <row r="125" spans="1:14" ht="13.95" customHeight="1">
      <c r="A125" s="1"/>
      <c r="B125" s="1"/>
      <c r="C125" s="33"/>
      <c r="D125" s="1"/>
      <c r="E125" s="3"/>
      <c r="F125" s="4"/>
      <c r="G125" s="5"/>
      <c r="I125" s="3"/>
      <c r="J125" s="3"/>
      <c r="K125" s="108"/>
      <c r="L125" s="3"/>
      <c r="M125" s="108"/>
      <c r="N125" s="9"/>
    </row>
    <row r="126" spans="1:14" ht="13.95" customHeight="1">
      <c r="A126" s="1">
        <f>A120+1</f>
        <v>22</v>
      </c>
      <c r="B126" s="1"/>
      <c r="C126" s="33" t="s">
        <v>72</v>
      </c>
      <c r="D126" s="1" t="s">
        <v>2</v>
      </c>
      <c r="E126" s="3">
        <f>SUM(I126:N126)</f>
        <v>7.7</v>
      </c>
      <c r="F126" s="3">
        <v>25750</v>
      </c>
      <c r="G126" s="5">
        <f t="shared" ref="G126" si="43">+E126*F126</f>
        <v>198275</v>
      </c>
      <c r="I126" s="4"/>
      <c r="J126" s="4">
        <v>6.3</v>
      </c>
      <c r="K126" s="108">
        <v>0.4</v>
      </c>
      <c r="L126" s="4">
        <v>1</v>
      </c>
      <c r="M126" s="108"/>
      <c r="N126" s="9"/>
    </row>
    <row r="127" spans="1:14" ht="13.95" customHeight="1">
      <c r="A127" s="1"/>
      <c r="B127" s="1"/>
      <c r="C127" s="33"/>
      <c r="D127" s="1"/>
      <c r="E127" s="3"/>
      <c r="F127" s="4"/>
      <c r="G127" s="5"/>
      <c r="I127" s="3"/>
      <c r="J127" s="3"/>
      <c r="K127" s="108"/>
      <c r="L127" s="3"/>
      <c r="M127" s="108"/>
      <c r="N127" s="9"/>
    </row>
    <row r="128" spans="1:14" ht="13.95" customHeight="1">
      <c r="A128" s="1"/>
      <c r="B128" s="1" t="s">
        <v>92</v>
      </c>
      <c r="C128" s="32" t="s">
        <v>3</v>
      </c>
      <c r="D128" s="1"/>
      <c r="E128" s="3"/>
      <c r="F128" s="4"/>
      <c r="G128" s="5"/>
      <c r="I128" s="3"/>
      <c r="J128" s="3"/>
      <c r="K128" s="108"/>
      <c r="L128" s="3"/>
      <c r="M128" s="108"/>
      <c r="N128" s="9"/>
    </row>
    <row r="129" spans="1:14" ht="13.95" customHeight="1">
      <c r="A129" s="1"/>
      <c r="B129" s="1"/>
      <c r="C129" s="33"/>
      <c r="D129" s="1"/>
      <c r="E129" s="3"/>
      <c r="F129" s="4"/>
      <c r="G129" s="5"/>
      <c r="I129" s="3"/>
      <c r="J129" s="3"/>
      <c r="K129" s="108"/>
      <c r="L129" s="3"/>
      <c r="M129" s="108"/>
      <c r="N129" s="9"/>
    </row>
    <row r="130" spans="1:14" ht="13.95" customHeight="1">
      <c r="A130" s="1">
        <f>A126+1</f>
        <v>23</v>
      </c>
      <c r="B130" s="1"/>
      <c r="C130" s="33" t="s">
        <v>73</v>
      </c>
      <c r="D130" s="1" t="s">
        <v>60</v>
      </c>
      <c r="E130" s="3">
        <f>SUM(I130:N130)</f>
        <v>80</v>
      </c>
      <c r="F130" s="13">
        <v>345</v>
      </c>
      <c r="G130" s="5">
        <f t="shared" ref="G130" si="44">+E130*F130</f>
        <v>27600</v>
      </c>
      <c r="I130" s="3">
        <v>80</v>
      </c>
      <c r="J130" s="3"/>
      <c r="K130" s="108"/>
      <c r="L130" s="3"/>
      <c r="M130" s="108"/>
      <c r="N130" s="9"/>
    </row>
    <row r="131" spans="1:14" ht="13.95" customHeight="1">
      <c r="A131" s="1"/>
      <c r="B131" s="1"/>
      <c r="C131" s="33"/>
      <c r="D131" s="1"/>
      <c r="E131" s="3"/>
      <c r="F131" s="4"/>
      <c r="G131" s="5"/>
      <c r="I131" s="3"/>
      <c r="J131" s="3"/>
      <c r="K131" s="108"/>
      <c r="L131" s="3"/>
      <c r="M131" s="108"/>
      <c r="N131" s="9"/>
    </row>
    <row r="132" spans="1:14" ht="13.95" customHeight="1">
      <c r="A132" s="1"/>
      <c r="B132" s="36" t="s">
        <v>93</v>
      </c>
      <c r="C132" s="34" t="s">
        <v>4</v>
      </c>
      <c r="D132" s="1"/>
      <c r="E132" s="3"/>
      <c r="F132" s="4"/>
      <c r="G132" s="5"/>
      <c r="I132" s="3"/>
      <c r="J132" s="3"/>
      <c r="K132" s="108"/>
      <c r="L132" s="3"/>
      <c r="M132" s="108"/>
      <c r="N132" s="9"/>
    </row>
    <row r="133" spans="1:14" ht="13.95" customHeight="1">
      <c r="A133" s="1"/>
      <c r="C133" s="33"/>
      <c r="D133" s="1"/>
      <c r="E133" s="3"/>
      <c r="F133" s="4"/>
      <c r="G133" s="5"/>
      <c r="I133" s="3"/>
      <c r="J133" s="3"/>
      <c r="K133" s="108"/>
      <c r="L133" s="3"/>
      <c r="M133" s="108"/>
      <c r="N133" s="9"/>
    </row>
    <row r="134" spans="1:14" ht="13.95" customHeight="1">
      <c r="A134" s="1"/>
      <c r="B134" s="20" t="s">
        <v>94</v>
      </c>
      <c r="C134" s="32" t="s">
        <v>5</v>
      </c>
      <c r="D134" s="1"/>
      <c r="E134" s="3"/>
      <c r="F134" s="4"/>
      <c r="G134" s="5"/>
      <c r="I134" s="3"/>
      <c r="J134" s="3"/>
      <c r="K134" s="108"/>
      <c r="L134" s="3"/>
      <c r="M134" s="108"/>
      <c r="N134" s="9"/>
    </row>
    <row r="135" spans="1:14" ht="13.95" customHeight="1">
      <c r="A135" s="1"/>
      <c r="C135" s="33"/>
      <c r="D135" s="1"/>
      <c r="E135" s="3"/>
      <c r="F135" s="4"/>
      <c r="G135" s="5"/>
      <c r="I135" s="3"/>
      <c r="J135" s="3"/>
      <c r="K135" s="108"/>
      <c r="L135" s="3"/>
      <c r="M135" s="108"/>
      <c r="N135" s="9"/>
    </row>
    <row r="136" spans="1:14" ht="13.95" customHeight="1">
      <c r="A136" s="1"/>
      <c r="C136" s="33" t="s">
        <v>74</v>
      </c>
      <c r="D136" s="1"/>
      <c r="E136" s="3"/>
      <c r="F136" s="4"/>
      <c r="G136" s="5"/>
      <c r="I136" s="3"/>
      <c r="J136" s="3"/>
      <c r="K136" s="108"/>
      <c r="L136" s="3"/>
      <c r="M136" s="108"/>
      <c r="N136" s="9"/>
    </row>
    <row r="137" spans="1:14" ht="13.95" customHeight="1">
      <c r="A137" s="1"/>
      <c r="C137" s="33"/>
      <c r="D137" s="1"/>
      <c r="E137" s="3"/>
      <c r="F137" s="4"/>
      <c r="G137" s="5"/>
      <c r="I137" s="3"/>
      <c r="J137" s="3"/>
      <c r="K137" s="108"/>
      <c r="L137" s="3"/>
      <c r="M137" s="108"/>
      <c r="N137" s="9"/>
    </row>
    <row r="138" spans="1:14" ht="13.95" customHeight="1">
      <c r="A138" s="1">
        <f>A130+1</f>
        <v>24</v>
      </c>
      <c r="C138" s="33" t="s">
        <v>24</v>
      </c>
      <c r="D138" s="1" t="s">
        <v>60</v>
      </c>
      <c r="E138" s="3">
        <f>SUM(I138:N138)</f>
        <v>72.290000000000006</v>
      </c>
      <c r="F138" s="3">
        <v>175</v>
      </c>
      <c r="G138" s="5">
        <f t="shared" ref="G138" si="45">+E138*F138</f>
        <v>12650.750000000002</v>
      </c>
      <c r="I138" s="3"/>
      <c r="J138" s="3">
        <v>67</v>
      </c>
      <c r="K138" s="108">
        <v>5.29</v>
      </c>
      <c r="L138" s="3"/>
      <c r="M138" s="108"/>
      <c r="N138" s="9"/>
    </row>
    <row r="139" spans="1:14" ht="13.95" customHeight="1">
      <c r="A139" s="1"/>
      <c r="C139" s="33"/>
      <c r="D139" s="1"/>
      <c r="E139" s="3"/>
      <c r="F139" s="3"/>
      <c r="G139" s="5"/>
      <c r="I139" s="3"/>
      <c r="J139" s="3"/>
      <c r="K139" s="108"/>
      <c r="L139" s="3"/>
      <c r="M139" s="108"/>
      <c r="N139" s="9"/>
    </row>
    <row r="140" spans="1:14" ht="13.95" customHeight="1">
      <c r="A140" s="1"/>
      <c r="C140" s="33"/>
      <c r="D140" s="1"/>
      <c r="E140" s="3"/>
      <c r="F140" s="3"/>
      <c r="G140" s="5"/>
      <c r="I140" s="3"/>
      <c r="J140" s="3"/>
      <c r="K140" s="108"/>
      <c r="L140" s="3"/>
      <c r="M140" s="108"/>
      <c r="N140" s="9"/>
    </row>
    <row r="141" spans="1:14" ht="13.95" customHeight="1">
      <c r="A141" s="1"/>
      <c r="C141" s="33"/>
      <c r="D141" s="1"/>
      <c r="E141" s="3"/>
      <c r="F141" s="3"/>
      <c r="G141" s="5"/>
      <c r="I141" s="3"/>
      <c r="J141" s="3"/>
      <c r="K141" s="108"/>
      <c r="L141" s="3"/>
      <c r="M141" s="108"/>
      <c r="N141" s="9"/>
    </row>
    <row r="142" spans="1:14" ht="13.95" customHeight="1">
      <c r="A142" s="1"/>
      <c r="C142" s="33"/>
      <c r="D142" s="1"/>
      <c r="E142" s="3"/>
      <c r="F142" s="3"/>
      <c r="G142" s="5"/>
      <c r="I142" s="3"/>
      <c r="J142" s="3"/>
      <c r="K142" s="108"/>
      <c r="L142" s="3"/>
      <c r="M142" s="108"/>
      <c r="N142" s="9"/>
    </row>
    <row r="143" spans="1:14" ht="13.95" customHeight="1">
      <c r="A143" s="1"/>
      <c r="C143" s="33"/>
      <c r="D143" s="1"/>
      <c r="E143" s="3"/>
      <c r="F143" s="3"/>
      <c r="G143" s="5"/>
      <c r="I143" s="3"/>
      <c r="J143" s="3"/>
      <c r="K143" s="108"/>
      <c r="L143" s="3"/>
      <c r="M143" s="108"/>
      <c r="N143" s="9"/>
    </row>
    <row r="144" spans="1:14" ht="13.95" customHeight="1">
      <c r="A144" s="1"/>
      <c r="C144" s="33"/>
      <c r="D144" s="1"/>
      <c r="E144" s="3"/>
      <c r="F144" s="3"/>
      <c r="G144" s="5"/>
      <c r="I144" s="3"/>
      <c r="J144" s="3"/>
      <c r="K144" s="108"/>
      <c r="L144" s="3"/>
      <c r="M144" s="108"/>
      <c r="N144" s="9"/>
    </row>
    <row r="145" spans="1:14" ht="13.95" customHeight="1">
      <c r="A145" s="1"/>
      <c r="B145" s="1"/>
      <c r="C145" s="33"/>
      <c r="D145" s="1"/>
      <c r="E145" s="3"/>
      <c r="F145" s="4"/>
      <c r="G145" s="5"/>
      <c r="I145" s="3"/>
      <c r="J145" s="3"/>
      <c r="K145" s="108"/>
      <c r="L145" s="3"/>
      <c r="M145" s="108"/>
      <c r="N145" s="9"/>
    </row>
    <row r="146" spans="1:14" ht="13.95" customHeight="1">
      <c r="A146" s="1"/>
      <c r="B146" s="1"/>
      <c r="C146" s="33"/>
      <c r="D146" s="1"/>
      <c r="E146" s="3"/>
      <c r="F146" s="4"/>
      <c r="G146" s="5"/>
      <c r="I146" s="3"/>
      <c r="J146" s="3"/>
      <c r="K146" s="108"/>
      <c r="L146" s="3"/>
      <c r="M146" s="108"/>
      <c r="N146" s="9"/>
    </row>
    <row r="147" spans="1:14" ht="13.95" customHeight="1">
      <c r="A147" s="1"/>
      <c r="B147" s="1"/>
      <c r="C147" s="33"/>
      <c r="D147" s="1"/>
      <c r="E147" s="3"/>
      <c r="F147" s="4"/>
      <c r="G147" s="5"/>
      <c r="I147" s="3"/>
      <c r="J147" s="3"/>
      <c r="K147" s="108"/>
      <c r="L147" s="3"/>
      <c r="M147" s="108"/>
      <c r="N147" s="9"/>
    </row>
    <row r="148" spans="1:14" ht="20.100000000000001" customHeight="1">
      <c r="A148" s="149" t="s">
        <v>66</v>
      </c>
      <c r="B148" s="150"/>
      <c r="C148" s="150"/>
      <c r="D148" s="150"/>
      <c r="E148" s="150"/>
      <c r="F148" s="151"/>
      <c r="G148" s="116">
        <f>SUM(G100:G147)</f>
        <v>544628.5</v>
      </c>
      <c r="I148" s="9"/>
      <c r="J148" s="9"/>
      <c r="K148" s="108"/>
      <c r="L148" s="9"/>
      <c r="M148" s="108"/>
      <c r="N148" s="9"/>
    </row>
    <row r="149" spans="1:14" ht="13.95" customHeight="1">
      <c r="A149" s="39"/>
      <c r="B149" s="39"/>
      <c r="C149" s="39"/>
      <c r="D149" s="39"/>
      <c r="E149" s="39"/>
      <c r="F149" s="39"/>
      <c r="G149" s="113"/>
      <c r="I149" s="9"/>
      <c r="J149" s="9"/>
      <c r="K149" s="108"/>
      <c r="L149" s="9"/>
      <c r="M149" s="108"/>
      <c r="N149" s="9"/>
    </row>
    <row r="150" spans="1:14" ht="13.95" customHeight="1">
      <c r="A150" s="39"/>
      <c r="B150" s="39"/>
      <c r="C150" s="39"/>
      <c r="D150" s="39"/>
      <c r="E150" s="39"/>
      <c r="F150" s="39"/>
      <c r="G150" s="113"/>
      <c r="I150" s="9"/>
      <c r="J150" s="9"/>
      <c r="K150" s="108"/>
      <c r="L150" s="9"/>
      <c r="M150" s="108"/>
      <c r="N150" s="9"/>
    </row>
    <row r="151" spans="1:14" ht="22.2" customHeight="1">
      <c r="A151" s="44" t="s">
        <v>8</v>
      </c>
      <c r="B151" s="48" t="s">
        <v>9</v>
      </c>
      <c r="C151" s="44" t="s">
        <v>10</v>
      </c>
      <c r="D151" s="48" t="s">
        <v>11</v>
      </c>
      <c r="E151" s="48" t="s">
        <v>59</v>
      </c>
      <c r="F151" s="49" t="s">
        <v>12</v>
      </c>
      <c r="G151" s="111" t="s">
        <v>13</v>
      </c>
      <c r="I151" s="9"/>
      <c r="J151" s="9"/>
      <c r="K151" s="108"/>
      <c r="L151" s="9"/>
      <c r="M151" s="108"/>
      <c r="N151" s="9"/>
    </row>
    <row r="152" spans="1:14" ht="20.100000000000001" customHeight="1">
      <c r="A152" s="149" t="s">
        <v>67</v>
      </c>
      <c r="B152" s="150"/>
      <c r="C152" s="150"/>
      <c r="D152" s="150"/>
      <c r="E152" s="150"/>
      <c r="F152" s="151"/>
      <c r="G152" s="116">
        <f>+G148</f>
        <v>544628.5</v>
      </c>
      <c r="I152" s="9"/>
      <c r="J152" s="9"/>
      <c r="K152" s="108"/>
      <c r="L152" s="9"/>
      <c r="M152" s="108"/>
      <c r="N152" s="9"/>
    </row>
    <row r="153" spans="1:14" ht="13.95" customHeight="1">
      <c r="A153" s="1"/>
      <c r="B153" s="1"/>
      <c r="C153" s="33"/>
      <c r="D153" s="1"/>
      <c r="E153" s="3"/>
      <c r="F153" s="4"/>
      <c r="G153" s="5"/>
      <c r="I153" s="3"/>
      <c r="J153" s="3"/>
      <c r="K153" s="108"/>
      <c r="L153" s="3"/>
      <c r="M153" s="108"/>
      <c r="N153" s="9"/>
    </row>
    <row r="154" spans="1:14" ht="13.95" customHeight="1">
      <c r="A154" s="1"/>
      <c r="B154" s="1"/>
      <c r="C154" s="32" t="s">
        <v>158</v>
      </c>
      <c r="D154" s="1"/>
      <c r="E154" s="3"/>
      <c r="F154" s="4"/>
      <c r="G154" s="5"/>
      <c r="I154" s="3"/>
      <c r="J154" s="3"/>
      <c r="K154" s="108"/>
      <c r="L154" s="3"/>
      <c r="M154" s="108"/>
      <c r="N154" s="9"/>
    </row>
    <row r="155" spans="1:14" ht="13.95" customHeight="1">
      <c r="A155" s="1"/>
      <c r="B155" s="1"/>
      <c r="C155" s="33"/>
      <c r="D155" s="1"/>
      <c r="E155" s="3"/>
      <c r="F155" s="4"/>
      <c r="G155" s="5"/>
      <c r="I155" s="3"/>
      <c r="J155" s="3"/>
      <c r="K155" s="108"/>
      <c r="L155" s="3"/>
      <c r="M155" s="108"/>
      <c r="N155" s="9"/>
    </row>
    <row r="156" spans="1:14" ht="13.95" customHeight="1">
      <c r="A156" s="1">
        <f>A138+1</f>
        <v>25</v>
      </c>
      <c r="B156" s="1"/>
      <c r="C156" s="33" t="s">
        <v>202</v>
      </c>
      <c r="D156" s="1" t="s">
        <v>51</v>
      </c>
      <c r="E156" s="3">
        <f>SUM(I156:N156)</f>
        <v>9</v>
      </c>
      <c r="F156" s="3">
        <v>3550</v>
      </c>
      <c r="G156" s="5">
        <f t="shared" ref="G156" si="46">+E156*F156</f>
        <v>31950</v>
      </c>
      <c r="I156" s="3"/>
      <c r="J156" s="3"/>
      <c r="K156" s="108"/>
      <c r="L156" s="3">
        <v>9</v>
      </c>
      <c r="M156" s="108"/>
      <c r="N156" s="9"/>
    </row>
    <row r="157" spans="1:14" ht="13.95" customHeight="1">
      <c r="A157" s="1"/>
      <c r="B157" s="1"/>
      <c r="C157" s="33"/>
      <c r="D157" s="1"/>
      <c r="E157" s="3"/>
      <c r="F157" s="3"/>
      <c r="G157" s="5"/>
      <c r="I157" s="3"/>
      <c r="J157" s="3"/>
      <c r="K157" s="108"/>
      <c r="L157" s="3"/>
      <c r="M157" s="108"/>
      <c r="N157" s="9"/>
    </row>
    <row r="158" spans="1:14" ht="13.95" customHeight="1">
      <c r="A158" s="1">
        <f>A156+1</f>
        <v>26</v>
      </c>
      <c r="B158" s="1"/>
      <c r="C158" s="33" t="s">
        <v>28</v>
      </c>
      <c r="D158" s="1" t="s">
        <v>51</v>
      </c>
      <c r="E158" s="3">
        <f>SUM(I158:N158)</f>
        <v>29.12</v>
      </c>
      <c r="F158" s="3">
        <v>3200</v>
      </c>
      <c r="G158" s="5">
        <f t="shared" ref="G158" si="47">+E158*F158</f>
        <v>93184</v>
      </c>
      <c r="I158" s="3"/>
      <c r="J158" s="3">
        <v>27</v>
      </c>
      <c r="K158" s="108">
        <v>2.12</v>
      </c>
      <c r="L158" s="3"/>
      <c r="M158" s="108"/>
      <c r="N158" s="9"/>
    </row>
    <row r="159" spans="1:14" ht="13.95" customHeight="1">
      <c r="A159" s="1"/>
      <c r="B159" s="1"/>
      <c r="C159" s="33"/>
      <c r="D159" s="1"/>
      <c r="E159" s="3"/>
      <c r="F159" s="3"/>
      <c r="G159" s="5"/>
      <c r="I159" s="3"/>
      <c r="J159" s="3"/>
      <c r="K159" s="108"/>
      <c r="L159" s="3"/>
      <c r="M159" s="108"/>
      <c r="N159" s="9"/>
    </row>
    <row r="160" spans="1:14" ht="13.95" customHeight="1">
      <c r="A160" s="1">
        <v>25</v>
      </c>
      <c r="B160" s="1"/>
      <c r="C160" s="33" t="s">
        <v>62</v>
      </c>
      <c r="D160" s="1" t="s">
        <v>51</v>
      </c>
      <c r="E160" s="3">
        <f>SUM(I160:N160)</f>
        <v>23.25</v>
      </c>
      <c r="F160" s="3">
        <v>3350</v>
      </c>
      <c r="G160" s="5">
        <f t="shared" ref="G160" si="48">+E160*F160</f>
        <v>77887.5</v>
      </c>
      <c r="I160" s="3"/>
      <c r="J160" s="3">
        <v>22</v>
      </c>
      <c r="K160" s="108">
        <v>1.25</v>
      </c>
      <c r="L160" s="3"/>
      <c r="M160" s="108"/>
      <c r="N160" s="9"/>
    </row>
    <row r="161" spans="1:14" ht="13.95" customHeight="1">
      <c r="A161" s="1"/>
      <c r="B161" s="1"/>
      <c r="C161" s="33"/>
      <c r="D161" s="1"/>
      <c r="E161" s="3"/>
      <c r="F161" s="3"/>
      <c r="G161" s="5"/>
      <c r="I161" s="3"/>
      <c r="J161" s="3"/>
      <c r="K161" s="108"/>
      <c r="L161" s="3"/>
      <c r="M161" s="108"/>
      <c r="N161" s="9"/>
    </row>
    <row r="162" spans="1:14" ht="13.95" customHeight="1">
      <c r="A162" s="1">
        <v>26</v>
      </c>
      <c r="B162" s="1"/>
      <c r="C162" s="33" t="s">
        <v>27</v>
      </c>
      <c r="D162" s="1" t="s">
        <v>51</v>
      </c>
      <c r="E162" s="3">
        <f>SUM(I162:N162)</f>
        <v>16</v>
      </c>
      <c r="F162" s="3">
        <v>3200</v>
      </c>
      <c r="G162" s="5">
        <f t="shared" ref="G162" si="49">+E162*F162</f>
        <v>51200</v>
      </c>
      <c r="I162" s="3">
        <v>16</v>
      </c>
      <c r="J162" s="3"/>
      <c r="K162" s="108"/>
      <c r="L162" s="3"/>
      <c r="M162" s="108"/>
      <c r="N162" s="9"/>
    </row>
    <row r="163" spans="1:14" ht="13.95" customHeight="1">
      <c r="A163" s="1"/>
      <c r="B163" s="1"/>
      <c r="C163" s="33"/>
      <c r="D163" s="1"/>
      <c r="E163" s="3"/>
      <c r="F163" s="3"/>
      <c r="G163" s="5"/>
      <c r="I163" s="3"/>
      <c r="J163" s="3"/>
      <c r="K163" s="108"/>
      <c r="L163" s="3"/>
      <c r="M163" s="108"/>
      <c r="N163" s="9"/>
    </row>
    <row r="164" spans="1:14" ht="13.95" customHeight="1">
      <c r="A164" s="1">
        <f>A162+1</f>
        <v>27</v>
      </c>
      <c r="B164" s="1"/>
      <c r="C164" s="33" t="s">
        <v>250</v>
      </c>
      <c r="D164" s="1" t="s">
        <v>51</v>
      </c>
      <c r="E164" s="3">
        <f>SUM(I164:N164)</f>
        <v>0</v>
      </c>
      <c r="F164" s="3">
        <v>3650</v>
      </c>
      <c r="G164" s="5">
        <f t="shared" ref="G164" si="50">+E164*F164</f>
        <v>0</v>
      </c>
      <c r="I164" s="3"/>
      <c r="J164" s="3"/>
      <c r="K164" s="108"/>
      <c r="L164" s="3"/>
      <c r="M164" s="108"/>
      <c r="N164" s="9"/>
    </row>
    <row r="165" spans="1:14" ht="13.95" customHeight="1">
      <c r="A165" s="1"/>
      <c r="B165" s="1"/>
      <c r="C165" s="33"/>
      <c r="D165" s="1"/>
      <c r="E165" s="3"/>
      <c r="F165" s="4"/>
      <c r="G165" s="5"/>
      <c r="I165" s="3"/>
      <c r="J165" s="3"/>
      <c r="K165" s="108"/>
      <c r="L165" s="3"/>
      <c r="M165" s="108"/>
      <c r="N165" s="9"/>
    </row>
    <row r="166" spans="1:14" ht="13.95" customHeight="1">
      <c r="A166" s="1"/>
      <c r="B166" s="1" t="s">
        <v>96</v>
      </c>
      <c r="C166" s="32" t="s">
        <v>159</v>
      </c>
      <c r="D166" s="1"/>
      <c r="E166" s="3"/>
      <c r="F166" s="4"/>
      <c r="G166" s="5"/>
      <c r="I166" s="9"/>
      <c r="J166" s="9"/>
      <c r="K166" s="108"/>
      <c r="L166" s="9"/>
      <c r="M166" s="108"/>
      <c r="N166" s="9"/>
    </row>
    <row r="167" spans="1:14" ht="13.95" customHeight="1">
      <c r="A167" s="1"/>
      <c r="B167" s="1"/>
      <c r="C167" s="33"/>
      <c r="D167" s="1"/>
      <c r="E167" s="3"/>
      <c r="F167" s="4"/>
      <c r="G167" s="5"/>
      <c r="I167" s="9"/>
      <c r="J167" s="9"/>
      <c r="K167" s="108"/>
      <c r="L167" s="9"/>
      <c r="M167" s="108"/>
      <c r="N167" s="9"/>
    </row>
    <row r="168" spans="1:14" ht="13.95" customHeight="1">
      <c r="A168" s="1"/>
      <c r="B168" s="1"/>
      <c r="C168" s="33" t="s">
        <v>160</v>
      </c>
      <c r="D168" s="1"/>
      <c r="E168" s="3"/>
      <c r="F168" s="4"/>
      <c r="G168" s="5"/>
      <c r="I168" s="9"/>
      <c r="J168" s="9"/>
      <c r="K168" s="108"/>
      <c r="L168" s="9"/>
      <c r="M168" s="108"/>
      <c r="N168" s="9"/>
    </row>
    <row r="169" spans="1:14" ht="13.95" customHeight="1">
      <c r="A169" s="1"/>
      <c r="B169" s="1"/>
      <c r="C169" s="33"/>
      <c r="D169" s="1"/>
      <c r="E169" s="3"/>
      <c r="F169" s="4"/>
      <c r="G169" s="5"/>
      <c r="I169" s="9"/>
      <c r="J169" s="9"/>
      <c r="K169" s="108"/>
      <c r="L169" s="9"/>
      <c r="M169" s="108"/>
      <c r="N169" s="9"/>
    </row>
    <row r="170" spans="1:14" ht="13.95" customHeight="1">
      <c r="A170" s="1">
        <f>A164+1</f>
        <v>28</v>
      </c>
      <c r="B170" s="1"/>
      <c r="C170" s="33" t="s">
        <v>28</v>
      </c>
      <c r="D170" s="1" t="s">
        <v>60</v>
      </c>
      <c r="E170" s="3">
        <f>SUM(I170:N170)</f>
        <v>72.290000000000006</v>
      </c>
      <c r="F170" s="3">
        <v>46</v>
      </c>
      <c r="G170" s="5">
        <f t="shared" ref="G170" si="51">+E170*F170</f>
        <v>3325.34</v>
      </c>
      <c r="I170" s="3"/>
      <c r="J170" s="3">
        <v>67</v>
      </c>
      <c r="K170" s="108">
        <v>5.29</v>
      </c>
      <c r="L170" s="3"/>
      <c r="M170" s="108"/>
      <c r="N170" s="9"/>
    </row>
    <row r="171" spans="1:14" ht="13.95" customHeight="1">
      <c r="A171" s="1"/>
      <c r="B171" s="1"/>
      <c r="C171" s="33"/>
      <c r="D171" s="1"/>
      <c r="E171" s="3"/>
      <c r="F171" s="3"/>
      <c r="G171" s="5"/>
      <c r="I171" s="3"/>
      <c r="J171" s="3"/>
      <c r="K171" s="108"/>
      <c r="L171" s="3"/>
      <c r="M171" s="108"/>
      <c r="N171" s="9"/>
    </row>
    <row r="172" spans="1:14" ht="13.95" customHeight="1">
      <c r="A172" s="1"/>
      <c r="B172" s="1"/>
      <c r="C172" s="33" t="s">
        <v>196</v>
      </c>
      <c r="D172" s="1"/>
      <c r="E172" s="3"/>
      <c r="F172" s="3"/>
      <c r="G172" s="5"/>
      <c r="I172" s="3"/>
      <c r="J172" s="3"/>
      <c r="K172" s="108"/>
      <c r="L172" s="3"/>
      <c r="M172" s="108"/>
      <c r="N172" s="9"/>
    </row>
    <row r="173" spans="1:14" ht="13.95" customHeight="1">
      <c r="A173" s="1"/>
      <c r="B173" s="1"/>
      <c r="C173" s="33"/>
      <c r="D173" s="1"/>
      <c r="E173" s="3"/>
      <c r="F173" s="3"/>
      <c r="G173" s="5"/>
      <c r="I173" s="3"/>
      <c r="J173" s="3"/>
      <c r="K173" s="108"/>
      <c r="L173" s="3"/>
      <c r="M173" s="108"/>
      <c r="N173" s="9"/>
    </row>
    <row r="174" spans="1:14" ht="13.95" customHeight="1">
      <c r="A174" s="1">
        <f>A170+1</f>
        <v>29</v>
      </c>
      <c r="B174" s="1"/>
      <c r="C174" s="33" t="s">
        <v>29</v>
      </c>
      <c r="D174" s="1" t="s">
        <v>60</v>
      </c>
      <c r="E174" s="3">
        <f>SUM(I174:N174)</f>
        <v>80</v>
      </c>
      <c r="F174" s="3">
        <v>75</v>
      </c>
      <c r="G174" s="5">
        <f t="shared" ref="G174" si="52">+E174*F174</f>
        <v>6000</v>
      </c>
      <c r="I174" s="3">
        <v>80</v>
      </c>
      <c r="J174" s="3"/>
      <c r="K174" s="108"/>
      <c r="L174" s="3"/>
      <c r="M174" s="108"/>
      <c r="N174" s="9"/>
    </row>
    <row r="175" spans="1:14" ht="13.95" customHeight="1">
      <c r="A175" s="1"/>
      <c r="B175" s="1"/>
      <c r="C175" s="33"/>
      <c r="D175" s="1"/>
      <c r="E175" s="3"/>
      <c r="F175" s="4"/>
      <c r="G175" s="5"/>
      <c r="I175" s="3"/>
      <c r="J175" s="3"/>
      <c r="K175" s="108"/>
      <c r="L175" s="3"/>
      <c r="M175" s="108"/>
      <c r="N175" s="9"/>
    </row>
    <row r="176" spans="1:14" ht="13.95" customHeight="1">
      <c r="A176" s="1"/>
      <c r="B176" s="1" t="s">
        <v>97</v>
      </c>
      <c r="C176" s="34" t="s">
        <v>20</v>
      </c>
      <c r="D176" s="1"/>
      <c r="E176" s="3"/>
      <c r="F176" s="4"/>
      <c r="G176" s="5"/>
      <c r="I176" s="3"/>
      <c r="J176" s="3"/>
      <c r="K176" s="108"/>
      <c r="L176" s="3"/>
      <c r="M176" s="108"/>
      <c r="N176" s="9"/>
    </row>
    <row r="177" spans="1:14" ht="13.95" customHeight="1">
      <c r="A177" s="1"/>
      <c r="B177" s="1"/>
      <c r="C177" s="34"/>
      <c r="D177" s="1"/>
      <c r="E177" s="3"/>
      <c r="F177" s="4"/>
      <c r="G177" s="5"/>
      <c r="I177" s="3"/>
      <c r="J177" s="3"/>
      <c r="K177" s="108"/>
      <c r="L177" s="3"/>
      <c r="M177" s="108"/>
      <c r="N177" s="9"/>
    </row>
    <row r="178" spans="1:14" ht="13.95" customHeight="1">
      <c r="A178" s="1"/>
      <c r="B178" s="1"/>
      <c r="C178" s="32" t="s">
        <v>213</v>
      </c>
      <c r="D178" s="1"/>
      <c r="E178" s="3"/>
      <c r="F178" s="4"/>
      <c r="G178" s="5"/>
      <c r="I178" s="3"/>
      <c r="J178" s="3"/>
      <c r="K178" s="108"/>
      <c r="L178" s="3"/>
      <c r="M178" s="108"/>
      <c r="N178" s="9"/>
    </row>
    <row r="179" spans="1:14" ht="13.95" customHeight="1">
      <c r="A179" s="1"/>
      <c r="B179" s="1"/>
      <c r="C179" s="34"/>
      <c r="D179" s="1"/>
      <c r="E179" s="3"/>
      <c r="F179" s="4"/>
      <c r="G179" s="5"/>
      <c r="I179" s="3"/>
      <c r="J179" s="3"/>
      <c r="K179" s="108"/>
      <c r="L179" s="3"/>
      <c r="M179" s="108"/>
      <c r="N179" s="9"/>
    </row>
    <row r="180" spans="1:14" ht="27" customHeight="1">
      <c r="A180" s="1">
        <f>A174+1</f>
        <v>30</v>
      </c>
      <c r="B180" s="1"/>
      <c r="C180" s="33" t="s">
        <v>237</v>
      </c>
      <c r="D180" s="1" t="s">
        <v>1</v>
      </c>
      <c r="E180" s="3">
        <f>SUM(I180:N180)</f>
        <v>0</v>
      </c>
      <c r="F180" s="3">
        <v>375</v>
      </c>
      <c r="G180" s="5">
        <f t="shared" ref="G180" si="53">+E180*F180</f>
        <v>0</v>
      </c>
      <c r="I180" s="3"/>
      <c r="J180" s="3"/>
      <c r="K180" s="108"/>
      <c r="L180" s="3"/>
      <c r="M180" s="108"/>
      <c r="N180" s="9"/>
    </row>
    <row r="181" spans="1:14" ht="13.95" customHeight="1">
      <c r="A181" s="1"/>
      <c r="B181" s="1"/>
      <c r="C181" s="33"/>
      <c r="D181" s="1"/>
      <c r="E181" s="3"/>
      <c r="F181" s="3"/>
      <c r="G181" s="5"/>
      <c r="I181" s="3"/>
      <c r="J181" s="3"/>
      <c r="K181" s="108"/>
      <c r="L181" s="3"/>
      <c r="M181" s="108"/>
      <c r="N181" s="9"/>
    </row>
    <row r="182" spans="1:14" ht="24.6" customHeight="1">
      <c r="A182" s="1">
        <f>A180+1</f>
        <v>31</v>
      </c>
      <c r="B182" s="1"/>
      <c r="C182" s="33" t="s">
        <v>285</v>
      </c>
      <c r="D182" s="1" t="s">
        <v>1</v>
      </c>
      <c r="E182" s="3">
        <f>SUM(I182:N182)</f>
        <v>42</v>
      </c>
      <c r="F182" s="3">
        <v>355</v>
      </c>
      <c r="G182" s="5">
        <f t="shared" ref="G182" si="54">+E182*F182</f>
        <v>14910</v>
      </c>
      <c r="I182" s="3">
        <v>42</v>
      </c>
      <c r="J182" s="3"/>
      <c r="K182" s="108"/>
      <c r="L182" s="3"/>
      <c r="M182" s="108"/>
      <c r="N182" s="9"/>
    </row>
    <row r="183" spans="1:14" ht="13.95" customHeight="1">
      <c r="A183" s="1"/>
      <c r="B183" s="1"/>
      <c r="C183" s="33"/>
      <c r="D183" s="1"/>
      <c r="E183" s="3"/>
      <c r="F183" s="3"/>
      <c r="G183" s="5"/>
      <c r="I183" s="3"/>
      <c r="J183" s="3"/>
      <c r="K183" s="108"/>
      <c r="L183" s="3"/>
      <c r="M183" s="108"/>
      <c r="N183" s="9"/>
    </row>
    <row r="184" spans="1:14" ht="23.4" customHeight="1">
      <c r="A184" s="1">
        <f>A182+1</f>
        <v>32</v>
      </c>
      <c r="B184" s="1"/>
      <c r="C184" s="33" t="s">
        <v>243</v>
      </c>
      <c r="D184" s="1" t="s">
        <v>1</v>
      </c>
      <c r="E184" s="3">
        <f>SUM(I184:N184)</f>
        <v>76</v>
      </c>
      <c r="F184" s="3">
        <v>195</v>
      </c>
      <c r="G184" s="5">
        <f t="shared" ref="G184" si="55">+E184*F184</f>
        <v>14820</v>
      </c>
      <c r="I184" s="3">
        <v>42</v>
      </c>
      <c r="J184" s="3"/>
      <c r="K184" s="108"/>
      <c r="L184" s="3">
        <v>34</v>
      </c>
      <c r="M184" s="108"/>
      <c r="N184" s="9"/>
    </row>
    <row r="185" spans="1:14" ht="13.95" customHeight="1">
      <c r="A185" s="1"/>
      <c r="B185" s="1"/>
      <c r="C185" s="33"/>
      <c r="D185" s="1"/>
      <c r="E185" s="3"/>
      <c r="F185" s="3"/>
      <c r="G185" s="5"/>
      <c r="I185" s="3"/>
      <c r="J185" s="3"/>
      <c r="K185" s="108"/>
      <c r="L185" s="3"/>
      <c r="M185" s="108"/>
      <c r="N185" s="9"/>
    </row>
    <row r="186" spans="1:14" ht="13.95" customHeight="1">
      <c r="A186" s="1"/>
      <c r="B186" s="1"/>
      <c r="C186" s="33" t="s">
        <v>239</v>
      </c>
      <c r="D186" s="1" t="s">
        <v>1</v>
      </c>
      <c r="E186" s="3">
        <f>SUM(I186:N186)</f>
        <v>15</v>
      </c>
      <c r="F186" s="3">
        <v>155</v>
      </c>
      <c r="G186" s="5">
        <f t="shared" ref="G186" si="56">+E186*F186</f>
        <v>2325</v>
      </c>
      <c r="I186" s="3">
        <v>15</v>
      </c>
      <c r="J186" s="3"/>
      <c r="K186" s="108"/>
      <c r="L186" s="3"/>
      <c r="M186" s="108"/>
      <c r="N186" s="9"/>
    </row>
    <row r="187" spans="1:14" ht="13.95" customHeight="1">
      <c r="A187" s="1"/>
      <c r="B187" s="1"/>
      <c r="C187" s="33"/>
      <c r="D187" s="1"/>
      <c r="E187" s="3"/>
      <c r="F187" s="4"/>
      <c r="G187" s="5"/>
      <c r="I187" s="3"/>
      <c r="J187" s="3"/>
      <c r="K187" s="108"/>
      <c r="L187" s="3"/>
      <c r="M187" s="108"/>
      <c r="N187" s="9"/>
    </row>
    <row r="188" spans="1:14" ht="13.95" customHeight="1">
      <c r="A188" s="1"/>
      <c r="B188" s="1"/>
      <c r="C188" s="32" t="s">
        <v>198</v>
      </c>
      <c r="D188" s="1"/>
      <c r="E188" s="3"/>
      <c r="F188" s="4"/>
      <c r="G188" s="5"/>
      <c r="I188" s="3"/>
      <c r="J188" s="3"/>
      <c r="K188" s="108"/>
      <c r="L188" s="3"/>
      <c r="M188" s="108"/>
      <c r="N188" s="9"/>
    </row>
    <row r="189" spans="1:14" ht="13.95" customHeight="1">
      <c r="A189" s="1"/>
      <c r="B189" s="1"/>
      <c r="C189" s="33"/>
      <c r="D189" s="1"/>
      <c r="E189" s="3"/>
      <c r="F189" s="4"/>
      <c r="G189" s="5"/>
      <c r="I189" s="3"/>
      <c r="J189" s="3"/>
      <c r="K189" s="108"/>
      <c r="L189" s="3"/>
      <c r="M189" s="108"/>
      <c r="N189" s="9"/>
    </row>
    <row r="190" spans="1:14" ht="13.95" customHeight="1">
      <c r="A190" s="1">
        <f>A184+1</f>
        <v>33</v>
      </c>
      <c r="B190" s="1"/>
      <c r="C190" s="33" t="s">
        <v>199</v>
      </c>
      <c r="D190" s="1" t="s">
        <v>1</v>
      </c>
      <c r="E190" s="3">
        <f>SUM(I190:N190)</f>
        <v>22</v>
      </c>
      <c r="F190" s="3">
        <f>F180</f>
        <v>375</v>
      </c>
      <c r="G190" s="5">
        <f t="shared" ref="G190" si="57">+E190*F190</f>
        <v>8250</v>
      </c>
      <c r="I190" s="3"/>
      <c r="J190" s="3">
        <v>22</v>
      </c>
      <c r="K190" s="108"/>
      <c r="L190" s="3"/>
      <c r="M190" s="108"/>
      <c r="N190" s="9"/>
    </row>
    <row r="191" spans="1:14" ht="13.95" customHeight="1">
      <c r="A191" s="1"/>
      <c r="B191" s="1"/>
      <c r="C191" s="33"/>
      <c r="D191" s="1"/>
      <c r="E191" s="3"/>
      <c r="F191" s="3"/>
      <c r="G191" s="5"/>
      <c r="I191" s="3"/>
      <c r="J191" s="3"/>
      <c r="K191" s="108"/>
      <c r="L191" s="3"/>
      <c r="M191" s="108"/>
      <c r="N191" s="9"/>
    </row>
    <row r="192" spans="1:14" ht="13.95" customHeight="1">
      <c r="A192" s="1">
        <f>A190+1</f>
        <v>34</v>
      </c>
      <c r="B192" s="1"/>
      <c r="C192" s="33" t="s">
        <v>200</v>
      </c>
      <c r="D192" s="1" t="s">
        <v>1</v>
      </c>
      <c r="E192" s="3">
        <f>SUM(I192:N192)</f>
        <v>18</v>
      </c>
      <c r="F192" s="3">
        <v>395</v>
      </c>
      <c r="G192" s="5">
        <f t="shared" ref="G192" si="58">+E192*F192</f>
        <v>7110</v>
      </c>
      <c r="I192" s="3"/>
      <c r="J192" s="3">
        <v>18</v>
      </c>
      <c r="K192" s="108"/>
      <c r="L192" s="3"/>
      <c r="M192" s="108"/>
      <c r="N192" s="9"/>
    </row>
    <row r="193" spans="1:14" ht="13.95" customHeight="1">
      <c r="A193" s="1"/>
      <c r="B193" s="1"/>
      <c r="C193" s="33"/>
      <c r="D193" s="1"/>
      <c r="E193" s="3"/>
      <c r="F193" s="3"/>
      <c r="G193" s="5"/>
      <c r="I193" s="3"/>
      <c r="J193" s="3"/>
      <c r="K193" s="108"/>
      <c r="L193" s="3"/>
      <c r="M193" s="108"/>
      <c r="N193" s="9"/>
    </row>
    <row r="194" spans="1:14" ht="13.95" customHeight="1">
      <c r="A194" s="1">
        <f>A192+1</f>
        <v>35</v>
      </c>
      <c r="B194" s="1"/>
      <c r="C194" s="33" t="s">
        <v>214</v>
      </c>
      <c r="D194" s="1" t="s">
        <v>1</v>
      </c>
      <c r="E194" s="3">
        <f>SUM(I194:N194)</f>
        <v>12</v>
      </c>
      <c r="F194" s="3">
        <v>395</v>
      </c>
      <c r="G194" s="5">
        <f t="shared" ref="G194" si="59">+E194*F194</f>
        <v>4740</v>
      </c>
      <c r="I194" s="3"/>
      <c r="J194" s="3">
        <v>12</v>
      </c>
      <c r="K194" s="108"/>
      <c r="L194" s="3"/>
      <c r="M194" s="108"/>
      <c r="N194" s="9"/>
    </row>
    <row r="195" spans="1:14" ht="13.95" customHeight="1">
      <c r="A195" s="1"/>
      <c r="B195" s="1"/>
      <c r="C195" s="33"/>
      <c r="D195" s="1"/>
      <c r="E195" s="3"/>
      <c r="F195" s="3"/>
      <c r="G195" s="5"/>
      <c r="I195" s="3"/>
      <c r="J195" s="3"/>
      <c r="K195" s="108"/>
      <c r="L195" s="3"/>
      <c r="M195" s="108"/>
      <c r="N195" s="9"/>
    </row>
    <row r="196" spans="1:14" ht="13.95" customHeight="1">
      <c r="A196" s="1"/>
      <c r="B196" s="1"/>
      <c r="C196" s="33"/>
      <c r="D196" s="1"/>
      <c r="E196" s="3"/>
      <c r="F196" s="4"/>
      <c r="G196" s="5"/>
      <c r="I196" s="3"/>
      <c r="J196" s="3"/>
      <c r="K196" s="108"/>
      <c r="L196" s="3"/>
      <c r="M196" s="108"/>
      <c r="N196" s="9"/>
    </row>
    <row r="197" spans="1:14" ht="13.95" customHeight="1">
      <c r="A197" s="1"/>
      <c r="B197" s="1"/>
      <c r="C197" s="33"/>
      <c r="D197" s="1"/>
      <c r="E197" s="3"/>
      <c r="F197" s="4"/>
      <c r="G197" s="5"/>
      <c r="I197" s="3"/>
      <c r="J197" s="3"/>
      <c r="K197" s="108"/>
      <c r="L197" s="3"/>
      <c r="M197" s="108"/>
      <c r="N197" s="9"/>
    </row>
    <row r="198" spans="1:14" ht="20.100000000000001" customHeight="1">
      <c r="A198" s="149" t="s">
        <v>66</v>
      </c>
      <c r="B198" s="150"/>
      <c r="C198" s="150"/>
      <c r="D198" s="150"/>
      <c r="E198" s="150"/>
      <c r="F198" s="151"/>
      <c r="G198" s="116">
        <f>SUM(G152:G197)</f>
        <v>860330.34</v>
      </c>
      <c r="I198" s="9"/>
      <c r="J198" s="9"/>
      <c r="K198" s="108"/>
      <c r="L198" s="9"/>
      <c r="M198" s="108"/>
      <c r="N198" s="9"/>
    </row>
    <row r="199" spans="1:14" ht="13.95" customHeight="1">
      <c r="A199" s="39"/>
      <c r="B199" s="39"/>
      <c r="C199" s="39"/>
      <c r="D199" s="39"/>
      <c r="E199" s="39"/>
      <c r="F199" s="39"/>
      <c r="G199" s="113"/>
      <c r="I199" s="9"/>
      <c r="J199" s="9"/>
      <c r="K199" s="108"/>
      <c r="L199" s="9"/>
      <c r="M199" s="108"/>
      <c r="N199" s="9"/>
    </row>
    <row r="200" spans="1:14" ht="13.95" customHeight="1">
      <c r="A200" s="39"/>
      <c r="B200" s="39"/>
      <c r="C200" s="39"/>
      <c r="D200" s="39"/>
      <c r="E200" s="39"/>
      <c r="F200" s="39"/>
      <c r="G200" s="113"/>
      <c r="I200" s="9"/>
      <c r="J200" s="9"/>
      <c r="K200" s="108"/>
      <c r="L200" s="9"/>
      <c r="M200" s="108"/>
      <c r="N200" s="9"/>
    </row>
    <row r="201" spans="1:14" ht="22.2" customHeight="1">
      <c r="A201" s="44" t="s">
        <v>8</v>
      </c>
      <c r="B201" s="48" t="s">
        <v>9</v>
      </c>
      <c r="C201" s="44" t="s">
        <v>10</v>
      </c>
      <c r="D201" s="48" t="s">
        <v>11</v>
      </c>
      <c r="E201" s="48" t="s">
        <v>59</v>
      </c>
      <c r="F201" s="49" t="s">
        <v>12</v>
      </c>
      <c r="G201" s="111" t="s">
        <v>13</v>
      </c>
      <c r="I201" s="9"/>
      <c r="J201" s="9"/>
      <c r="K201" s="108"/>
      <c r="L201" s="9"/>
      <c r="M201" s="108"/>
      <c r="N201" s="9"/>
    </row>
    <row r="202" spans="1:14" ht="20.100000000000001" customHeight="1">
      <c r="A202" s="149" t="s">
        <v>67</v>
      </c>
      <c r="B202" s="150"/>
      <c r="C202" s="150"/>
      <c r="D202" s="150"/>
      <c r="E202" s="150"/>
      <c r="F202" s="151"/>
      <c r="G202" s="116">
        <f>+G198</f>
        <v>860330.34</v>
      </c>
      <c r="I202" s="9"/>
      <c r="J202" s="9"/>
      <c r="K202" s="108"/>
      <c r="L202" s="9"/>
      <c r="M202" s="108"/>
      <c r="N202" s="9"/>
    </row>
    <row r="203" spans="1:14" ht="13.95" customHeight="1">
      <c r="A203" s="1"/>
      <c r="B203" s="1"/>
      <c r="C203" s="33"/>
      <c r="D203" s="1"/>
      <c r="E203" s="3"/>
      <c r="F203" s="4"/>
      <c r="G203" s="5"/>
      <c r="I203" s="3"/>
      <c r="J203" s="3"/>
      <c r="K203" s="108"/>
      <c r="L203" s="3"/>
      <c r="M203" s="108"/>
      <c r="N203" s="9"/>
    </row>
    <row r="204" spans="1:14" ht="13.95" customHeight="1">
      <c r="A204" s="9"/>
      <c r="B204" s="1" t="s">
        <v>98</v>
      </c>
      <c r="C204" s="34" t="s">
        <v>30</v>
      </c>
      <c r="D204" s="1"/>
      <c r="E204" s="3"/>
      <c r="F204" s="4"/>
      <c r="G204" s="5"/>
      <c r="I204" s="3"/>
      <c r="J204" s="3"/>
      <c r="K204" s="108"/>
      <c r="L204" s="3"/>
      <c r="M204" s="108"/>
      <c r="N204" s="9"/>
    </row>
    <row r="205" spans="1:14" ht="13.95" customHeight="1">
      <c r="A205" s="9"/>
      <c r="B205" s="1"/>
      <c r="C205" s="33"/>
      <c r="D205" s="1"/>
      <c r="E205" s="3"/>
      <c r="F205" s="4"/>
      <c r="G205" s="5"/>
      <c r="I205" s="3"/>
      <c r="J205" s="3"/>
      <c r="K205" s="108"/>
      <c r="L205" s="3"/>
      <c r="M205" s="108"/>
      <c r="N205" s="9"/>
    </row>
    <row r="206" spans="1:14" ht="13.95" customHeight="1">
      <c r="A206" s="9"/>
      <c r="B206" s="1"/>
      <c r="C206" s="33" t="s">
        <v>31</v>
      </c>
      <c r="D206" s="1"/>
      <c r="E206" s="3"/>
      <c r="F206" s="4"/>
      <c r="G206" s="5"/>
      <c r="I206" s="3"/>
      <c r="J206" s="3"/>
      <c r="K206" s="108"/>
      <c r="L206" s="3"/>
      <c r="M206" s="108"/>
      <c r="N206" s="9"/>
    </row>
    <row r="207" spans="1:14" ht="13.95" customHeight="1">
      <c r="A207" s="9"/>
      <c r="B207" s="1"/>
      <c r="C207" s="33"/>
      <c r="D207" s="1"/>
      <c r="E207" s="3"/>
      <c r="F207" s="4"/>
      <c r="G207" s="5"/>
      <c r="I207" s="3"/>
      <c r="J207" s="3"/>
      <c r="K207" s="108"/>
      <c r="L207" s="3"/>
      <c r="M207" s="108"/>
      <c r="N207" s="9"/>
    </row>
    <row r="208" spans="1:14" ht="13.95" customHeight="1">
      <c r="A208" s="9">
        <f>A194+1</f>
        <v>36</v>
      </c>
      <c r="B208" s="1"/>
      <c r="C208" s="33" t="s">
        <v>32</v>
      </c>
      <c r="D208" s="1" t="s">
        <v>51</v>
      </c>
      <c r="E208" s="3">
        <f>SUM(I208:N208)</f>
        <v>1.3</v>
      </c>
      <c r="F208" s="3">
        <v>35000</v>
      </c>
      <c r="G208" s="5">
        <f t="shared" ref="G208" si="60">+E208*F208</f>
        <v>45500</v>
      </c>
      <c r="I208" s="4"/>
      <c r="J208" s="4"/>
      <c r="K208" s="108"/>
      <c r="L208" s="4">
        <v>1.3</v>
      </c>
      <c r="M208" s="108"/>
      <c r="N208" s="9"/>
    </row>
    <row r="209" spans="1:14" ht="13.95" customHeight="1">
      <c r="A209" s="9"/>
      <c r="B209" s="1"/>
      <c r="C209" s="33"/>
      <c r="D209" s="1"/>
      <c r="E209" s="4"/>
      <c r="F209" s="3"/>
      <c r="G209" s="5"/>
      <c r="I209" s="4"/>
      <c r="J209" s="4"/>
      <c r="K209" s="108"/>
      <c r="L209" s="4"/>
      <c r="M209" s="108"/>
      <c r="N209" s="9"/>
    </row>
    <row r="210" spans="1:14" ht="13.95" customHeight="1">
      <c r="A210" s="9"/>
      <c r="B210" s="1"/>
      <c r="C210" s="37" t="s">
        <v>40</v>
      </c>
      <c r="D210" s="1"/>
      <c r="E210" s="4"/>
      <c r="F210" s="3"/>
      <c r="G210" s="5"/>
      <c r="I210" s="4"/>
      <c r="J210" s="4"/>
      <c r="K210" s="108"/>
      <c r="L210" s="4"/>
      <c r="M210" s="108"/>
      <c r="N210" s="9"/>
    </row>
    <row r="211" spans="1:14" ht="13.95" customHeight="1">
      <c r="A211" s="9"/>
      <c r="B211" s="1"/>
      <c r="C211" s="33"/>
      <c r="D211" s="1"/>
      <c r="E211" s="4"/>
      <c r="F211" s="3"/>
      <c r="G211" s="5"/>
      <c r="I211" s="4"/>
      <c r="J211" s="4"/>
      <c r="K211" s="108"/>
      <c r="L211" s="4"/>
      <c r="M211" s="108"/>
      <c r="N211" s="9"/>
    </row>
    <row r="212" spans="1:14" ht="13.95" customHeight="1">
      <c r="A212" s="9">
        <f>A208+1</f>
        <v>37</v>
      </c>
      <c r="B212" s="1"/>
      <c r="C212" s="33" t="s">
        <v>32</v>
      </c>
      <c r="D212" s="1" t="s">
        <v>51</v>
      </c>
      <c r="E212" s="3">
        <f>SUM(I212:N212)</f>
        <v>0</v>
      </c>
      <c r="F212" s="3">
        <f>F208</f>
        <v>35000</v>
      </c>
      <c r="G212" s="5">
        <f t="shared" ref="G212" si="61">+E212*F212</f>
        <v>0</v>
      </c>
      <c r="I212" s="4"/>
      <c r="J212" s="4"/>
      <c r="K212" s="108"/>
      <c r="L212" s="4"/>
      <c r="M212" s="108"/>
      <c r="N212" s="9"/>
    </row>
    <row r="213" spans="1:14" ht="13.95" customHeight="1">
      <c r="A213" s="1"/>
      <c r="B213" s="1"/>
      <c r="C213" s="33"/>
      <c r="D213" s="1"/>
      <c r="E213" s="3"/>
      <c r="F213" s="4"/>
      <c r="G213" s="5"/>
      <c r="I213" s="3"/>
      <c r="J213" s="3"/>
      <c r="K213" s="108"/>
      <c r="L213" s="3"/>
      <c r="M213" s="108"/>
      <c r="N213" s="9"/>
    </row>
    <row r="214" spans="1:14" ht="24.6" customHeight="1">
      <c r="A214" s="9"/>
      <c r="B214" s="1" t="s">
        <v>99</v>
      </c>
      <c r="C214" s="34" t="s">
        <v>63</v>
      </c>
      <c r="D214" s="1"/>
      <c r="E214" s="3"/>
      <c r="F214" s="4"/>
      <c r="G214" s="5"/>
      <c r="I214" s="9"/>
      <c r="J214" s="9"/>
      <c r="K214" s="108"/>
      <c r="L214" s="9"/>
      <c r="M214" s="108"/>
      <c r="N214" s="9"/>
    </row>
    <row r="215" spans="1:14" ht="13.95" customHeight="1">
      <c r="A215" s="9"/>
      <c r="B215" s="1"/>
      <c r="C215" s="34"/>
      <c r="D215" s="1"/>
      <c r="E215" s="3"/>
      <c r="F215" s="4"/>
      <c r="G215" s="5"/>
      <c r="I215" s="9"/>
      <c r="J215" s="9"/>
      <c r="K215" s="108"/>
      <c r="L215" s="9"/>
      <c r="M215" s="108"/>
      <c r="N215" s="9"/>
    </row>
    <row r="216" spans="1:14" ht="22.95" customHeight="1">
      <c r="A216" s="9"/>
      <c r="B216" s="1"/>
      <c r="C216" s="34" t="s">
        <v>58</v>
      </c>
      <c r="D216" s="1"/>
      <c r="E216" s="3"/>
      <c r="F216" s="4"/>
      <c r="G216" s="5"/>
      <c r="I216" s="9"/>
      <c r="J216" s="9"/>
      <c r="K216" s="108"/>
      <c r="L216" s="9"/>
      <c r="M216" s="108"/>
      <c r="N216" s="9"/>
    </row>
    <row r="217" spans="1:14" ht="13.95" customHeight="1">
      <c r="A217" s="9"/>
      <c r="B217" s="1"/>
      <c r="C217" s="33"/>
      <c r="D217" s="1"/>
      <c r="E217" s="3"/>
      <c r="F217" s="4"/>
      <c r="G217" s="5"/>
      <c r="I217" s="9"/>
      <c r="J217" s="9"/>
      <c r="K217" s="108"/>
      <c r="L217" s="9"/>
      <c r="M217" s="108"/>
      <c r="N217" s="9"/>
    </row>
    <row r="218" spans="1:14" ht="46.2" customHeight="1">
      <c r="A218" s="9">
        <f>A212+1</f>
        <v>38</v>
      </c>
      <c r="B218" s="1"/>
      <c r="C218" s="33" t="s">
        <v>240</v>
      </c>
      <c r="D218" s="1" t="s">
        <v>6</v>
      </c>
      <c r="E218" s="3">
        <f>SUM(I218:N218)</f>
        <v>0</v>
      </c>
      <c r="F218" s="3">
        <v>275</v>
      </c>
      <c r="G218" s="5">
        <f t="shared" ref="G218" si="62">+E218*F218</f>
        <v>0</v>
      </c>
      <c r="I218" s="9"/>
      <c r="J218" s="9"/>
      <c r="K218" s="108"/>
      <c r="L218" s="9"/>
      <c r="M218" s="108"/>
      <c r="N218" s="9"/>
    </row>
    <row r="219" spans="1:14" ht="13.95" customHeight="1">
      <c r="A219" s="9"/>
      <c r="B219" s="1"/>
      <c r="C219" s="33"/>
      <c r="D219" s="1"/>
      <c r="E219" s="3"/>
      <c r="F219" s="3"/>
      <c r="G219" s="5"/>
      <c r="I219" s="9"/>
      <c r="J219" s="9"/>
      <c r="K219" s="108"/>
      <c r="L219" s="9"/>
      <c r="M219" s="108"/>
      <c r="N219" s="9"/>
    </row>
    <row r="220" spans="1:14" ht="48" customHeight="1">
      <c r="A220" s="9">
        <f>A218+1</f>
        <v>39</v>
      </c>
      <c r="B220" s="1"/>
      <c r="C220" s="33" t="s">
        <v>227</v>
      </c>
      <c r="D220" s="1" t="s">
        <v>6</v>
      </c>
      <c r="E220" s="3">
        <f>SUM(I220:N220)</f>
        <v>0</v>
      </c>
      <c r="F220" s="3">
        <v>975</v>
      </c>
      <c r="G220" s="5">
        <f t="shared" ref="G220" si="63">+E220*F220</f>
        <v>0</v>
      </c>
      <c r="I220" s="45"/>
      <c r="J220" s="45"/>
      <c r="K220" s="108"/>
      <c r="L220" s="45"/>
      <c r="M220" s="108"/>
      <c r="N220" s="9"/>
    </row>
    <row r="221" spans="1:14" ht="12.6" customHeight="1">
      <c r="A221" s="9"/>
      <c r="B221" s="1"/>
      <c r="C221" s="33"/>
      <c r="D221" s="1"/>
      <c r="E221" s="3"/>
      <c r="F221" s="4"/>
      <c r="G221" s="5"/>
      <c r="I221" s="9"/>
      <c r="J221" s="9"/>
      <c r="K221" s="108"/>
      <c r="L221" s="9"/>
      <c r="M221" s="108"/>
      <c r="N221" s="9"/>
    </row>
    <row r="222" spans="1:14" ht="13.95" customHeight="1">
      <c r="A222" s="1"/>
      <c r="B222" s="1" t="s">
        <v>103</v>
      </c>
      <c r="C222" s="34" t="s">
        <v>7</v>
      </c>
      <c r="D222" s="1"/>
      <c r="E222" s="3"/>
      <c r="F222" s="4"/>
      <c r="G222" s="5"/>
      <c r="I222" s="9"/>
      <c r="J222" s="9"/>
      <c r="K222" s="108"/>
      <c r="L222" s="9"/>
      <c r="M222" s="108"/>
      <c r="N222" s="9"/>
    </row>
    <row r="223" spans="1:14" ht="13.95" customHeight="1">
      <c r="A223" s="1"/>
      <c r="B223" s="1"/>
      <c r="C223" s="33"/>
      <c r="D223" s="1"/>
      <c r="E223" s="3"/>
      <c r="F223" s="4"/>
      <c r="G223" s="5"/>
      <c r="I223" s="9"/>
      <c r="J223" s="9"/>
      <c r="K223" s="108"/>
      <c r="L223" s="9"/>
      <c r="M223" s="108"/>
      <c r="N223" s="9"/>
    </row>
    <row r="224" spans="1:14" ht="13.95" customHeight="1">
      <c r="A224" s="1"/>
      <c r="B224" s="1"/>
      <c r="C224" s="33" t="s">
        <v>68</v>
      </c>
      <c r="D224" s="1"/>
      <c r="E224" s="3"/>
      <c r="F224" s="4"/>
      <c r="G224" s="5"/>
      <c r="I224" s="9"/>
      <c r="J224" s="9"/>
      <c r="K224" s="108"/>
      <c r="L224" s="9"/>
      <c r="M224" s="108"/>
      <c r="N224" s="9"/>
    </row>
    <row r="225" spans="1:14" ht="13.95" customHeight="1">
      <c r="A225" s="1"/>
      <c r="B225" s="1"/>
      <c r="C225" s="33"/>
      <c r="D225" s="1"/>
      <c r="E225" s="3"/>
      <c r="F225" s="4"/>
      <c r="G225" s="5"/>
      <c r="I225" s="9"/>
      <c r="J225" s="9"/>
      <c r="K225" s="108"/>
      <c r="L225" s="9"/>
      <c r="M225" s="108"/>
      <c r="N225" s="9"/>
    </row>
    <row r="226" spans="1:14" ht="22.95" customHeight="1">
      <c r="A226" s="1">
        <f>A220+1</f>
        <v>40</v>
      </c>
      <c r="B226" s="1"/>
      <c r="C226" s="33" t="s">
        <v>197</v>
      </c>
      <c r="D226" s="1" t="s">
        <v>60</v>
      </c>
      <c r="E226" s="3">
        <f>SUM(I226:N226)</f>
        <v>80</v>
      </c>
      <c r="F226" s="13">
        <v>165</v>
      </c>
      <c r="G226" s="5">
        <f t="shared" ref="G226" si="64">+E226*F226</f>
        <v>13200</v>
      </c>
      <c r="I226" s="9">
        <v>80</v>
      </c>
      <c r="J226" s="9"/>
      <c r="K226" s="108"/>
      <c r="L226" s="9"/>
      <c r="M226" s="108"/>
      <c r="N226" s="9"/>
    </row>
    <row r="227" spans="1:14" ht="13.95" customHeight="1">
      <c r="A227" s="1"/>
      <c r="B227" s="1"/>
      <c r="C227" s="33"/>
      <c r="D227" s="35"/>
      <c r="E227" s="3"/>
      <c r="F227" s="4"/>
      <c r="G227" s="5"/>
      <c r="I227" s="9"/>
      <c r="J227" s="9"/>
      <c r="K227" s="108"/>
      <c r="L227" s="9"/>
      <c r="M227" s="108"/>
      <c r="N227" s="9"/>
    </row>
    <row r="228" spans="1:14" ht="13.95" customHeight="1">
      <c r="A228" s="1"/>
      <c r="B228" s="1"/>
      <c r="C228" s="46" t="s">
        <v>231</v>
      </c>
      <c r="D228" s="1"/>
      <c r="E228" s="3"/>
      <c r="F228" s="4"/>
      <c r="G228" s="5"/>
      <c r="I228" s="9"/>
      <c r="J228" s="9"/>
      <c r="K228" s="108"/>
      <c r="L228" s="9"/>
      <c r="M228" s="108"/>
      <c r="N228" s="9"/>
    </row>
    <row r="229" spans="1:14" ht="13.95" customHeight="1">
      <c r="A229" s="1"/>
      <c r="B229" s="1"/>
      <c r="C229" s="47"/>
      <c r="D229" s="35"/>
      <c r="E229" s="3"/>
      <c r="F229" s="4"/>
      <c r="G229" s="5"/>
      <c r="I229" s="9"/>
      <c r="J229" s="9"/>
      <c r="K229" s="108"/>
      <c r="L229" s="9"/>
      <c r="M229" s="108"/>
      <c r="N229" s="9"/>
    </row>
    <row r="230" spans="1:14" ht="48.6" customHeight="1">
      <c r="A230" s="1">
        <f>A226+1</f>
        <v>41</v>
      </c>
      <c r="B230" s="1"/>
      <c r="C230" s="55" t="s">
        <v>75</v>
      </c>
      <c r="D230" s="1" t="s">
        <v>51</v>
      </c>
      <c r="E230" s="3">
        <f>SUM(I230:N230)</f>
        <v>0</v>
      </c>
      <c r="F230" s="3">
        <v>1185</v>
      </c>
      <c r="G230" s="5">
        <f t="shared" ref="G230" si="65">+E230*F230</f>
        <v>0</v>
      </c>
      <c r="I230" s="9"/>
      <c r="J230" s="9"/>
      <c r="K230" s="108"/>
      <c r="L230" s="9"/>
      <c r="M230" s="108"/>
      <c r="N230" s="9"/>
    </row>
    <row r="231" spans="1:14">
      <c r="A231" s="1"/>
      <c r="B231" s="1"/>
      <c r="C231" s="55"/>
      <c r="D231" s="35"/>
      <c r="E231" s="3"/>
      <c r="F231" s="3"/>
      <c r="G231" s="5"/>
      <c r="I231" s="9"/>
      <c r="J231" s="9"/>
      <c r="K231" s="108"/>
      <c r="L231" s="9"/>
      <c r="M231" s="108"/>
      <c r="N231" s="9"/>
    </row>
    <row r="232" spans="1:14">
      <c r="A232" s="1"/>
      <c r="B232" s="1"/>
      <c r="C232" s="55"/>
      <c r="D232" s="35"/>
      <c r="E232" s="3"/>
      <c r="F232" s="3"/>
      <c r="G232" s="5"/>
      <c r="I232" s="9"/>
      <c r="J232" s="9"/>
      <c r="K232" s="108"/>
      <c r="L232" s="9"/>
      <c r="M232" s="108"/>
      <c r="N232" s="9"/>
    </row>
    <row r="233" spans="1:14">
      <c r="A233" s="1"/>
      <c r="B233" s="1"/>
      <c r="C233" s="55"/>
      <c r="D233" s="35"/>
      <c r="E233" s="3"/>
      <c r="F233" s="3"/>
      <c r="G233" s="5"/>
      <c r="I233" s="9"/>
      <c r="J233" s="9"/>
      <c r="K233" s="108"/>
      <c r="L233" s="9"/>
      <c r="M233" s="108"/>
      <c r="N233" s="9"/>
    </row>
    <row r="234" spans="1:14">
      <c r="A234" s="1"/>
      <c r="B234" s="1"/>
      <c r="C234" s="55"/>
      <c r="D234" s="35"/>
      <c r="E234" s="3"/>
      <c r="F234" s="3"/>
      <c r="G234" s="5"/>
      <c r="I234" s="9"/>
      <c r="J234" s="9"/>
      <c r="K234" s="108"/>
      <c r="L234" s="9"/>
      <c r="M234" s="108"/>
      <c r="N234" s="9"/>
    </row>
    <row r="235" spans="1:14">
      <c r="A235" s="1"/>
      <c r="B235" s="1"/>
      <c r="C235" s="55"/>
      <c r="D235" s="35"/>
      <c r="E235" s="3"/>
      <c r="F235" s="3"/>
      <c r="G235" s="5"/>
      <c r="I235" s="9"/>
      <c r="J235" s="9"/>
      <c r="K235" s="108"/>
      <c r="L235" s="9"/>
      <c r="M235" s="108"/>
      <c r="N235" s="9"/>
    </row>
    <row r="236" spans="1:14">
      <c r="A236" s="1"/>
      <c r="B236" s="1"/>
      <c r="C236" s="55"/>
      <c r="D236" s="35"/>
      <c r="E236" s="3"/>
      <c r="F236" s="3"/>
      <c r="G236" s="5"/>
      <c r="I236" s="9"/>
      <c r="J236" s="9"/>
      <c r="K236" s="108"/>
      <c r="L236" s="9"/>
      <c r="M236" s="108"/>
      <c r="N236" s="9"/>
    </row>
    <row r="237" spans="1:14" ht="13.95" customHeight="1">
      <c r="A237" s="1"/>
      <c r="B237" s="1"/>
      <c r="C237" s="55"/>
      <c r="D237" s="35"/>
      <c r="E237" s="3"/>
      <c r="F237" s="4"/>
      <c r="G237" s="5"/>
      <c r="I237" s="9"/>
      <c r="J237" s="9"/>
      <c r="K237" s="108"/>
      <c r="L237" s="9"/>
      <c r="M237" s="108"/>
      <c r="N237" s="9"/>
    </row>
    <row r="238" spans="1:14" ht="13.95" customHeight="1">
      <c r="A238" s="1"/>
      <c r="B238" s="1"/>
      <c r="C238" s="55"/>
      <c r="D238" s="35"/>
      <c r="E238" s="3"/>
      <c r="F238" s="4"/>
      <c r="G238" s="5"/>
      <c r="I238" s="9"/>
      <c r="J238" s="9"/>
      <c r="K238" s="108"/>
      <c r="L238" s="9"/>
      <c r="M238" s="108"/>
      <c r="N238" s="9"/>
    </row>
    <row r="239" spans="1:14" ht="13.95" customHeight="1">
      <c r="A239" s="1"/>
      <c r="B239" s="1"/>
      <c r="C239" s="55"/>
      <c r="D239" s="35"/>
      <c r="E239" s="3"/>
      <c r="F239" s="4"/>
      <c r="G239" s="5"/>
      <c r="I239" s="9"/>
      <c r="J239" s="9"/>
      <c r="K239" s="108"/>
      <c r="L239" s="9"/>
      <c r="M239" s="108"/>
      <c r="N239" s="9"/>
    </row>
    <row r="240" spans="1:14" ht="13.95" customHeight="1">
      <c r="A240" s="1"/>
      <c r="B240" s="1"/>
      <c r="C240" s="55"/>
      <c r="D240" s="35"/>
      <c r="E240" s="3"/>
      <c r="F240" s="4"/>
      <c r="G240" s="5"/>
      <c r="I240" s="9"/>
      <c r="J240" s="9"/>
      <c r="K240" s="108"/>
      <c r="L240" s="9"/>
      <c r="M240" s="108"/>
      <c r="N240" s="9"/>
    </row>
    <row r="241" spans="1:14" ht="13.95" customHeight="1">
      <c r="A241" s="1"/>
      <c r="B241" s="1"/>
      <c r="C241" s="55"/>
      <c r="D241" s="35"/>
      <c r="E241" s="3"/>
      <c r="F241" s="4"/>
      <c r="G241" s="5"/>
      <c r="I241" s="9"/>
      <c r="J241" s="9"/>
      <c r="K241" s="108"/>
      <c r="L241" s="9"/>
      <c r="M241" s="108"/>
      <c r="N241" s="9"/>
    </row>
    <row r="242" spans="1:14" ht="20.100000000000001" customHeight="1">
      <c r="A242" s="149" t="s">
        <v>66</v>
      </c>
      <c r="B242" s="150"/>
      <c r="C242" s="150"/>
      <c r="D242" s="150"/>
      <c r="E242" s="150"/>
      <c r="F242" s="151"/>
      <c r="G242" s="116">
        <f>SUM(G202:G241)</f>
        <v>919030.34</v>
      </c>
      <c r="I242" s="9"/>
      <c r="J242" s="9"/>
      <c r="K242" s="108"/>
      <c r="L242" s="9"/>
      <c r="M242" s="108"/>
      <c r="N242" s="9"/>
    </row>
    <row r="243" spans="1:14" ht="13.95" customHeight="1">
      <c r="A243" s="39"/>
      <c r="B243" s="39"/>
      <c r="C243" s="39"/>
      <c r="D243" s="39"/>
      <c r="E243" s="39"/>
      <c r="F243" s="39"/>
      <c r="G243" s="113"/>
      <c r="I243" s="9"/>
      <c r="J243" s="9"/>
      <c r="K243" s="108"/>
      <c r="L243" s="9"/>
      <c r="M243" s="108"/>
      <c r="N243" s="9"/>
    </row>
    <row r="244" spans="1:14" ht="13.95" customHeight="1">
      <c r="A244" s="39"/>
      <c r="B244" s="39"/>
      <c r="C244" s="39"/>
      <c r="D244" s="39"/>
      <c r="E244" s="39"/>
      <c r="F244" s="39"/>
      <c r="G244" s="113"/>
      <c r="I244" s="9"/>
      <c r="J244" s="9"/>
      <c r="K244" s="108"/>
      <c r="L244" s="9"/>
      <c r="M244" s="108"/>
      <c r="N244" s="9"/>
    </row>
    <row r="245" spans="1:14" ht="22.2" customHeight="1">
      <c r="A245" s="44" t="s">
        <v>8</v>
      </c>
      <c r="B245" s="48" t="s">
        <v>9</v>
      </c>
      <c r="C245" s="44" t="s">
        <v>10</v>
      </c>
      <c r="D245" s="48" t="s">
        <v>11</v>
      </c>
      <c r="E245" s="48" t="s">
        <v>59</v>
      </c>
      <c r="F245" s="49" t="s">
        <v>12</v>
      </c>
      <c r="G245" s="111" t="s">
        <v>13</v>
      </c>
      <c r="I245" s="9"/>
      <c r="J245" s="9"/>
      <c r="K245" s="108"/>
      <c r="L245" s="9"/>
      <c r="M245" s="108"/>
      <c r="N245" s="9"/>
    </row>
    <row r="246" spans="1:14" ht="20.100000000000001" customHeight="1">
      <c r="A246" s="149" t="s">
        <v>67</v>
      </c>
      <c r="B246" s="150"/>
      <c r="C246" s="150"/>
      <c r="D246" s="150"/>
      <c r="E246" s="150"/>
      <c r="F246" s="151"/>
      <c r="G246" s="116">
        <f>+G242</f>
        <v>919030.34</v>
      </c>
      <c r="I246" s="9"/>
      <c r="J246" s="9"/>
      <c r="K246" s="108"/>
      <c r="L246" s="9"/>
      <c r="M246" s="108"/>
      <c r="N246" s="9"/>
    </row>
    <row r="247" spans="1:14" ht="13.95" customHeight="1">
      <c r="A247" s="1"/>
      <c r="B247" s="1"/>
      <c r="C247" s="55"/>
      <c r="D247" s="35"/>
      <c r="E247" s="3"/>
      <c r="F247" s="4"/>
      <c r="G247" s="5"/>
      <c r="I247" s="9"/>
      <c r="J247" s="9"/>
      <c r="K247" s="108"/>
      <c r="L247" s="9"/>
      <c r="M247" s="108"/>
      <c r="N247" s="9"/>
    </row>
    <row r="248" spans="1:14" ht="13.95" customHeight="1">
      <c r="A248" s="1"/>
      <c r="B248" s="1"/>
      <c r="C248" s="56" t="s">
        <v>230</v>
      </c>
      <c r="D248" s="9"/>
      <c r="E248" s="9"/>
      <c r="F248" s="122"/>
      <c r="G248" s="5"/>
      <c r="I248" s="9"/>
      <c r="J248" s="9"/>
      <c r="K248" s="108"/>
      <c r="L248" s="9"/>
      <c r="M248" s="108"/>
      <c r="N248" s="9"/>
    </row>
    <row r="249" spans="1:14" ht="13.95" customHeight="1">
      <c r="A249" s="1"/>
      <c r="B249" s="1"/>
      <c r="C249" s="57"/>
      <c r="D249" s="9"/>
      <c r="E249" s="9"/>
      <c r="F249" s="122"/>
      <c r="G249" s="5"/>
      <c r="I249" s="9"/>
      <c r="J249" s="9"/>
      <c r="K249" s="108"/>
      <c r="L249" s="9"/>
      <c r="M249" s="108"/>
      <c r="N249" s="9"/>
    </row>
    <row r="250" spans="1:14" ht="48" customHeight="1">
      <c r="A250" s="1"/>
      <c r="B250" s="1"/>
      <c r="C250" s="33" t="s">
        <v>242</v>
      </c>
      <c r="D250" s="57"/>
      <c r="E250" s="57"/>
      <c r="F250" s="57"/>
      <c r="G250" s="5"/>
      <c r="I250" s="9"/>
      <c r="J250" s="9"/>
      <c r="K250" s="108"/>
      <c r="L250" s="9"/>
      <c r="M250" s="108"/>
      <c r="N250" s="9"/>
    </row>
    <row r="251" spans="1:14" ht="13.95" customHeight="1">
      <c r="A251" s="1"/>
      <c r="B251" s="1"/>
      <c r="C251" s="33"/>
      <c r="D251" s="9"/>
      <c r="E251" s="9"/>
      <c r="F251" s="122"/>
      <c r="G251" s="5"/>
      <c r="I251" s="9"/>
      <c r="J251" s="9"/>
      <c r="K251" s="108"/>
      <c r="L251" s="9"/>
      <c r="M251" s="108"/>
      <c r="N251" s="9"/>
    </row>
    <row r="252" spans="1:14" ht="25.95" customHeight="1">
      <c r="A252" s="1"/>
      <c r="B252" s="1"/>
      <c r="C252" s="33" t="s">
        <v>232</v>
      </c>
      <c r="D252" s="9"/>
      <c r="E252" s="9"/>
      <c r="F252" s="122"/>
      <c r="G252" s="5"/>
      <c r="I252" s="9"/>
      <c r="J252" s="9"/>
      <c r="K252" s="108"/>
      <c r="L252" s="9"/>
      <c r="M252" s="108"/>
      <c r="N252" s="9"/>
    </row>
    <row r="253" spans="1:14" ht="13.95" customHeight="1">
      <c r="A253" s="1"/>
      <c r="B253" s="1"/>
      <c r="C253" s="33"/>
      <c r="D253" s="9"/>
      <c r="E253" s="9"/>
      <c r="F253" s="122"/>
      <c r="G253" s="5"/>
      <c r="I253" s="9"/>
      <c r="J253" s="9"/>
      <c r="K253" s="108"/>
      <c r="L253" s="9"/>
      <c r="M253" s="108"/>
      <c r="N253" s="9"/>
    </row>
    <row r="254" spans="1:14" ht="38.4" customHeight="1">
      <c r="A254" s="1">
        <f>A230+1</f>
        <v>42</v>
      </c>
      <c r="B254" s="1"/>
      <c r="C254" s="33" t="s">
        <v>233</v>
      </c>
      <c r="D254" s="9" t="s">
        <v>1</v>
      </c>
      <c r="E254" s="3">
        <f>SUM(I254:N254)</f>
        <v>4</v>
      </c>
      <c r="F254" s="144">
        <v>775</v>
      </c>
      <c r="G254" s="5">
        <f t="shared" ref="G254" si="66">+E254*F254</f>
        <v>3100</v>
      </c>
      <c r="I254" s="9"/>
      <c r="J254" s="9"/>
      <c r="K254" s="108">
        <v>4</v>
      </c>
      <c r="L254" s="9"/>
      <c r="M254" s="108"/>
      <c r="N254" s="9"/>
    </row>
    <row r="255" spans="1:14" ht="13.95" customHeight="1">
      <c r="A255" s="1"/>
      <c r="B255" s="1"/>
      <c r="C255" s="33"/>
      <c r="D255" s="9"/>
      <c r="E255" s="9"/>
      <c r="F255" s="144"/>
      <c r="G255" s="5"/>
      <c r="I255" s="9"/>
      <c r="J255" s="9"/>
      <c r="K255" s="108"/>
      <c r="L255" s="9"/>
      <c r="M255" s="108"/>
      <c r="N255" s="9"/>
    </row>
    <row r="256" spans="1:14" ht="25.95" customHeight="1">
      <c r="A256" s="1">
        <f>A254+1</f>
        <v>43</v>
      </c>
      <c r="B256" s="1"/>
      <c r="C256" s="33" t="s">
        <v>228</v>
      </c>
      <c r="D256" s="9" t="s">
        <v>6</v>
      </c>
      <c r="E256" s="3">
        <f>SUM(I256:N256)</f>
        <v>0</v>
      </c>
      <c r="F256" s="144">
        <v>275</v>
      </c>
      <c r="G256" s="5">
        <f t="shared" ref="G256" si="67">+E256*F256</f>
        <v>0</v>
      </c>
      <c r="I256" s="9"/>
      <c r="J256" s="9"/>
      <c r="K256" s="108"/>
      <c r="L256" s="9"/>
      <c r="M256" s="108"/>
      <c r="N256" s="9"/>
    </row>
    <row r="257" spans="1:14" ht="13.95" customHeight="1">
      <c r="A257" s="1"/>
      <c r="B257" s="1"/>
      <c r="C257" s="33"/>
      <c r="D257" s="9"/>
      <c r="E257" s="9"/>
      <c r="F257" s="144"/>
      <c r="G257" s="5"/>
      <c r="I257" s="9"/>
      <c r="J257" s="9"/>
      <c r="K257" s="108"/>
      <c r="L257" s="9"/>
      <c r="M257" s="108"/>
      <c r="N257" s="9"/>
    </row>
    <row r="258" spans="1:14" ht="13.95" customHeight="1">
      <c r="A258" s="1">
        <f>A256+1</f>
        <v>44</v>
      </c>
      <c r="B258" s="1"/>
      <c r="C258" s="33" t="s">
        <v>229</v>
      </c>
      <c r="D258" s="9" t="s">
        <v>6</v>
      </c>
      <c r="E258" s="3">
        <f>SUM(I258:N258)</f>
        <v>0</v>
      </c>
      <c r="F258" s="144">
        <v>650</v>
      </c>
      <c r="G258" s="5">
        <f t="shared" ref="G258" si="68">+E258*F258</f>
        <v>0</v>
      </c>
      <c r="I258" s="9"/>
      <c r="J258" s="9"/>
      <c r="K258" s="108"/>
      <c r="L258" s="9"/>
      <c r="M258" s="108"/>
      <c r="N258" s="9"/>
    </row>
    <row r="259" spans="1:14" ht="13.95" customHeight="1">
      <c r="A259" s="1"/>
      <c r="B259" s="1"/>
      <c r="C259" s="17"/>
      <c r="D259" s="35"/>
      <c r="E259" s="3"/>
      <c r="F259" s="14"/>
      <c r="G259" s="5"/>
      <c r="I259" s="9"/>
      <c r="J259" s="9"/>
      <c r="K259" s="108"/>
      <c r="L259" s="9"/>
      <c r="M259" s="108"/>
      <c r="N259" s="9"/>
    </row>
    <row r="260" spans="1:14">
      <c r="A260" s="16">
        <f>+A258+1</f>
        <v>45</v>
      </c>
      <c r="B260" s="16"/>
      <c r="C260" s="47" t="s">
        <v>241</v>
      </c>
      <c r="D260" s="58" t="s">
        <v>1</v>
      </c>
      <c r="E260" s="3">
        <f>SUM(I260:N260)</f>
        <v>0</v>
      </c>
      <c r="F260" s="13">
        <v>425</v>
      </c>
      <c r="G260" s="15">
        <f t="shared" ref="G260" si="69">+E260*F260</f>
        <v>0</v>
      </c>
      <c r="I260" s="9"/>
      <c r="J260" s="9"/>
      <c r="K260" s="108"/>
      <c r="L260" s="9"/>
      <c r="M260" s="108"/>
      <c r="N260" s="9"/>
    </row>
    <row r="261" spans="1:14" ht="13.95" customHeight="1">
      <c r="A261" s="1"/>
      <c r="B261" s="1"/>
      <c r="C261" s="17"/>
      <c r="D261" s="35"/>
      <c r="E261" s="3"/>
      <c r="F261" s="4"/>
      <c r="G261" s="5"/>
      <c r="I261" s="9"/>
      <c r="J261" s="9"/>
      <c r="K261" s="108"/>
      <c r="L261" s="9"/>
      <c r="M261" s="108"/>
      <c r="N261" s="9"/>
    </row>
    <row r="262" spans="1:14" ht="22.2" customHeight="1">
      <c r="A262" s="1"/>
      <c r="B262" s="51" t="s">
        <v>105</v>
      </c>
      <c r="C262" s="11" t="s">
        <v>204</v>
      </c>
      <c r="D262" s="40"/>
      <c r="E262" s="3"/>
      <c r="F262" s="4"/>
      <c r="G262" s="5"/>
      <c r="I262" s="9"/>
      <c r="J262" s="9"/>
      <c r="K262" s="108"/>
      <c r="L262" s="9"/>
      <c r="M262" s="108"/>
      <c r="N262" s="9"/>
    </row>
    <row r="263" spans="1:14" ht="13.95" customHeight="1">
      <c r="A263" s="1"/>
      <c r="B263" s="51"/>
      <c r="C263" s="6"/>
      <c r="D263" s="9"/>
      <c r="E263" s="3"/>
      <c r="F263" s="4"/>
      <c r="G263" s="5"/>
      <c r="I263" s="9"/>
      <c r="J263" s="9"/>
      <c r="K263" s="108"/>
      <c r="L263" s="9"/>
      <c r="M263" s="108"/>
      <c r="N263" s="9"/>
    </row>
    <row r="264" spans="1:14" ht="13.95" customHeight="1">
      <c r="A264" s="1"/>
      <c r="B264" s="51" t="s">
        <v>92</v>
      </c>
      <c r="C264" s="52" t="s">
        <v>205</v>
      </c>
      <c r="D264" s="9"/>
      <c r="E264" s="3"/>
      <c r="F264" s="4"/>
      <c r="G264" s="5"/>
      <c r="I264" s="9"/>
      <c r="J264" s="9"/>
      <c r="K264" s="108"/>
      <c r="L264" s="9"/>
      <c r="M264" s="108"/>
      <c r="N264" s="9"/>
    </row>
    <row r="265" spans="1:14" ht="13.95" customHeight="1">
      <c r="A265" s="1"/>
      <c r="B265" s="51"/>
      <c r="C265" s="6"/>
      <c r="D265" s="9"/>
      <c r="E265" s="3"/>
      <c r="F265" s="4"/>
      <c r="G265" s="5"/>
      <c r="I265" s="9"/>
      <c r="J265" s="9"/>
      <c r="K265" s="108"/>
      <c r="L265" s="9"/>
      <c r="M265" s="108"/>
      <c r="N265" s="9"/>
    </row>
    <row r="266" spans="1:14" ht="24" customHeight="1">
      <c r="A266" s="1"/>
      <c r="B266" s="51" t="s">
        <v>206</v>
      </c>
      <c r="C266" s="21" t="s">
        <v>207</v>
      </c>
      <c r="D266" s="9"/>
      <c r="E266" s="3"/>
      <c r="F266" s="4"/>
      <c r="G266" s="5"/>
      <c r="I266" s="9"/>
      <c r="J266" s="9"/>
      <c r="K266" s="108"/>
      <c r="L266" s="9"/>
      <c r="M266" s="108"/>
      <c r="N266" s="9"/>
    </row>
    <row r="267" spans="1:14" ht="13.95" customHeight="1">
      <c r="A267" s="1"/>
      <c r="B267" s="51"/>
      <c r="C267" s="6"/>
      <c r="D267" s="9"/>
      <c r="E267" s="3"/>
      <c r="F267" s="4"/>
      <c r="G267" s="5"/>
      <c r="I267" s="9"/>
      <c r="J267" s="9"/>
      <c r="K267" s="108"/>
      <c r="L267" s="9"/>
      <c r="M267" s="108"/>
      <c r="N267" s="9"/>
    </row>
    <row r="268" spans="1:14" ht="13.95" customHeight="1">
      <c r="A268" s="1">
        <f>A260+1</f>
        <v>46</v>
      </c>
      <c r="B268" s="51" t="s">
        <v>208</v>
      </c>
      <c r="C268" s="6" t="s">
        <v>21</v>
      </c>
      <c r="D268" s="9" t="s">
        <v>1</v>
      </c>
      <c r="E268" s="3">
        <f>SUM(I268:N268)</f>
        <v>0</v>
      </c>
      <c r="F268" s="13">
        <v>1950</v>
      </c>
      <c r="G268" s="5">
        <f t="shared" ref="G268" si="70">+E268*F268</f>
        <v>0</v>
      </c>
      <c r="I268" s="9"/>
      <c r="J268" s="9"/>
      <c r="K268" s="108"/>
      <c r="L268" s="9"/>
      <c r="M268" s="108"/>
      <c r="N268" s="9"/>
    </row>
    <row r="269" spans="1:14" ht="13.95" customHeight="1">
      <c r="A269" s="1"/>
      <c r="B269" s="51"/>
      <c r="C269" s="6"/>
      <c r="D269" s="9"/>
      <c r="E269" s="3"/>
      <c r="F269" s="13"/>
      <c r="G269" s="5"/>
      <c r="I269" s="9"/>
      <c r="J269" s="9"/>
      <c r="K269" s="108"/>
      <c r="L269" s="9"/>
      <c r="M269" s="108"/>
      <c r="N269" s="9"/>
    </row>
    <row r="270" spans="1:14" ht="12.6" customHeight="1">
      <c r="A270" s="1">
        <f>A268+1</f>
        <v>47</v>
      </c>
      <c r="B270" s="51" t="s">
        <v>209</v>
      </c>
      <c r="C270" s="18" t="s">
        <v>210</v>
      </c>
      <c r="D270" s="9" t="s">
        <v>6</v>
      </c>
      <c r="E270" s="3">
        <f>SUM(I270:N270)</f>
        <v>0</v>
      </c>
      <c r="F270" s="13">
        <v>350</v>
      </c>
      <c r="G270" s="5">
        <f t="shared" ref="G270" si="71">+E270*F270</f>
        <v>0</v>
      </c>
      <c r="I270" s="9"/>
      <c r="J270" s="9"/>
      <c r="K270" s="108"/>
      <c r="L270" s="9"/>
      <c r="M270" s="108"/>
      <c r="N270" s="9"/>
    </row>
    <row r="271" spans="1:14" ht="12.6" customHeight="1">
      <c r="A271" s="1"/>
      <c r="B271" s="1"/>
      <c r="C271" s="33"/>
      <c r="D271" s="35"/>
      <c r="E271" s="3"/>
      <c r="F271" s="13"/>
      <c r="G271" s="5"/>
      <c r="I271" s="9"/>
      <c r="J271" s="9"/>
      <c r="K271" s="108"/>
      <c r="L271" s="9"/>
      <c r="M271" s="108"/>
      <c r="N271" s="9"/>
    </row>
    <row r="272" spans="1:14" ht="12.6" customHeight="1">
      <c r="A272" s="1"/>
      <c r="B272" s="1"/>
      <c r="C272" s="123" t="s">
        <v>236</v>
      </c>
      <c r="D272" s="35"/>
      <c r="E272" s="3"/>
      <c r="F272" s="13"/>
      <c r="G272" s="5"/>
      <c r="I272" s="9"/>
      <c r="J272" s="9"/>
      <c r="K272" s="108"/>
      <c r="L272" s="9"/>
      <c r="M272" s="108"/>
      <c r="N272" s="9"/>
    </row>
    <row r="273" spans="1:14" ht="12.6" customHeight="1">
      <c r="A273" s="1"/>
      <c r="B273" s="1"/>
      <c r="C273" s="6"/>
      <c r="D273" s="35"/>
      <c r="E273" s="3"/>
      <c r="F273" s="13"/>
      <c r="G273" s="5"/>
      <c r="I273" s="9"/>
      <c r="J273" s="9"/>
      <c r="K273" s="108"/>
      <c r="L273" s="9"/>
      <c r="M273" s="108"/>
      <c r="N273" s="9"/>
    </row>
    <row r="274" spans="1:14" ht="12.6" customHeight="1">
      <c r="A274" s="1"/>
      <c r="B274" s="1"/>
      <c r="C274" s="124" t="s">
        <v>234</v>
      </c>
      <c r="D274" s="35"/>
      <c r="E274" s="3"/>
      <c r="F274" s="13"/>
      <c r="G274" s="5"/>
      <c r="I274" s="9"/>
      <c r="J274" s="9"/>
      <c r="K274" s="108"/>
      <c r="L274" s="9"/>
      <c r="M274" s="108"/>
      <c r="N274" s="9"/>
    </row>
    <row r="275" spans="1:14" ht="12.6" customHeight="1">
      <c r="A275" s="1"/>
      <c r="B275" s="1"/>
      <c r="C275" s="33"/>
      <c r="D275" s="35"/>
      <c r="E275" s="3"/>
      <c r="F275" s="13"/>
      <c r="G275" s="5"/>
      <c r="I275" s="9"/>
      <c r="J275" s="9"/>
      <c r="K275" s="108"/>
      <c r="L275" s="9"/>
      <c r="M275" s="108"/>
      <c r="N275" s="9"/>
    </row>
    <row r="276" spans="1:14" ht="38.4" customHeight="1">
      <c r="A276" s="1">
        <f>A270+1</f>
        <v>48</v>
      </c>
      <c r="B276" s="1"/>
      <c r="C276" s="125" t="s">
        <v>235</v>
      </c>
      <c r="D276" s="1" t="s">
        <v>60</v>
      </c>
      <c r="E276" s="3">
        <f>SUM(I276:N276)</f>
        <v>1</v>
      </c>
      <c r="F276" s="13">
        <v>3750</v>
      </c>
      <c r="G276" s="5">
        <f t="shared" ref="G276" si="72">+E276*F276</f>
        <v>3750</v>
      </c>
      <c r="I276" s="9"/>
      <c r="J276" s="9"/>
      <c r="K276" s="108">
        <v>1</v>
      </c>
      <c r="L276" s="9"/>
      <c r="M276" s="108"/>
      <c r="N276" s="9"/>
    </row>
    <row r="277" spans="1:14" ht="12.6" customHeight="1">
      <c r="A277" s="1"/>
      <c r="B277" s="1"/>
      <c r="C277" s="33"/>
      <c r="D277" s="35"/>
      <c r="E277" s="3"/>
      <c r="F277" s="13"/>
      <c r="G277" s="5"/>
      <c r="I277" s="9"/>
      <c r="J277" s="9"/>
      <c r="K277" s="108"/>
      <c r="L277" s="9"/>
      <c r="M277" s="108"/>
      <c r="N277" s="9"/>
    </row>
    <row r="278" spans="1:14" ht="13.95" customHeight="1">
      <c r="A278" s="1"/>
      <c r="B278" s="1"/>
      <c r="C278" s="34" t="s">
        <v>212</v>
      </c>
      <c r="D278" s="1" t="s">
        <v>64</v>
      </c>
      <c r="E278" s="3"/>
      <c r="F278" s="14"/>
      <c r="G278" s="5"/>
      <c r="I278" s="9"/>
      <c r="J278" s="9"/>
      <c r="K278" s="108"/>
      <c r="L278" s="9"/>
      <c r="M278" s="108"/>
      <c r="N278" s="9"/>
    </row>
    <row r="279" spans="1:14" ht="13.95" customHeight="1">
      <c r="A279" s="1"/>
      <c r="B279" s="1"/>
      <c r="C279" s="33" t="s">
        <v>64</v>
      </c>
      <c r="D279" s="1" t="s">
        <v>64</v>
      </c>
      <c r="E279" s="3"/>
      <c r="F279" s="4"/>
      <c r="G279" s="5"/>
      <c r="I279" s="9"/>
      <c r="J279" s="9"/>
      <c r="K279" s="108"/>
      <c r="L279" s="9"/>
      <c r="M279" s="108"/>
      <c r="N279" s="9"/>
    </row>
    <row r="280" spans="1:14" ht="22.2" customHeight="1">
      <c r="A280" s="1">
        <f>A276+1</f>
        <v>49</v>
      </c>
      <c r="B280" s="1"/>
      <c r="C280" s="33" t="s">
        <v>217</v>
      </c>
      <c r="D280" s="1" t="s">
        <v>60</v>
      </c>
      <c r="E280" s="3">
        <f>SUM(I280:N280)</f>
        <v>303</v>
      </c>
      <c r="F280" s="3">
        <v>885</v>
      </c>
      <c r="G280" s="5">
        <f t="shared" ref="G280" si="73">+E280*F280</f>
        <v>268155</v>
      </c>
      <c r="I280" s="9">
        <v>80</v>
      </c>
      <c r="J280" s="9">
        <v>223</v>
      </c>
      <c r="K280" s="108"/>
      <c r="L280" s="9"/>
      <c r="M280" s="108"/>
      <c r="N280" s="9"/>
    </row>
    <row r="281" spans="1:14">
      <c r="A281" s="1"/>
      <c r="B281" s="1"/>
      <c r="C281" s="33"/>
      <c r="D281" s="35"/>
      <c r="E281" s="3"/>
      <c r="F281" s="3"/>
      <c r="G281" s="5"/>
      <c r="I281" s="9"/>
      <c r="J281" s="9"/>
      <c r="K281" s="108"/>
      <c r="L281" s="9"/>
      <c r="M281" s="108"/>
      <c r="N281" s="9"/>
    </row>
    <row r="282" spans="1:14" ht="13.95" customHeight="1">
      <c r="A282" s="1"/>
      <c r="B282" s="1"/>
      <c r="C282" s="33"/>
      <c r="D282" s="35"/>
      <c r="E282" s="3"/>
      <c r="F282" s="4"/>
      <c r="G282" s="5"/>
      <c r="I282" s="9"/>
      <c r="J282" s="9"/>
      <c r="K282" s="108"/>
      <c r="L282" s="9"/>
      <c r="M282" s="108"/>
      <c r="N282" s="9"/>
    </row>
    <row r="283" spans="1:14" ht="13.95" customHeight="1">
      <c r="A283" s="1"/>
      <c r="B283" s="1"/>
      <c r="C283" s="33"/>
      <c r="D283" s="35"/>
      <c r="E283" s="3"/>
      <c r="F283" s="4"/>
      <c r="G283" s="5"/>
      <c r="I283" s="9"/>
      <c r="J283" s="9"/>
      <c r="K283" s="108"/>
      <c r="L283" s="9"/>
      <c r="M283" s="108"/>
      <c r="N283" s="9"/>
    </row>
    <row r="284" spans="1:14" ht="13.95" customHeight="1">
      <c r="A284" s="1"/>
      <c r="B284" s="1"/>
      <c r="C284" s="33"/>
      <c r="D284" s="35"/>
      <c r="E284" s="3"/>
      <c r="F284" s="4"/>
      <c r="G284" s="5"/>
      <c r="I284" s="9"/>
      <c r="J284" s="9"/>
      <c r="K284" s="108"/>
      <c r="L284" s="9"/>
      <c r="M284" s="108"/>
      <c r="N284" s="9"/>
    </row>
    <row r="285" spans="1:14" ht="20.100000000000001" customHeight="1">
      <c r="A285" s="149" t="s">
        <v>66</v>
      </c>
      <c r="B285" s="150"/>
      <c r="C285" s="150"/>
      <c r="D285" s="150"/>
      <c r="E285" s="150"/>
      <c r="F285" s="151"/>
      <c r="G285" s="116">
        <f>SUM(G246:G284)</f>
        <v>1194035.3399999999</v>
      </c>
      <c r="I285" s="9"/>
      <c r="J285" s="9"/>
      <c r="K285" s="108"/>
      <c r="L285" s="9"/>
      <c r="M285" s="108"/>
      <c r="N285" s="9"/>
    </row>
    <row r="286" spans="1:14" ht="13.95" customHeight="1">
      <c r="A286" s="39"/>
      <c r="B286" s="39"/>
      <c r="C286" s="39"/>
      <c r="D286" s="39"/>
      <c r="E286" s="39"/>
      <c r="F286" s="39"/>
      <c r="G286" s="113"/>
      <c r="I286" s="9"/>
      <c r="J286" s="9"/>
      <c r="K286" s="108"/>
      <c r="L286" s="9"/>
      <c r="M286" s="108"/>
      <c r="N286" s="9"/>
    </row>
    <row r="287" spans="1:14" ht="13.95" customHeight="1">
      <c r="A287" s="39"/>
      <c r="B287" s="39"/>
      <c r="C287" s="39"/>
      <c r="D287" s="39"/>
      <c r="E287" s="39"/>
      <c r="F287" s="39"/>
      <c r="G287" s="113"/>
      <c r="I287" s="9"/>
      <c r="J287" s="9"/>
      <c r="K287" s="108"/>
      <c r="L287" s="9"/>
      <c r="M287" s="108"/>
      <c r="N287" s="9"/>
    </row>
    <row r="288" spans="1:14" ht="22.2" customHeight="1">
      <c r="A288" s="44" t="s">
        <v>8</v>
      </c>
      <c r="B288" s="48" t="s">
        <v>9</v>
      </c>
      <c r="C288" s="44" t="s">
        <v>10</v>
      </c>
      <c r="D288" s="48" t="s">
        <v>11</v>
      </c>
      <c r="E288" s="48" t="s">
        <v>59</v>
      </c>
      <c r="F288" s="49" t="s">
        <v>12</v>
      </c>
      <c r="G288" s="111" t="s">
        <v>13</v>
      </c>
      <c r="I288" s="9"/>
      <c r="J288" s="9"/>
      <c r="K288" s="108"/>
      <c r="L288" s="9"/>
      <c r="M288" s="108"/>
      <c r="N288" s="9"/>
    </row>
    <row r="289" spans="1:14" ht="20.100000000000001" customHeight="1">
      <c r="A289" s="149" t="s">
        <v>67</v>
      </c>
      <c r="B289" s="150"/>
      <c r="C289" s="150"/>
      <c r="D289" s="150"/>
      <c r="E289" s="150"/>
      <c r="F289" s="151"/>
      <c r="G289" s="116">
        <f>+G285</f>
        <v>1194035.3399999999</v>
      </c>
      <c r="I289" s="9"/>
      <c r="J289" s="9"/>
      <c r="K289" s="108"/>
      <c r="L289" s="9"/>
      <c r="M289" s="108"/>
      <c r="N289" s="9"/>
    </row>
    <row r="290" spans="1:14" ht="13.95" customHeight="1">
      <c r="A290" s="1"/>
      <c r="B290" s="1"/>
      <c r="C290" s="33"/>
      <c r="D290" s="35"/>
      <c r="E290" s="3"/>
      <c r="F290" s="4"/>
      <c r="G290" s="5"/>
      <c r="I290" s="9"/>
      <c r="J290" s="9"/>
      <c r="K290" s="108"/>
      <c r="L290" s="9"/>
      <c r="M290" s="108"/>
      <c r="N290" s="9"/>
    </row>
    <row r="291" spans="1:14" ht="13.95" customHeight="1">
      <c r="A291" s="16"/>
      <c r="B291" s="76" t="s">
        <v>167</v>
      </c>
      <c r="C291" s="74" t="s">
        <v>168</v>
      </c>
      <c r="D291" s="93"/>
      <c r="E291" s="94"/>
      <c r="F291" s="14"/>
      <c r="G291" s="15"/>
      <c r="I291" s="9"/>
      <c r="J291" s="9"/>
      <c r="K291" s="108"/>
      <c r="L291" s="9"/>
      <c r="M291" s="108"/>
      <c r="N291" s="9"/>
    </row>
    <row r="292" spans="1:14" ht="13.95" customHeight="1">
      <c r="A292" s="16"/>
      <c r="B292" s="12"/>
      <c r="C292" s="75"/>
      <c r="D292" s="93"/>
      <c r="E292" s="94"/>
      <c r="F292" s="14"/>
      <c r="G292" s="15"/>
      <c r="I292" s="9"/>
      <c r="J292" s="9"/>
      <c r="K292" s="108"/>
      <c r="L292" s="9"/>
      <c r="M292" s="108"/>
      <c r="N292" s="9"/>
    </row>
    <row r="293" spans="1:14" ht="13.95" customHeight="1">
      <c r="A293" s="16"/>
      <c r="B293" s="12" t="s">
        <v>193</v>
      </c>
      <c r="C293" s="70" t="s">
        <v>164</v>
      </c>
      <c r="D293" s="12"/>
      <c r="E293" s="94"/>
      <c r="F293" s="14"/>
      <c r="G293" s="15"/>
      <c r="I293" s="9"/>
      <c r="J293" s="9"/>
      <c r="K293" s="108"/>
      <c r="L293" s="9"/>
      <c r="M293" s="108"/>
      <c r="N293" s="9"/>
    </row>
    <row r="294" spans="1:14" ht="13.95" customHeight="1">
      <c r="A294" s="16"/>
      <c r="B294" s="73"/>
      <c r="C294" s="62"/>
      <c r="D294" s="12"/>
      <c r="E294" s="94"/>
      <c r="F294" s="14"/>
      <c r="G294" s="15"/>
      <c r="I294" s="9"/>
      <c r="J294" s="9"/>
      <c r="K294" s="108"/>
      <c r="L294" s="9"/>
      <c r="M294" s="108"/>
      <c r="N294" s="9"/>
    </row>
    <row r="295" spans="1:14" ht="13.95" customHeight="1">
      <c r="A295" s="16">
        <v>50</v>
      </c>
      <c r="B295" s="73"/>
      <c r="C295" s="75" t="s">
        <v>112</v>
      </c>
      <c r="D295" s="12" t="s">
        <v>60</v>
      </c>
      <c r="E295" s="3">
        <f>SUM(I295:N295)</f>
        <v>0</v>
      </c>
      <c r="F295" s="13">
        <v>890</v>
      </c>
      <c r="G295" s="15">
        <f>+E295*F295</f>
        <v>0</v>
      </c>
      <c r="I295" s="9"/>
      <c r="J295" s="9"/>
      <c r="K295" s="108"/>
      <c r="L295" s="9"/>
      <c r="M295" s="108"/>
      <c r="N295" s="9"/>
    </row>
    <row r="296" spans="1:14" ht="13.95" customHeight="1">
      <c r="A296" s="16"/>
      <c r="B296" s="73"/>
      <c r="C296" s="62"/>
      <c r="D296" s="12"/>
      <c r="E296" s="94"/>
      <c r="F296" s="14"/>
      <c r="G296" s="15"/>
      <c r="I296" s="9"/>
      <c r="J296" s="9"/>
      <c r="K296" s="108"/>
      <c r="L296" s="9"/>
      <c r="M296" s="108"/>
      <c r="N296" s="9"/>
    </row>
    <row r="297" spans="1:14" ht="13.95" customHeight="1">
      <c r="A297" s="16"/>
      <c r="B297" s="12" t="s">
        <v>195</v>
      </c>
      <c r="C297" s="70" t="s">
        <v>194</v>
      </c>
      <c r="D297" s="12"/>
      <c r="E297" s="94"/>
      <c r="F297" s="14"/>
      <c r="G297" s="15"/>
      <c r="I297" s="9"/>
      <c r="J297" s="9"/>
      <c r="K297" s="108"/>
      <c r="L297" s="9"/>
      <c r="M297" s="108"/>
      <c r="N297" s="9"/>
    </row>
    <row r="298" spans="1:14" ht="13.95" customHeight="1">
      <c r="A298" s="16"/>
      <c r="B298" s="73"/>
      <c r="C298" s="62"/>
      <c r="D298" s="12"/>
      <c r="E298" s="94"/>
      <c r="F298" s="14"/>
      <c r="G298" s="15"/>
      <c r="I298" s="9"/>
      <c r="J298" s="9"/>
      <c r="K298" s="108"/>
      <c r="L298" s="9"/>
      <c r="M298" s="108"/>
      <c r="N298" s="9"/>
    </row>
    <row r="299" spans="1:14" ht="13.95" customHeight="1">
      <c r="A299" s="16">
        <v>51</v>
      </c>
      <c r="B299" s="73"/>
      <c r="C299" s="75" t="s">
        <v>165</v>
      </c>
      <c r="D299" s="12" t="s">
        <v>60</v>
      </c>
      <c r="E299" s="3">
        <f>SUM(I299:N299)</f>
        <v>0</v>
      </c>
      <c r="F299" s="14">
        <v>325</v>
      </c>
      <c r="G299" s="15">
        <f t="shared" ref="G299" si="74">+E299*F299</f>
        <v>0</v>
      </c>
      <c r="I299" s="9"/>
      <c r="J299" s="9"/>
      <c r="K299" s="108"/>
      <c r="L299" s="9"/>
      <c r="M299" s="108"/>
      <c r="N299" s="9"/>
    </row>
    <row r="300" spans="1:14" ht="13.95" customHeight="1">
      <c r="A300" s="16"/>
      <c r="B300" s="12"/>
      <c r="C300" s="75"/>
      <c r="D300" s="93"/>
      <c r="E300" s="94"/>
      <c r="F300" s="14"/>
      <c r="G300" s="15"/>
      <c r="I300" s="9"/>
      <c r="J300" s="9"/>
      <c r="K300" s="108"/>
      <c r="L300" s="9"/>
      <c r="M300" s="108"/>
      <c r="N300" s="9"/>
    </row>
    <row r="301" spans="1:14" ht="24">
      <c r="A301" s="16"/>
      <c r="B301" s="76" t="s">
        <v>169</v>
      </c>
      <c r="C301" s="46" t="s">
        <v>216</v>
      </c>
      <c r="D301" s="12"/>
      <c r="E301" s="12"/>
      <c r="F301" s="145"/>
      <c r="G301" s="15"/>
      <c r="I301" s="9"/>
      <c r="J301" s="9"/>
      <c r="K301" s="108"/>
      <c r="L301" s="9"/>
      <c r="M301" s="108"/>
      <c r="N301" s="9"/>
    </row>
    <row r="302" spans="1:14" ht="13.95" customHeight="1">
      <c r="A302" s="16"/>
      <c r="B302" s="76"/>
      <c r="C302" s="75"/>
      <c r="D302" s="12"/>
      <c r="E302" s="12"/>
      <c r="F302" s="145"/>
      <c r="G302" s="15"/>
      <c r="I302" s="9"/>
      <c r="J302" s="9"/>
      <c r="K302" s="108"/>
      <c r="L302" s="9"/>
      <c r="M302" s="108"/>
      <c r="N302" s="9"/>
    </row>
    <row r="303" spans="1:14" ht="13.95" customHeight="1">
      <c r="A303" s="16"/>
      <c r="B303" s="76" t="s">
        <v>169</v>
      </c>
      <c r="C303" s="75" t="s">
        <v>170</v>
      </c>
      <c r="D303" s="12"/>
      <c r="E303" s="12"/>
      <c r="F303" s="145"/>
      <c r="G303" s="15"/>
      <c r="I303" s="9"/>
      <c r="J303" s="9"/>
      <c r="K303" s="108"/>
      <c r="L303" s="9"/>
      <c r="M303" s="108"/>
      <c r="N303" s="9"/>
    </row>
    <row r="304" spans="1:14" ht="13.95" customHeight="1">
      <c r="A304" s="16"/>
      <c r="B304" s="76"/>
      <c r="C304" s="75"/>
      <c r="D304" s="12"/>
      <c r="E304" s="12"/>
      <c r="F304" s="145"/>
      <c r="G304" s="15"/>
      <c r="I304" s="9"/>
      <c r="J304" s="9"/>
      <c r="K304" s="108"/>
      <c r="L304" s="9"/>
      <c r="M304" s="108"/>
      <c r="N304" s="9"/>
    </row>
    <row r="305" spans="1:15" ht="13.95" customHeight="1">
      <c r="A305" s="16">
        <v>52</v>
      </c>
      <c r="B305" s="76" t="s">
        <v>171</v>
      </c>
      <c r="C305" s="75" t="s">
        <v>172</v>
      </c>
      <c r="D305" s="12" t="s">
        <v>60</v>
      </c>
      <c r="E305" s="3">
        <f>SUM(I305:N305)</f>
        <v>0</v>
      </c>
      <c r="F305" s="94">
        <v>275</v>
      </c>
      <c r="G305" s="15">
        <f t="shared" ref="G305:G313" si="75">+E305*F305</f>
        <v>0</v>
      </c>
      <c r="I305" s="9"/>
      <c r="J305" s="9"/>
      <c r="K305" s="108"/>
      <c r="L305" s="9"/>
      <c r="M305" s="108"/>
      <c r="N305" s="9"/>
    </row>
    <row r="306" spans="1:15" ht="13.95" customHeight="1">
      <c r="A306" s="16"/>
      <c r="B306" s="12"/>
      <c r="C306" s="75"/>
      <c r="D306" s="93"/>
      <c r="E306" s="94"/>
      <c r="F306" s="14"/>
      <c r="G306" s="15"/>
      <c r="I306" s="9"/>
      <c r="J306" s="9"/>
      <c r="K306" s="108"/>
      <c r="L306" s="9"/>
      <c r="M306" s="108"/>
      <c r="N306" s="9"/>
    </row>
    <row r="307" spans="1:15" ht="13.95" customHeight="1">
      <c r="A307" s="16"/>
      <c r="B307" s="12" t="s">
        <v>102</v>
      </c>
      <c r="C307" s="74" t="s">
        <v>166</v>
      </c>
      <c r="D307" s="12"/>
      <c r="E307" s="94"/>
      <c r="F307" s="14"/>
      <c r="G307" s="15"/>
      <c r="I307" s="9"/>
      <c r="J307" s="9"/>
      <c r="K307" s="108"/>
      <c r="L307" s="9"/>
      <c r="M307" s="108"/>
      <c r="N307" s="9"/>
    </row>
    <row r="308" spans="1:15" ht="13.95" customHeight="1">
      <c r="A308" s="16"/>
      <c r="B308" s="12"/>
      <c r="C308" s="95"/>
      <c r="D308" s="12"/>
      <c r="E308" s="94"/>
      <c r="F308" s="14"/>
      <c r="G308" s="15"/>
      <c r="I308" s="9"/>
      <c r="J308" s="9"/>
      <c r="K308" s="108"/>
      <c r="L308" s="103"/>
      <c r="M308" s="108"/>
      <c r="N308" s="9"/>
    </row>
    <row r="309" spans="1:15" ht="13.95" customHeight="1">
      <c r="A309" s="16"/>
      <c r="B309" s="12"/>
      <c r="C309" s="75" t="s">
        <v>78</v>
      </c>
      <c r="D309" s="12"/>
      <c r="E309" s="94"/>
      <c r="F309" s="14"/>
      <c r="G309" s="15"/>
      <c r="I309" s="103"/>
      <c r="J309" s="103"/>
      <c r="K309" s="134"/>
      <c r="L309" s="103"/>
      <c r="M309" s="134"/>
      <c r="N309" s="9"/>
    </row>
    <row r="310" spans="1:15" ht="13.95" customHeight="1">
      <c r="A310" s="16"/>
      <c r="B310" s="12"/>
      <c r="C310" s="75"/>
      <c r="D310" s="12"/>
      <c r="E310" s="94"/>
      <c r="F310" s="14"/>
      <c r="G310" s="15"/>
      <c r="I310" s="103"/>
      <c r="J310" s="103"/>
      <c r="K310" s="134"/>
      <c r="L310" s="103"/>
      <c r="M310" s="134"/>
      <c r="N310" s="9"/>
    </row>
    <row r="311" spans="1:15" ht="36">
      <c r="A311" s="16">
        <v>53</v>
      </c>
      <c r="B311" s="12"/>
      <c r="C311" s="47" t="s">
        <v>203</v>
      </c>
      <c r="D311" s="12" t="s">
        <v>6</v>
      </c>
      <c r="E311" s="3">
        <f>SUM(I311:N311)</f>
        <v>0</v>
      </c>
      <c r="F311" s="13">
        <v>16000</v>
      </c>
      <c r="G311" s="15">
        <f t="shared" si="75"/>
        <v>0</v>
      </c>
      <c r="I311" s="103"/>
      <c r="J311" s="103"/>
      <c r="K311" s="134"/>
      <c r="L311" s="103"/>
      <c r="M311" s="134"/>
      <c r="N311" s="103"/>
      <c r="O311" s="41"/>
    </row>
    <row r="312" spans="1:15" ht="13.95" customHeight="1">
      <c r="A312" s="16"/>
      <c r="B312" s="12"/>
      <c r="C312" s="75"/>
      <c r="D312" s="93"/>
      <c r="E312" s="94"/>
      <c r="F312" s="13"/>
      <c r="G312" s="15"/>
      <c r="I312" s="103"/>
      <c r="J312" s="103"/>
      <c r="K312" s="134"/>
      <c r="L312" s="103"/>
      <c r="M312" s="134"/>
      <c r="N312" s="103"/>
      <c r="O312" s="41"/>
    </row>
    <row r="313" spans="1:15" ht="36">
      <c r="A313" s="16">
        <v>54</v>
      </c>
      <c r="B313" s="12"/>
      <c r="C313" s="47" t="s">
        <v>286</v>
      </c>
      <c r="D313" s="12" t="s">
        <v>6</v>
      </c>
      <c r="E313" s="3">
        <f>SUM(I313:N313)</f>
        <v>0</v>
      </c>
      <c r="F313" s="13">
        <v>65000</v>
      </c>
      <c r="G313" s="15">
        <f t="shared" si="75"/>
        <v>0</v>
      </c>
      <c r="I313" s="103"/>
      <c r="J313" s="103"/>
      <c r="K313" s="134"/>
      <c r="L313" s="103"/>
      <c r="M313" s="134"/>
      <c r="N313" s="103"/>
      <c r="O313" s="41"/>
    </row>
    <row r="314" spans="1:15" ht="13.95" customHeight="1">
      <c r="A314" s="16"/>
      <c r="B314" s="12"/>
      <c r="C314" s="75"/>
      <c r="D314" s="93"/>
      <c r="E314" s="3"/>
      <c r="F314" s="13"/>
      <c r="G314" s="15"/>
      <c r="I314" s="103"/>
      <c r="J314" s="103"/>
      <c r="K314" s="134"/>
      <c r="L314" s="103"/>
      <c r="M314" s="134"/>
      <c r="N314" s="103"/>
      <c r="O314" s="41"/>
    </row>
    <row r="315" spans="1:15" ht="13.95" customHeight="1">
      <c r="A315" s="16"/>
      <c r="B315" s="12"/>
      <c r="C315" s="75"/>
      <c r="D315" s="93"/>
      <c r="E315" s="3"/>
      <c r="F315" s="13"/>
      <c r="G315" s="15"/>
      <c r="I315" s="103"/>
      <c r="J315" s="103"/>
      <c r="K315" s="134"/>
      <c r="L315" s="103"/>
      <c r="M315" s="134"/>
      <c r="N315" s="103"/>
      <c r="O315" s="41"/>
    </row>
    <row r="316" spans="1:15" ht="13.95" customHeight="1">
      <c r="A316" s="16"/>
      <c r="B316" s="12"/>
      <c r="C316" s="75"/>
      <c r="D316" s="93"/>
      <c r="E316" s="3"/>
      <c r="F316" s="13"/>
      <c r="G316" s="15"/>
      <c r="I316" s="103"/>
      <c r="J316" s="103"/>
      <c r="K316" s="134"/>
      <c r="L316" s="103"/>
      <c r="M316" s="134"/>
      <c r="N316" s="103"/>
      <c r="O316" s="41"/>
    </row>
    <row r="317" spans="1:15" ht="13.95" customHeight="1">
      <c r="A317" s="16"/>
      <c r="B317" s="12"/>
      <c r="C317" s="75"/>
      <c r="D317" s="93"/>
      <c r="E317" s="3"/>
      <c r="F317" s="13"/>
      <c r="G317" s="15"/>
      <c r="I317" s="103"/>
      <c r="J317" s="103"/>
      <c r="K317" s="134"/>
      <c r="L317" s="103"/>
      <c r="M317" s="134"/>
      <c r="N317" s="103"/>
      <c r="O317" s="41"/>
    </row>
    <row r="318" spans="1:15" ht="13.95" customHeight="1">
      <c r="A318" s="16"/>
      <c r="B318" s="12"/>
      <c r="C318" s="75"/>
      <c r="D318" s="93"/>
      <c r="E318" s="3"/>
      <c r="F318" s="13"/>
      <c r="G318" s="15"/>
      <c r="I318" s="103"/>
      <c r="J318" s="103"/>
      <c r="K318" s="134"/>
      <c r="L318" s="103"/>
      <c r="M318" s="134"/>
      <c r="N318" s="103"/>
      <c r="O318" s="41"/>
    </row>
    <row r="319" spans="1:15" ht="13.95" customHeight="1">
      <c r="A319" s="16"/>
      <c r="B319" s="12"/>
      <c r="C319" s="75"/>
      <c r="D319" s="93"/>
      <c r="E319" s="3"/>
      <c r="F319" s="13"/>
      <c r="G319" s="15"/>
      <c r="I319" s="103"/>
      <c r="J319" s="103"/>
      <c r="K319" s="134"/>
      <c r="L319" s="103"/>
      <c r="M319" s="134"/>
      <c r="N319" s="103"/>
      <c r="O319" s="41"/>
    </row>
    <row r="320" spans="1:15" ht="13.95" customHeight="1">
      <c r="A320" s="16"/>
      <c r="B320" s="12"/>
      <c r="C320" s="75"/>
      <c r="D320" s="93"/>
      <c r="E320" s="3"/>
      <c r="F320" s="13"/>
      <c r="G320" s="15"/>
      <c r="I320" s="103"/>
      <c r="J320" s="103"/>
      <c r="K320" s="103"/>
      <c r="L320" s="103"/>
      <c r="M320" s="134"/>
      <c r="N320" s="103"/>
      <c r="O320" s="41"/>
    </row>
    <row r="321" spans="1:15" ht="13.95" customHeight="1">
      <c r="A321" s="16"/>
      <c r="B321" s="12"/>
      <c r="C321" s="75"/>
      <c r="D321" s="93"/>
      <c r="E321" s="3"/>
      <c r="F321" s="13"/>
      <c r="G321" s="15"/>
      <c r="I321" s="103"/>
      <c r="J321" s="103"/>
      <c r="K321" s="103"/>
      <c r="L321" s="103"/>
      <c r="M321" s="134"/>
      <c r="N321" s="103"/>
      <c r="O321" s="41"/>
    </row>
    <row r="322" spans="1:15" ht="13.95" customHeight="1">
      <c r="A322" s="16"/>
      <c r="B322" s="12"/>
      <c r="C322" s="75"/>
      <c r="D322" s="93"/>
      <c r="E322" s="3"/>
      <c r="F322" s="13"/>
      <c r="G322" s="15"/>
      <c r="I322" s="103"/>
      <c r="J322" s="103"/>
      <c r="K322" s="103"/>
      <c r="L322" s="103"/>
      <c r="M322" s="134"/>
      <c r="N322" s="103"/>
      <c r="O322" s="41"/>
    </row>
    <row r="323" spans="1:15" ht="13.95" customHeight="1">
      <c r="A323" s="16"/>
      <c r="B323" s="12"/>
      <c r="C323" s="75"/>
      <c r="D323" s="93"/>
      <c r="E323" s="3"/>
      <c r="F323" s="13"/>
      <c r="G323" s="15"/>
      <c r="I323" s="103"/>
      <c r="J323" s="103"/>
      <c r="K323" s="103"/>
      <c r="L323" s="103"/>
      <c r="M323" s="134"/>
      <c r="N323" s="103"/>
      <c r="O323" s="41"/>
    </row>
    <row r="324" spans="1:15" ht="13.95" customHeight="1">
      <c r="A324" s="16"/>
      <c r="B324" s="12"/>
      <c r="C324" s="75"/>
      <c r="D324" s="93"/>
      <c r="E324" s="3"/>
      <c r="F324" s="13"/>
      <c r="G324" s="15"/>
      <c r="I324" s="103"/>
      <c r="J324" s="103"/>
      <c r="K324" s="103"/>
      <c r="L324" s="103"/>
      <c r="M324" s="134"/>
      <c r="N324" s="103"/>
      <c r="O324" s="41"/>
    </row>
    <row r="325" spans="1:15" ht="13.95" customHeight="1">
      <c r="A325" s="16"/>
      <c r="B325" s="12"/>
      <c r="C325" s="75"/>
      <c r="D325" s="93"/>
      <c r="E325" s="3"/>
      <c r="F325" s="13"/>
      <c r="G325" s="15"/>
      <c r="I325" s="103"/>
      <c r="J325" s="103"/>
      <c r="K325" s="103"/>
      <c r="L325" s="103"/>
      <c r="M325" s="134"/>
      <c r="N325" s="103"/>
      <c r="O325" s="41"/>
    </row>
    <row r="326" spans="1:15" ht="13.95" customHeight="1">
      <c r="A326" s="16"/>
      <c r="B326" s="12"/>
      <c r="C326" s="75"/>
      <c r="D326" s="93"/>
      <c r="E326" s="3"/>
      <c r="F326" s="13"/>
      <c r="G326" s="15"/>
      <c r="I326" s="103"/>
      <c r="J326" s="103"/>
      <c r="K326" s="103"/>
      <c r="L326" s="103"/>
      <c r="M326" s="134"/>
      <c r="N326" s="103"/>
      <c r="O326" s="41"/>
    </row>
    <row r="327" spans="1:15" ht="13.95" customHeight="1">
      <c r="A327" s="16"/>
      <c r="B327" s="12"/>
      <c r="C327" s="75"/>
      <c r="D327" s="93"/>
      <c r="E327" s="3"/>
      <c r="F327" s="13"/>
      <c r="G327" s="15"/>
      <c r="I327" s="103"/>
      <c r="J327" s="103"/>
      <c r="K327" s="103"/>
      <c r="L327" s="103"/>
      <c r="M327" s="134"/>
      <c r="N327" s="103"/>
      <c r="O327" s="41"/>
    </row>
    <row r="328" spans="1:15" ht="13.95" customHeight="1">
      <c r="A328" s="16"/>
      <c r="B328" s="12"/>
      <c r="C328" s="75"/>
      <c r="D328" s="93"/>
      <c r="E328" s="3"/>
      <c r="F328" s="13"/>
      <c r="G328" s="15"/>
      <c r="I328" s="103"/>
      <c r="J328" s="103"/>
      <c r="K328" s="103"/>
      <c r="L328" s="103"/>
      <c r="M328" s="134"/>
      <c r="N328" s="103"/>
      <c r="O328" s="41"/>
    </row>
    <row r="329" spans="1:15" ht="13.95" customHeight="1">
      <c r="A329" s="16"/>
      <c r="B329" s="12"/>
      <c r="C329" s="75"/>
      <c r="D329" s="93"/>
      <c r="E329" s="3"/>
      <c r="F329" s="13"/>
      <c r="G329" s="15"/>
      <c r="I329" s="103"/>
      <c r="J329" s="103"/>
      <c r="K329" s="103"/>
      <c r="L329" s="103"/>
      <c r="M329" s="134"/>
      <c r="N329" s="103"/>
      <c r="O329" s="41"/>
    </row>
    <row r="330" spans="1:15" ht="13.95" customHeight="1">
      <c r="A330" s="16"/>
      <c r="B330" s="12"/>
      <c r="C330" s="75"/>
      <c r="D330" s="93"/>
      <c r="E330" s="3"/>
      <c r="F330" s="13"/>
      <c r="G330" s="15"/>
      <c r="I330" s="103"/>
      <c r="J330" s="103"/>
      <c r="K330" s="103"/>
      <c r="L330" s="103"/>
      <c r="M330" s="134"/>
      <c r="N330" s="103"/>
      <c r="O330" s="41"/>
    </row>
    <row r="331" spans="1:15" ht="13.95" customHeight="1">
      <c r="A331" s="16"/>
      <c r="B331" s="16"/>
      <c r="C331" s="47"/>
      <c r="D331" s="58"/>
      <c r="E331" s="13"/>
      <c r="F331" s="14"/>
      <c r="G331" s="15"/>
      <c r="I331" s="105"/>
      <c r="J331" s="105"/>
      <c r="K331" s="105"/>
      <c r="L331" s="105"/>
      <c r="M331" s="135"/>
      <c r="N331" s="53"/>
      <c r="O331" s="41"/>
    </row>
    <row r="332" spans="1:15">
      <c r="A332" s="16"/>
      <c r="B332" s="16"/>
      <c r="C332" s="47"/>
      <c r="D332" s="58"/>
      <c r="E332" s="13"/>
      <c r="F332" s="14"/>
      <c r="G332" s="15"/>
    </row>
    <row r="333" spans="1:15">
      <c r="A333" s="16"/>
      <c r="B333" s="16"/>
      <c r="C333" s="47"/>
      <c r="D333" s="58"/>
      <c r="E333" s="13"/>
      <c r="F333" s="14"/>
      <c r="G333" s="15"/>
    </row>
    <row r="334" spans="1:15">
      <c r="A334" s="16"/>
      <c r="B334" s="16"/>
      <c r="C334" s="47"/>
      <c r="D334" s="58"/>
      <c r="E334" s="13"/>
      <c r="F334" s="14"/>
      <c r="G334" s="15"/>
    </row>
    <row r="335" spans="1:15" ht="20.399999999999999" customHeight="1">
      <c r="A335" s="156" t="s">
        <v>161</v>
      </c>
      <c r="B335" s="157"/>
      <c r="C335" s="157"/>
      <c r="D335" s="157"/>
      <c r="E335" s="157"/>
      <c r="F335" s="158"/>
      <c r="G335" s="78">
        <f>SUM(G289:G334)</f>
        <v>1194035.3399999999</v>
      </c>
    </row>
  </sheetData>
  <mergeCells count="13">
    <mergeCell ref="A152:F152"/>
    <mergeCell ref="A48:F48"/>
    <mergeCell ref="A52:F52"/>
    <mergeCell ref="A96:F96"/>
    <mergeCell ref="A100:F100"/>
    <mergeCell ref="A148:F148"/>
    <mergeCell ref="A335:F335"/>
    <mergeCell ref="A198:F198"/>
    <mergeCell ref="A202:F202"/>
    <mergeCell ref="A242:F242"/>
    <mergeCell ref="A246:F246"/>
    <mergeCell ref="A285:F285"/>
    <mergeCell ref="A289:F289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33C49-35AB-4CC0-B4DC-874BC324DA2F}">
  <dimension ref="A1:I327"/>
  <sheetViews>
    <sheetView showGridLines="0" view="pageBreakPreview" topLeftCell="A313" zoomScaleNormal="100" zoomScaleSheetLayoutView="100" workbookViewId="0">
      <selection activeCell="H35" sqref="H1:K1048576"/>
    </sheetView>
  </sheetViews>
  <sheetFormatPr defaultColWidth="13.109375" defaultRowHeight="12"/>
  <cols>
    <col min="1" max="1" width="4.88671875" style="22" customWidth="1"/>
    <col min="2" max="2" width="8.33203125" style="20" customWidth="1"/>
    <col min="3" max="3" width="40.6640625" style="21" customWidth="1"/>
    <col min="4" max="4" width="5.109375" style="22" customWidth="1"/>
    <col min="5" max="5" width="7.6640625" style="22" customWidth="1"/>
    <col min="6" max="6" width="8.6640625" style="23" customWidth="1"/>
    <col min="7" max="7" width="11.6640625" style="24" customWidth="1"/>
    <col min="8" max="8" width="4.33203125" style="6" hidden="1" customWidth="1"/>
    <col min="9" max="11" width="0" style="6" hidden="1" customWidth="1"/>
    <col min="12" max="16384" width="13.109375" style="6"/>
  </cols>
  <sheetData>
    <row r="1" spans="1:9" ht="20.399999999999999" hidden="1" customHeight="1">
      <c r="A1" s="19" t="s">
        <v>80</v>
      </c>
    </row>
    <row r="2" spans="1:9" ht="15" customHeight="1">
      <c r="A2" s="19" t="str">
        <f>Summary!A2</f>
        <v>NAFASI WATER - ARNOT WASTE TREATMENT PLANT</v>
      </c>
      <c r="G2" s="25" t="str">
        <f>Summary!C2</f>
        <v>Revision T1</v>
      </c>
    </row>
    <row r="3" spans="1:9" ht="15" customHeight="1">
      <c r="A3" s="19" t="str">
        <f>Summary!A3</f>
        <v>PILING AND CIVIL WORK</v>
      </c>
      <c r="G3" s="26"/>
    </row>
    <row r="4" spans="1:9" ht="15" customHeight="1">
      <c r="A4" s="19" t="s">
        <v>301</v>
      </c>
      <c r="G4" s="143">
        <f>Summary!C4</f>
        <v>45183</v>
      </c>
    </row>
    <row r="5" spans="1:9" ht="15" customHeight="1">
      <c r="A5" s="27"/>
      <c r="B5" s="28"/>
      <c r="C5" s="28"/>
      <c r="E5" s="29"/>
      <c r="G5" s="30"/>
    </row>
    <row r="6" spans="1:9" s="42" customFormat="1" ht="37.200000000000003" customHeight="1">
      <c r="A6" s="44" t="s">
        <v>8</v>
      </c>
      <c r="B6" s="48" t="s">
        <v>9</v>
      </c>
      <c r="C6" s="44" t="s">
        <v>10</v>
      </c>
      <c r="D6" s="48" t="s">
        <v>11</v>
      </c>
      <c r="E6" s="48" t="s">
        <v>59</v>
      </c>
      <c r="F6" s="49" t="s">
        <v>12</v>
      </c>
      <c r="G6" s="49" t="s">
        <v>13</v>
      </c>
      <c r="I6" s="100" t="s">
        <v>265</v>
      </c>
    </row>
    <row r="7" spans="1:9" s="42" customFormat="1" ht="4.95" customHeight="1">
      <c r="A7" s="2"/>
      <c r="B7" s="40"/>
      <c r="C7" s="50"/>
      <c r="D7" s="40"/>
      <c r="E7" s="40"/>
      <c r="F7" s="54"/>
      <c r="G7" s="54"/>
      <c r="I7" s="40"/>
    </row>
    <row r="8" spans="1:9" ht="19.2" customHeight="1">
      <c r="A8" s="1"/>
      <c r="B8" s="2"/>
      <c r="C8" s="11" t="s">
        <v>302</v>
      </c>
      <c r="D8" s="1"/>
      <c r="E8" s="1"/>
      <c r="F8" s="4"/>
      <c r="G8" s="5"/>
      <c r="I8" s="9"/>
    </row>
    <row r="9" spans="1:9" ht="10.95" customHeight="1">
      <c r="A9" s="1"/>
      <c r="B9" s="2"/>
      <c r="C9" s="11"/>
      <c r="D9" s="1"/>
      <c r="E9" s="1"/>
      <c r="F9" s="4"/>
      <c r="G9" s="5"/>
      <c r="I9" s="9"/>
    </row>
    <row r="10" spans="1:9" ht="22.2" customHeight="1">
      <c r="A10" s="1"/>
      <c r="B10" s="1" t="s">
        <v>22</v>
      </c>
      <c r="C10" s="34" t="s">
        <v>69</v>
      </c>
      <c r="D10" s="1"/>
      <c r="E10" s="3"/>
      <c r="F10" s="4"/>
      <c r="G10" s="5"/>
      <c r="I10" s="9"/>
    </row>
    <row r="11" spans="1:9" ht="13.95" customHeight="1">
      <c r="A11" s="1"/>
      <c r="B11" s="1"/>
      <c r="C11" s="34"/>
      <c r="D11" s="1"/>
      <c r="E11" s="3"/>
      <c r="F11" s="4"/>
      <c r="G11" s="5"/>
      <c r="I11" s="9"/>
    </row>
    <row r="12" spans="1:9" ht="13.95" customHeight="1">
      <c r="A12" s="1"/>
      <c r="B12" s="1"/>
      <c r="C12" s="32" t="s">
        <v>55</v>
      </c>
      <c r="D12" s="1"/>
      <c r="E12" s="3"/>
      <c r="F12" s="4"/>
      <c r="G12" s="5"/>
      <c r="I12" s="9"/>
    </row>
    <row r="13" spans="1:9" ht="13.95" customHeight="1">
      <c r="A13" s="1"/>
      <c r="B13" s="1"/>
      <c r="C13" s="32"/>
      <c r="D13" s="1"/>
      <c r="E13" s="3"/>
      <c r="F13" s="4"/>
      <c r="G13" s="5"/>
      <c r="I13" s="9"/>
    </row>
    <row r="14" spans="1:9" ht="24">
      <c r="A14" s="1">
        <v>1</v>
      </c>
      <c r="B14" s="1"/>
      <c r="C14" s="33" t="s">
        <v>218</v>
      </c>
      <c r="D14" s="1" t="s">
        <v>6</v>
      </c>
      <c r="E14" s="3">
        <f>SUM(I14:I14)</f>
        <v>10</v>
      </c>
      <c r="F14" s="13">
        <v>1150</v>
      </c>
      <c r="G14" s="5">
        <f t="shared" ref="G14" si="0">+E14*F14</f>
        <v>11500</v>
      </c>
      <c r="I14" s="137">
        <v>10</v>
      </c>
    </row>
    <row r="15" spans="1:9" ht="13.95" customHeight="1">
      <c r="A15" s="1"/>
      <c r="B15" s="1"/>
      <c r="C15" s="32"/>
      <c r="D15" s="1"/>
      <c r="E15" s="3"/>
      <c r="F15" s="14"/>
      <c r="G15" s="5"/>
      <c r="I15" s="13"/>
    </row>
    <row r="16" spans="1:9" ht="13.95" customHeight="1">
      <c r="A16" s="1"/>
      <c r="B16" s="1"/>
      <c r="C16" s="32" t="s">
        <v>221</v>
      </c>
      <c r="D16" s="1"/>
      <c r="E16" s="3"/>
      <c r="F16" s="14"/>
      <c r="G16" s="5"/>
      <c r="I16" s="13"/>
    </row>
    <row r="17" spans="1:9" ht="34.950000000000003" customHeight="1">
      <c r="A17" s="1"/>
      <c r="B17" s="1"/>
      <c r="C17" s="33" t="s">
        <v>219</v>
      </c>
      <c r="D17" s="1"/>
      <c r="E17" s="3"/>
      <c r="F17" s="14"/>
      <c r="G17" s="5"/>
      <c r="I17" s="13"/>
    </row>
    <row r="18" spans="1:9" ht="10.95" customHeight="1">
      <c r="A18" s="1"/>
      <c r="B18" s="1"/>
      <c r="C18" s="32"/>
      <c r="D18" s="1"/>
      <c r="E18" s="3"/>
      <c r="F18" s="13"/>
      <c r="G18" s="5"/>
      <c r="I18" s="13"/>
    </row>
    <row r="19" spans="1:9" ht="13.2" customHeight="1">
      <c r="A19" s="1">
        <v>2</v>
      </c>
      <c r="B19" s="1"/>
      <c r="C19" s="33" t="s">
        <v>33</v>
      </c>
      <c r="D19" s="1" t="s">
        <v>1</v>
      </c>
      <c r="E19" s="3">
        <f>SUM(I19:Z19)</f>
        <v>100</v>
      </c>
      <c r="F19" s="13">
        <v>1850</v>
      </c>
      <c r="G19" s="5">
        <f t="shared" ref="G19" si="1">+E19*F19</f>
        <v>185000</v>
      </c>
      <c r="I19" s="138">
        <f>I14*10</f>
        <v>100</v>
      </c>
    </row>
    <row r="20" spans="1:9" ht="13.2" customHeight="1">
      <c r="A20" s="1"/>
      <c r="B20" s="1"/>
      <c r="C20" s="32"/>
      <c r="D20" s="1"/>
      <c r="E20" s="3"/>
      <c r="F20" s="13"/>
      <c r="G20" s="5"/>
      <c r="I20" s="138"/>
    </row>
    <row r="21" spans="1:9" ht="13.2" customHeight="1">
      <c r="A21" s="1">
        <v>3</v>
      </c>
      <c r="B21" s="1"/>
      <c r="C21" s="33" t="s">
        <v>34</v>
      </c>
      <c r="D21" s="1" t="s">
        <v>1</v>
      </c>
      <c r="E21" s="3">
        <f>SUM(I21:I21)</f>
        <v>50</v>
      </c>
      <c r="F21" s="13">
        <f>F19</f>
        <v>1850</v>
      </c>
      <c r="G21" s="5">
        <f t="shared" ref="G21" si="2">+E21*F21</f>
        <v>92500</v>
      </c>
      <c r="I21" s="138">
        <f>I14*5</f>
        <v>50</v>
      </c>
    </row>
    <row r="22" spans="1:9" ht="13.2" customHeight="1">
      <c r="A22" s="1"/>
      <c r="B22" s="1"/>
      <c r="C22" s="32"/>
      <c r="D22" s="1"/>
      <c r="E22" s="3"/>
      <c r="F22" s="13"/>
      <c r="G22" s="5"/>
      <c r="I22" s="138"/>
    </row>
    <row r="23" spans="1:9" ht="13.2" customHeight="1">
      <c r="A23" s="1"/>
      <c r="B23" s="1"/>
      <c r="C23" s="32" t="s">
        <v>76</v>
      </c>
      <c r="D23" s="1"/>
      <c r="E23" s="3"/>
      <c r="F23" s="13"/>
      <c r="G23" s="5"/>
      <c r="I23" s="138"/>
    </row>
    <row r="24" spans="1:9" ht="13.2" customHeight="1">
      <c r="A24" s="1"/>
      <c r="B24" s="1"/>
      <c r="C24" s="32"/>
      <c r="D24" s="1"/>
      <c r="E24" s="3"/>
      <c r="F24" s="13"/>
      <c r="G24" s="5"/>
      <c r="I24" s="138"/>
    </row>
    <row r="25" spans="1:9" ht="13.2" customHeight="1">
      <c r="A25" s="1">
        <v>4</v>
      </c>
      <c r="B25" s="1"/>
      <c r="C25" s="47" t="s">
        <v>77</v>
      </c>
      <c r="D25" s="1" t="s">
        <v>6</v>
      </c>
      <c r="E25" s="3">
        <f>SUM(I25:I25)</f>
        <v>10</v>
      </c>
      <c r="F25" s="13">
        <v>1250</v>
      </c>
      <c r="G25" s="5">
        <f t="shared" ref="G25" si="3">+E25*F25</f>
        <v>12500</v>
      </c>
      <c r="I25" s="138">
        <f>I14</f>
        <v>10</v>
      </c>
    </row>
    <row r="26" spans="1:9" ht="13.2" customHeight="1">
      <c r="A26" s="1"/>
      <c r="B26" s="1"/>
      <c r="C26" s="32"/>
      <c r="D26" s="1"/>
      <c r="E26" s="3"/>
      <c r="F26" s="13"/>
      <c r="G26" s="5"/>
      <c r="I26" s="138"/>
    </row>
    <row r="27" spans="1:9" ht="12.6" customHeight="1">
      <c r="A27" s="1"/>
      <c r="B27" s="1"/>
      <c r="C27" s="32" t="s">
        <v>71</v>
      </c>
      <c r="D27" s="1"/>
      <c r="E27" s="3"/>
      <c r="F27" s="13"/>
      <c r="G27" s="5"/>
      <c r="I27" s="138"/>
    </row>
    <row r="28" spans="1:9" ht="12.6" customHeight="1">
      <c r="A28" s="1"/>
      <c r="B28" s="1"/>
      <c r="C28" s="33"/>
      <c r="D28" s="1"/>
      <c r="E28" s="3"/>
      <c r="F28" s="13"/>
      <c r="G28" s="5"/>
      <c r="I28" s="138"/>
    </row>
    <row r="29" spans="1:9" ht="12.6" customHeight="1">
      <c r="A29" s="1">
        <v>5</v>
      </c>
      <c r="B29" s="1"/>
      <c r="C29" s="33" t="s">
        <v>223</v>
      </c>
      <c r="D29" s="1" t="s">
        <v>2</v>
      </c>
      <c r="E29" s="3">
        <f>SUM(I29:I29)</f>
        <v>0.48749999999999999</v>
      </c>
      <c r="F29" s="13">
        <v>29500</v>
      </c>
      <c r="G29" s="5">
        <f t="shared" ref="G29" si="4">+E29*F29</f>
        <v>14381.25</v>
      </c>
      <c r="I29" s="139">
        <f>(I19+I21)*0.00325</f>
        <v>0.48749999999999999</v>
      </c>
    </row>
    <row r="30" spans="1:9" ht="12.6" customHeight="1">
      <c r="A30" s="1"/>
      <c r="B30" s="1"/>
      <c r="C30" s="33"/>
      <c r="D30" s="1"/>
      <c r="E30" s="3"/>
      <c r="F30" s="13"/>
      <c r="G30" s="5"/>
      <c r="I30" s="138"/>
    </row>
    <row r="31" spans="1:9" ht="12.6" customHeight="1">
      <c r="A31" s="1">
        <v>6</v>
      </c>
      <c r="B31" s="1"/>
      <c r="C31" s="33" t="s">
        <v>222</v>
      </c>
      <c r="D31" s="1" t="s">
        <v>2</v>
      </c>
      <c r="E31" s="3">
        <f>SUM(I31:I31)</f>
        <v>3.2249999999999996</v>
      </c>
      <c r="F31" s="13">
        <v>28000</v>
      </c>
      <c r="G31" s="5">
        <f t="shared" ref="G31" si="5">+E31*F31</f>
        <v>90299.999999999985</v>
      </c>
      <c r="I31" s="139">
        <f>(I19+I21)*0.0215</f>
        <v>3.2249999999999996</v>
      </c>
    </row>
    <row r="32" spans="1:9" ht="12.6" customHeight="1">
      <c r="A32" s="1"/>
      <c r="B32" s="1"/>
      <c r="C32" s="33"/>
      <c r="D32" s="1"/>
      <c r="E32" s="3"/>
      <c r="F32" s="13"/>
      <c r="G32" s="5"/>
      <c r="I32" s="138"/>
    </row>
    <row r="33" spans="1:9" ht="12.6" customHeight="1">
      <c r="A33" s="1"/>
      <c r="B33" s="1"/>
      <c r="C33" s="32" t="s">
        <v>56</v>
      </c>
      <c r="D33" s="1"/>
      <c r="E33" s="3"/>
      <c r="F33" s="13"/>
      <c r="G33" s="5"/>
      <c r="I33" s="138"/>
    </row>
    <row r="34" spans="1:9" ht="13.2" customHeight="1">
      <c r="A34" s="1"/>
      <c r="B34" s="1"/>
      <c r="C34" s="33"/>
      <c r="D34" s="1"/>
      <c r="E34" s="3"/>
      <c r="F34" s="13"/>
      <c r="G34" s="5"/>
      <c r="I34" s="138"/>
    </row>
    <row r="35" spans="1:9" ht="13.2" customHeight="1">
      <c r="A35" s="1">
        <v>7</v>
      </c>
      <c r="B35" s="1"/>
      <c r="C35" s="33" t="s">
        <v>220</v>
      </c>
      <c r="D35" s="1"/>
      <c r="E35" s="3"/>
      <c r="F35" s="13"/>
      <c r="G35" s="5"/>
      <c r="I35" s="138"/>
    </row>
    <row r="36" spans="1:9" ht="13.2" customHeight="1">
      <c r="A36" s="1"/>
      <c r="B36" s="1"/>
      <c r="C36" s="1"/>
      <c r="D36" s="1"/>
      <c r="E36" s="3"/>
      <c r="F36" s="13"/>
      <c r="G36" s="5"/>
      <c r="I36" s="138"/>
    </row>
    <row r="37" spans="1:9" ht="13.2" customHeight="1">
      <c r="A37" s="1"/>
      <c r="B37" s="1"/>
      <c r="C37" s="33" t="s">
        <v>38</v>
      </c>
      <c r="D37" s="1" t="s">
        <v>51</v>
      </c>
      <c r="E37" s="3">
        <f>SUM(I37:I37)</f>
        <v>51.3</v>
      </c>
      <c r="F37" s="13">
        <v>3500</v>
      </c>
      <c r="G37" s="5">
        <f t="shared" ref="G37" si="6">+E37*F37</f>
        <v>179550</v>
      </c>
      <c r="I37" s="139">
        <f>((I19+I21)*0.292)+(I14*0.75)</f>
        <v>51.3</v>
      </c>
    </row>
    <row r="38" spans="1:9" ht="13.2" customHeight="1">
      <c r="A38" s="1"/>
      <c r="B38" s="1"/>
      <c r="C38" s="33"/>
      <c r="D38" s="1"/>
      <c r="E38" s="3"/>
      <c r="F38" s="13"/>
      <c r="G38" s="5"/>
      <c r="I38" s="138"/>
    </row>
    <row r="39" spans="1:9" ht="13.2" customHeight="1">
      <c r="A39" s="1"/>
      <c r="B39" s="1" t="s">
        <v>23</v>
      </c>
      <c r="C39" s="32" t="s">
        <v>35</v>
      </c>
      <c r="D39" s="1"/>
      <c r="E39" s="3"/>
      <c r="F39" s="13"/>
      <c r="G39" s="5"/>
      <c r="I39" s="138"/>
    </row>
    <row r="40" spans="1:9" ht="13.2" customHeight="1">
      <c r="A40" s="1"/>
      <c r="B40" s="1"/>
      <c r="C40" s="32"/>
      <c r="D40" s="1"/>
      <c r="E40" s="3"/>
      <c r="F40" s="13"/>
      <c r="G40" s="5"/>
      <c r="I40" s="138"/>
    </row>
    <row r="41" spans="1:9" ht="13.2" customHeight="1">
      <c r="A41" s="1">
        <v>8</v>
      </c>
      <c r="B41" s="1"/>
      <c r="C41" s="33" t="s">
        <v>259</v>
      </c>
      <c r="D41" s="1" t="s">
        <v>6</v>
      </c>
      <c r="E41" s="3">
        <f>SUM(I41:I41)</f>
        <v>10</v>
      </c>
      <c r="F41" s="13">
        <v>875</v>
      </c>
      <c r="G41" s="5">
        <f t="shared" ref="G41" si="7">+E41*F41</f>
        <v>8750</v>
      </c>
      <c r="I41" s="138">
        <f>I14</f>
        <v>10</v>
      </c>
    </row>
    <row r="42" spans="1:9" ht="13.2" customHeight="1">
      <c r="A42" s="1"/>
      <c r="B42" s="2"/>
      <c r="C42" s="11"/>
      <c r="D42" s="1"/>
      <c r="E42" s="1"/>
      <c r="F42" s="13"/>
      <c r="G42" s="5"/>
      <c r="I42" s="1"/>
    </row>
    <row r="43" spans="1:9" ht="21.6" customHeight="1">
      <c r="A43" s="1"/>
      <c r="B43" s="2" t="s">
        <v>100</v>
      </c>
      <c r="C43" s="31" t="s">
        <v>79</v>
      </c>
      <c r="D43" s="1"/>
      <c r="E43" s="3"/>
      <c r="F43" s="14"/>
      <c r="G43" s="5"/>
      <c r="I43" s="3"/>
    </row>
    <row r="44" spans="1:9" ht="13.95" customHeight="1">
      <c r="A44" s="1"/>
      <c r="B44" s="2"/>
      <c r="C44" s="8" t="s">
        <v>81</v>
      </c>
      <c r="D44" s="1"/>
      <c r="E44" s="3"/>
      <c r="F44" s="14"/>
      <c r="G44" s="5"/>
      <c r="I44" s="3"/>
    </row>
    <row r="45" spans="1:9" ht="50.4" customHeight="1">
      <c r="A45" s="16">
        <v>9</v>
      </c>
      <c r="B45" s="33" t="s">
        <v>162</v>
      </c>
      <c r="C45" s="33" t="s">
        <v>163</v>
      </c>
      <c r="D45" s="9" t="s">
        <v>60</v>
      </c>
      <c r="E45" s="3">
        <f>SUM(I45:I45)</f>
        <v>341</v>
      </c>
      <c r="F45" s="13">
        <v>225</v>
      </c>
      <c r="G45" s="5">
        <f t="shared" ref="G45" si="8">+E45*F45</f>
        <v>76725</v>
      </c>
      <c r="I45" s="9">
        <v>341</v>
      </c>
    </row>
    <row r="46" spans="1:9" ht="13.95" customHeight="1">
      <c r="A46" s="1"/>
      <c r="B46" s="2"/>
      <c r="C46" s="8"/>
      <c r="D46" s="9"/>
      <c r="E46" s="3"/>
      <c r="F46" s="4"/>
      <c r="G46" s="5"/>
      <c r="I46" s="9"/>
    </row>
    <row r="47" spans="1:9" ht="20.100000000000001" customHeight="1">
      <c r="A47" s="149" t="s">
        <v>66</v>
      </c>
      <c r="B47" s="150"/>
      <c r="C47" s="150"/>
      <c r="D47" s="150"/>
      <c r="E47" s="150"/>
      <c r="F47" s="151"/>
      <c r="G47" s="116">
        <f>SUM(G8:G46)</f>
        <v>671206.25</v>
      </c>
      <c r="I47" s="9"/>
    </row>
    <row r="48" spans="1:9">
      <c r="A48" s="39"/>
      <c r="B48" s="39"/>
      <c r="C48" s="39"/>
      <c r="D48" s="39"/>
      <c r="E48" s="39"/>
      <c r="F48" s="39"/>
      <c r="G48" s="113"/>
      <c r="I48" s="9"/>
    </row>
    <row r="49" spans="1:9" ht="13.95" customHeight="1">
      <c r="A49" s="39"/>
      <c r="B49" s="39"/>
      <c r="C49" s="39"/>
      <c r="D49" s="39"/>
      <c r="E49" s="39"/>
      <c r="F49" s="39"/>
      <c r="G49" s="113"/>
      <c r="I49" s="9"/>
    </row>
    <row r="50" spans="1:9" ht="24" customHeight="1">
      <c r="A50" s="44" t="s">
        <v>8</v>
      </c>
      <c r="B50" s="48" t="s">
        <v>9</v>
      </c>
      <c r="C50" s="44" t="s">
        <v>10</v>
      </c>
      <c r="D50" s="48" t="s">
        <v>11</v>
      </c>
      <c r="E50" s="48" t="s">
        <v>59</v>
      </c>
      <c r="F50" s="49" t="s">
        <v>12</v>
      </c>
      <c r="G50" s="111" t="s">
        <v>13</v>
      </c>
      <c r="I50" s="9"/>
    </row>
    <row r="51" spans="1:9" ht="20.100000000000001" customHeight="1">
      <c r="A51" s="149" t="s">
        <v>67</v>
      </c>
      <c r="B51" s="150"/>
      <c r="C51" s="150"/>
      <c r="D51" s="150"/>
      <c r="E51" s="150"/>
      <c r="F51" s="151"/>
      <c r="G51" s="116">
        <f>+G47</f>
        <v>671206.25</v>
      </c>
      <c r="I51" s="9"/>
    </row>
    <row r="52" spans="1:9" ht="9" customHeight="1">
      <c r="A52" s="1"/>
      <c r="B52" s="2"/>
      <c r="C52" s="8"/>
      <c r="D52" s="9"/>
      <c r="E52" s="3"/>
      <c r="F52" s="4"/>
      <c r="G52" s="5"/>
      <c r="I52" s="3"/>
    </row>
    <row r="53" spans="1:9" ht="13.95" customHeight="1">
      <c r="A53" s="1"/>
      <c r="B53" s="2" t="s">
        <v>173</v>
      </c>
      <c r="C53" s="31" t="s">
        <v>79</v>
      </c>
      <c r="D53" s="1"/>
      <c r="E53" s="3"/>
      <c r="F53" s="4"/>
      <c r="G53" s="5"/>
      <c r="I53" s="3"/>
    </row>
    <row r="54" spans="1:9" ht="13.95" customHeight="1">
      <c r="A54" s="1"/>
      <c r="B54" s="2"/>
      <c r="C54" s="8" t="s">
        <v>81</v>
      </c>
      <c r="D54" s="1"/>
      <c r="E54" s="3"/>
      <c r="F54" s="4"/>
      <c r="G54" s="5"/>
      <c r="I54" s="3"/>
    </row>
    <row r="55" spans="1:9" ht="13.95" customHeight="1">
      <c r="A55" s="1"/>
      <c r="B55" s="1" t="s">
        <v>87</v>
      </c>
      <c r="C55" s="37" t="s">
        <v>0</v>
      </c>
      <c r="D55" s="1"/>
      <c r="E55" s="3"/>
      <c r="F55" s="4"/>
      <c r="G55" s="5"/>
      <c r="I55" s="3"/>
    </row>
    <row r="56" spans="1:9" ht="13.95" customHeight="1">
      <c r="A56" s="1"/>
      <c r="B56" s="1"/>
      <c r="C56" s="33"/>
      <c r="D56" s="1"/>
      <c r="E56" s="3"/>
      <c r="F56" s="4"/>
      <c r="G56" s="5"/>
      <c r="I56" s="3"/>
    </row>
    <row r="57" spans="1:9" ht="36">
      <c r="A57" s="1"/>
      <c r="B57" s="1"/>
      <c r="C57" s="33" t="s">
        <v>61</v>
      </c>
      <c r="D57" s="1"/>
      <c r="E57" s="3"/>
      <c r="F57" s="4"/>
      <c r="G57" s="5"/>
      <c r="I57" s="3"/>
    </row>
    <row r="58" spans="1:9" ht="13.95" customHeight="1">
      <c r="A58" s="1"/>
      <c r="B58" s="1"/>
      <c r="C58" s="6"/>
      <c r="D58" s="1"/>
      <c r="E58" s="3"/>
      <c r="F58" s="4"/>
      <c r="G58" s="5"/>
      <c r="I58" s="3"/>
    </row>
    <row r="59" spans="1:9" ht="13.95" customHeight="1">
      <c r="A59" s="1">
        <v>10</v>
      </c>
      <c r="B59" s="1"/>
      <c r="C59" s="33" t="s">
        <v>14</v>
      </c>
      <c r="D59" s="1" t="s">
        <v>51</v>
      </c>
      <c r="E59" s="3">
        <f>SUM(I59:I59)</f>
        <v>23</v>
      </c>
      <c r="F59" s="13">
        <v>175</v>
      </c>
      <c r="G59" s="5">
        <f t="shared" ref="G59" si="9">+E59*F59</f>
        <v>4025</v>
      </c>
      <c r="I59" s="3">
        <v>23</v>
      </c>
    </row>
    <row r="60" spans="1:9" ht="13.95" customHeight="1">
      <c r="A60" s="1"/>
      <c r="B60" s="1"/>
      <c r="C60" s="33"/>
      <c r="D60" s="1"/>
      <c r="E60" s="3"/>
      <c r="F60" s="13"/>
      <c r="G60" s="5"/>
      <c r="I60" s="3"/>
    </row>
    <row r="61" spans="1:9" ht="13.95" customHeight="1">
      <c r="A61" s="1"/>
      <c r="B61" s="1"/>
      <c r="C61" s="37" t="s">
        <v>111</v>
      </c>
      <c r="D61" s="1"/>
      <c r="E61" s="3"/>
      <c r="F61" s="13"/>
      <c r="G61" s="5"/>
      <c r="I61" s="3"/>
    </row>
    <row r="62" spans="1:9" ht="13.95" customHeight="1">
      <c r="A62" s="1"/>
      <c r="B62" s="1"/>
      <c r="C62" s="33"/>
      <c r="D62" s="1"/>
      <c r="E62" s="3"/>
      <c r="F62" s="13"/>
      <c r="G62" s="5"/>
      <c r="I62" s="3"/>
    </row>
    <row r="63" spans="1:9" ht="24">
      <c r="A63" s="1">
        <v>11</v>
      </c>
      <c r="B63" s="1"/>
      <c r="C63" s="33" t="s">
        <v>54</v>
      </c>
      <c r="D63" s="1" t="s">
        <v>51</v>
      </c>
      <c r="E63" s="3">
        <f>SUM(I63:I63)</f>
        <v>3</v>
      </c>
      <c r="F63" s="13">
        <v>950</v>
      </c>
      <c r="G63" s="5">
        <f t="shared" ref="G63" si="10">+E63*F63</f>
        <v>2850</v>
      </c>
      <c r="I63" s="3">
        <v>3</v>
      </c>
    </row>
    <row r="64" spans="1:9" ht="13.95" customHeight="1">
      <c r="A64" s="1"/>
      <c r="B64" s="1"/>
      <c r="C64" s="33"/>
      <c r="D64" s="1"/>
      <c r="E64" s="3"/>
      <c r="F64" s="13"/>
      <c r="G64" s="5"/>
      <c r="I64" s="3"/>
    </row>
    <row r="65" spans="1:9" ht="60">
      <c r="A65" s="1"/>
      <c r="B65" s="1"/>
      <c r="C65" s="33" t="s">
        <v>57</v>
      </c>
      <c r="D65" s="1"/>
      <c r="E65" s="3"/>
      <c r="F65" s="13"/>
      <c r="G65" s="5"/>
      <c r="I65" s="3"/>
    </row>
    <row r="66" spans="1:9" ht="13.95" customHeight="1">
      <c r="A66" s="1"/>
      <c r="B66" s="2"/>
      <c r="C66" s="8"/>
      <c r="D66" s="9"/>
      <c r="E66" s="3"/>
      <c r="F66" s="13"/>
      <c r="G66" s="5"/>
      <c r="I66" s="3"/>
    </row>
    <row r="67" spans="1:9" ht="13.95" customHeight="1">
      <c r="A67" s="1"/>
      <c r="B67" s="1" t="s">
        <v>83</v>
      </c>
      <c r="C67" s="10" t="s">
        <v>25</v>
      </c>
      <c r="D67" s="9"/>
      <c r="E67" s="3"/>
      <c r="F67" s="13"/>
      <c r="G67" s="5"/>
      <c r="I67" s="3"/>
    </row>
    <row r="68" spans="1:9" ht="13.95" customHeight="1">
      <c r="A68" s="1"/>
      <c r="B68" s="2"/>
      <c r="C68" s="8"/>
      <c r="D68" s="9"/>
      <c r="E68" s="3"/>
      <c r="F68" s="13"/>
      <c r="G68" s="5"/>
      <c r="I68" s="3"/>
    </row>
    <row r="69" spans="1:9" ht="23.4" customHeight="1">
      <c r="A69" s="1"/>
      <c r="B69" s="2"/>
      <c r="C69" s="8" t="s">
        <v>109</v>
      </c>
      <c r="D69" s="9"/>
      <c r="E69" s="3"/>
      <c r="F69" s="13"/>
      <c r="G69" s="5"/>
      <c r="I69" s="3"/>
    </row>
    <row r="70" spans="1:9" ht="13.95" customHeight="1">
      <c r="A70" s="1"/>
      <c r="B70" s="2"/>
      <c r="C70" s="8"/>
      <c r="D70" s="9"/>
      <c r="E70" s="3"/>
      <c r="F70" s="13"/>
      <c r="G70" s="5"/>
      <c r="I70" s="3"/>
    </row>
    <row r="71" spans="1:9" ht="33.6" customHeight="1">
      <c r="A71" s="1">
        <v>12</v>
      </c>
      <c r="B71" s="2"/>
      <c r="C71" s="8" t="s">
        <v>108</v>
      </c>
      <c r="D71" s="9" t="s">
        <v>51</v>
      </c>
      <c r="E71" s="3">
        <f>SUM(I71:I71)</f>
        <v>18</v>
      </c>
      <c r="F71" s="13">
        <v>725</v>
      </c>
      <c r="G71" s="5">
        <f t="shared" ref="G71" si="11">+E71*F71</f>
        <v>13050</v>
      </c>
      <c r="I71" s="3">
        <v>18</v>
      </c>
    </row>
    <row r="72" spans="1:9" ht="13.95" customHeight="1">
      <c r="A72" s="1"/>
      <c r="B72" s="2"/>
      <c r="C72" s="8"/>
      <c r="D72" s="9"/>
      <c r="E72" s="3"/>
      <c r="F72" s="13"/>
      <c r="G72" s="5"/>
      <c r="I72" s="3"/>
    </row>
    <row r="73" spans="1:9" ht="21.6" customHeight="1">
      <c r="A73" s="1"/>
      <c r="B73" s="2" t="s">
        <v>101</v>
      </c>
      <c r="C73" s="34" t="s">
        <v>155</v>
      </c>
      <c r="D73" s="1"/>
      <c r="E73" s="3"/>
      <c r="F73" s="13"/>
      <c r="G73" s="5"/>
      <c r="I73" s="3"/>
    </row>
    <row r="74" spans="1:9" ht="13.95" customHeight="1">
      <c r="A74" s="1"/>
      <c r="B74" s="1"/>
      <c r="C74" s="33"/>
      <c r="D74" s="1"/>
      <c r="E74" s="3"/>
      <c r="F74" s="13"/>
      <c r="G74" s="5"/>
      <c r="I74" s="3"/>
    </row>
    <row r="75" spans="1:9" ht="13.95" customHeight="1">
      <c r="A75" s="1"/>
      <c r="B75" s="1" t="s">
        <v>88</v>
      </c>
      <c r="C75" s="32" t="s">
        <v>15</v>
      </c>
      <c r="D75" s="1"/>
      <c r="E75" s="3"/>
      <c r="F75" s="13"/>
      <c r="G75" s="5"/>
      <c r="I75" s="3"/>
    </row>
    <row r="76" spans="1:9" ht="13.95" customHeight="1">
      <c r="A76" s="1"/>
      <c r="B76" s="1"/>
      <c r="C76" s="33"/>
      <c r="D76" s="1"/>
      <c r="E76" s="3"/>
      <c r="F76" s="13"/>
      <c r="G76" s="5"/>
      <c r="I76" s="3"/>
    </row>
    <row r="77" spans="1:9" ht="13.95" customHeight="1">
      <c r="A77" s="1"/>
      <c r="B77" s="1" t="s">
        <v>82</v>
      </c>
      <c r="C77" s="34" t="s">
        <v>16</v>
      </c>
      <c r="D77" s="1"/>
      <c r="E77" s="3"/>
      <c r="F77" s="13"/>
      <c r="G77" s="5"/>
      <c r="I77" s="3"/>
    </row>
    <row r="78" spans="1:9" ht="13.95" customHeight="1">
      <c r="A78" s="1"/>
      <c r="B78" s="1"/>
      <c r="C78" s="33"/>
      <c r="D78" s="1"/>
      <c r="E78" s="3"/>
      <c r="F78" s="13"/>
      <c r="G78" s="5"/>
      <c r="I78" s="3"/>
    </row>
    <row r="79" spans="1:9" ht="13.95" customHeight="1">
      <c r="A79" s="1"/>
      <c r="B79" s="1"/>
      <c r="C79" s="37" t="s">
        <v>17</v>
      </c>
      <c r="D79" s="1"/>
      <c r="E79" s="3"/>
      <c r="F79" s="13"/>
      <c r="G79" s="5"/>
      <c r="I79" s="3"/>
    </row>
    <row r="80" spans="1:9" ht="13.95" customHeight="1">
      <c r="A80" s="1"/>
      <c r="B80" s="1"/>
      <c r="C80" s="37"/>
      <c r="D80" s="1"/>
      <c r="E80" s="3"/>
      <c r="F80" s="13"/>
      <c r="G80" s="5"/>
      <c r="I80" s="3"/>
    </row>
    <row r="81" spans="1:9" ht="13.95" customHeight="1">
      <c r="A81" s="1">
        <v>13</v>
      </c>
      <c r="B81" s="1"/>
      <c r="C81" s="33" t="s">
        <v>28</v>
      </c>
      <c r="D81" s="1" t="s">
        <v>60</v>
      </c>
      <c r="E81" s="3">
        <f>SUM(I81:I81)</f>
        <v>38</v>
      </c>
      <c r="F81" s="13">
        <v>475</v>
      </c>
      <c r="G81" s="5">
        <f t="shared" ref="G81" si="12">+E81*F81</f>
        <v>18050</v>
      </c>
      <c r="I81" s="3">
        <v>38</v>
      </c>
    </row>
    <row r="82" spans="1:9" ht="13.95" customHeight="1">
      <c r="A82" s="1"/>
      <c r="B82" s="1"/>
      <c r="C82" s="33"/>
      <c r="D82" s="1"/>
      <c r="E82" s="3"/>
      <c r="F82" s="13"/>
      <c r="G82" s="5"/>
      <c r="I82" s="3"/>
    </row>
    <row r="83" spans="1:9" ht="13.95" customHeight="1">
      <c r="A83" s="1"/>
      <c r="B83" s="1"/>
      <c r="C83" s="33"/>
      <c r="D83" s="1"/>
      <c r="E83" s="3"/>
      <c r="F83" s="13"/>
      <c r="G83" s="5"/>
      <c r="I83" s="3"/>
    </row>
    <row r="84" spans="1:9" ht="13.95" customHeight="1">
      <c r="A84" s="1"/>
      <c r="B84" s="1"/>
      <c r="C84" s="33"/>
      <c r="D84" s="1"/>
      <c r="E84" s="3"/>
      <c r="F84" s="13"/>
      <c r="G84" s="5"/>
      <c r="I84" s="3"/>
    </row>
    <row r="85" spans="1:9" ht="13.95" customHeight="1">
      <c r="A85" s="1"/>
      <c r="B85" s="1"/>
      <c r="C85" s="33"/>
      <c r="D85" s="1"/>
      <c r="E85" s="3"/>
      <c r="F85" s="13"/>
      <c r="G85" s="5"/>
      <c r="I85" s="3"/>
    </row>
    <row r="86" spans="1:9" ht="13.95" customHeight="1">
      <c r="A86" s="1"/>
      <c r="B86" s="1"/>
      <c r="C86" s="33"/>
      <c r="D86" s="1"/>
      <c r="E86" s="3"/>
      <c r="F86" s="13"/>
      <c r="G86" s="5"/>
      <c r="I86" s="3"/>
    </row>
    <row r="87" spans="1:9" ht="13.95" customHeight="1">
      <c r="A87" s="1"/>
      <c r="B87" s="1"/>
      <c r="C87" s="33"/>
      <c r="D87" s="1"/>
      <c r="E87" s="3"/>
      <c r="F87" s="13"/>
      <c r="G87" s="5"/>
      <c r="I87" s="3"/>
    </row>
    <row r="88" spans="1:9" ht="13.95" customHeight="1">
      <c r="A88" s="1"/>
      <c r="B88" s="1"/>
      <c r="C88" s="33"/>
      <c r="D88" s="1"/>
      <c r="E88" s="3"/>
      <c r="F88" s="13"/>
      <c r="G88" s="5"/>
      <c r="I88" s="3"/>
    </row>
    <row r="89" spans="1:9" ht="13.95" customHeight="1">
      <c r="A89" s="1"/>
      <c r="B89" s="1"/>
      <c r="C89" s="33"/>
      <c r="D89" s="1"/>
      <c r="E89" s="3"/>
      <c r="F89" s="13"/>
      <c r="G89" s="5"/>
      <c r="I89" s="3"/>
    </row>
    <row r="90" spans="1:9" ht="13.95" customHeight="1">
      <c r="A90" s="1"/>
      <c r="B90" s="1"/>
      <c r="C90" s="33"/>
      <c r="D90" s="1"/>
      <c r="E90" s="3"/>
      <c r="F90" s="13"/>
      <c r="G90" s="5"/>
      <c r="I90" s="3"/>
    </row>
    <row r="91" spans="1:9" ht="20.100000000000001" customHeight="1">
      <c r="A91" s="149" t="s">
        <v>66</v>
      </c>
      <c r="B91" s="150"/>
      <c r="C91" s="150"/>
      <c r="D91" s="150"/>
      <c r="E91" s="150"/>
      <c r="F91" s="151"/>
      <c r="G91" s="116">
        <f>SUM(G51:G90)</f>
        <v>709181.25</v>
      </c>
      <c r="I91" s="9"/>
    </row>
    <row r="92" spans="1:9">
      <c r="A92" s="39"/>
      <c r="B92" s="39"/>
      <c r="C92" s="39"/>
      <c r="D92" s="39"/>
      <c r="E92" s="39"/>
      <c r="F92" s="39"/>
      <c r="G92" s="113"/>
      <c r="I92" s="9"/>
    </row>
    <row r="93" spans="1:9" ht="13.95" customHeight="1">
      <c r="A93" s="39"/>
      <c r="B93" s="39"/>
      <c r="C93" s="39"/>
      <c r="D93" s="39"/>
      <c r="E93" s="39"/>
      <c r="F93" s="39"/>
      <c r="G93" s="113"/>
      <c r="I93" s="9"/>
    </row>
    <row r="94" spans="1:9" ht="24" customHeight="1">
      <c r="A94" s="44" t="s">
        <v>8</v>
      </c>
      <c r="B94" s="48" t="s">
        <v>9</v>
      </c>
      <c r="C94" s="44" t="s">
        <v>10</v>
      </c>
      <c r="D94" s="48" t="s">
        <v>11</v>
      </c>
      <c r="E94" s="48" t="s">
        <v>59</v>
      </c>
      <c r="F94" s="49" t="s">
        <v>12</v>
      </c>
      <c r="G94" s="111" t="s">
        <v>13</v>
      </c>
      <c r="I94" s="9"/>
    </row>
    <row r="95" spans="1:9" ht="20.100000000000001" customHeight="1">
      <c r="A95" s="149" t="s">
        <v>67</v>
      </c>
      <c r="B95" s="150"/>
      <c r="C95" s="150"/>
      <c r="D95" s="150"/>
      <c r="E95" s="150"/>
      <c r="F95" s="151"/>
      <c r="G95" s="116">
        <f>+G91</f>
        <v>709181.25</v>
      </c>
      <c r="I95" s="9"/>
    </row>
    <row r="96" spans="1:9" ht="13.95" customHeight="1">
      <c r="A96" s="1"/>
      <c r="B96" s="1"/>
      <c r="C96" s="33"/>
      <c r="D96" s="1"/>
      <c r="E96" s="3"/>
      <c r="F96" s="13"/>
      <c r="G96" s="5"/>
      <c r="I96" s="3"/>
    </row>
    <row r="97" spans="1:9">
      <c r="A97" s="1"/>
      <c r="B97" s="1" t="s">
        <v>86</v>
      </c>
      <c r="C97" s="34" t="s">
        <v>26</v>
      </c>
      <c r="D97" s="1"/>
      <c r="E97" s="3"/>
      <c r="F97" s="13"/>
      <c r="G97" s="5"/>
      <c r="I97" s="3"/>
    </row>
    <row r="98" spans="1:9" ht="13.95" customHeight="1">
      <c r="A98" s="1"/>
      <c r="B98" s="1"/>
      <c r="C98" s="33"/>
      <c r="D98" s="1"/>
      <c r="E98" s="3"/>
      <c r="F98" s="13"/>
      <c r="G98" s="5"/>
      <c r="I98" s="3"/>
    </row>
    <row r="99" spans="1:9" ht="13.95" customHeight="1">
      <c r="A99" s="1"/>
      <c r="B99" s="1"/>
      <c r="C99" s="37" t="s">
        <v>17</v>
      </c>
      <c r="D99" s="1"/>
      <c r="E99" s="3"/>
      <c r="F99" s="13"/>
      <c r="G99" s="5"/>
      <c r="I99" s="3"/>
    </row>
    <row r="100" spans="1:9" ht="13.95" customHeight="1">
      <c r="A100" s="1"/>
      <c r="B100" s="1"/>
      <c r="C100" s="33"/>
      <c r="D100" s="1"/>
      <c r="E100" s="3"/>
      <c r="F100" s="13"/>
      <c r="G100" s="5"/>
      <c r="I100" s="3"/>
    </row>
    <row r="101" spans="1:9" ht="13.95" customHeight="1">
      <c r="A101" s="1">
        <v>14</v>
      </c>
      <c r="B101" s="1"/>
      <c r="C101" s="33" t="s">
        <v>201</v>
      </c>
      <c r="D101" s="1" t="s">
        <v>60</v>
      </c>
      <c r="E101" s="3">
        <f>SUM(I101:I101)</f>
        <v>0</v>
      </c>
      <c r="F101" s="13">
        <v>750</v>
      </c>
      <c r="G101" s="5">
        <f t="shared" ref="G101" si="13">+E101*F101</f>
        <v>0</v>
      </c>
      <c r="I101" s="3"/>
    </row>
    <row r="102" spans="1:9" ht="13.95" customHeight="1">
      <c r="A102" s="1"/>
      <c r="B102" s="1"/>
      <c r="C102" s="33"/>
      <c r="D102" s="1"/>
      <c r="E102" s="3"/>
      <c r="F102" s="13"/>
      <c r="G102" s="5"/>
      <c r="I102" s="3"/>
    </row>
    <row r="103" spans="1:9" ht="13.95" customHeight="1">
      <c r="A103" s="1">
        <v>15</v>
      </c>
      <c r="B103" s="1"/>
      <c r="C103" s="33" t="s">
        <v>224</v>
      </c>
      <c r="D103" s="1" t="s">
        <v>60</v>
      </c>
      <c r="E103" s="3">
        <f>SUM(I103:I103)</f>
        <v>0</v>
      </c>
      <c r="F103" s="13">
        <v>635</v>
      </c>
      <c r="G103" s="5">
        <f t="shared" ref="G103" si="14">+E103*F103</f>
        <v>0</v>
      </c>
      <c r="I103" s="3"/>
    </row>
    <row r="104" spans="1:9" ht="13.95" customHeight="1">
      <c r="A104" s="1"/>
      <c r="B104" s="1"/>
      <c r="C104" s="33"/>
      <c r="D104" s="1"/>
      <c r="E104" s="3"/>
      <c r="F104" s="13"/>
      <c r="G104" s="5"/>
      <c r="I104" s="3"/>
    </row>
    <row r="105" spans="1:9" ht="13.95" customHeight="1">
      <c r="A105" s="1">
        <v>16</v>
      </c>
      <c r="B105" s="1"/>
      <c r="C105" s="33" t="s">
        <v>39</v>
      </c>
      <c r="D105" s="1" t="s">
        <v>60</v>
      </c>
      <c r="E105" s="3">
        <f>SUM(I105:I105)</f>
        <v>0</v>
      </c>
      <c r="F105" s="13">
        <v>850</v>
      </c>
      <c r="G105" s="5">
        <f t="shared" ref="G105" si="15">+E105*F105</f>
        <v>0</v>
      </c>
      <c r="I105" s="3"/>
    </row>
    <row r="106" spans="1:9" ht="13.95" customHeight="1">
      <c r="A106" s="1"/>
      <c r="B106" s="1"/>
      <c r="C106" s="33"/>
      <c r="D106" s="1"/>
      <c r="E106" s="3"/>
      <c r="F106" s="13"/>
      <c r="G106" s="5"/>
      <c r="I106" s="3"/>
    </row>
    <row r="107" spans="1:9" ht="13.95" customHeight="1">
      <c r="A107" s="1">
        <v>17</v>
      </c>
      <c r="B107" s="1"/>
      <c r="C107" s="33" t="s">
        <v>247</v>
      </c>
      <c r="D107" s="1" t="s">
        <v>60</v>
      </c>
      <c r="E107" s="3">
        <f>SUM(I107:I107)</f>
        <v>0</v>
      </c>
      <c r="F107" s="13">
        <v>775</v>
      </c>
      <c r="G107" s="5">
        <f t="shared" ref="G107" si="16">+E107*F107</f>
        <v>0</v>
      </c>
      <c r="I107" s="3"/>
    </row>
    <row r="108" spans="1:9" ht="13.95" customHeight="1">
      <c r="A108" s="1"/>
      <c r="B108" s="1"/>
      <c r="C108" s="33"/>
      <c r="D108" s="1"/>
      <c r="E108" s="3"/>
      <c r="F108" s="13"/>
      <c r="G108" s="5"/>
      <c r="I108" s="3"/>
    </row>
    <row r="109" spans="1:9" ht="13.95" customHeight="1">
      <c r="A109" s="1"/>
      <c r="B109" s="1"/>
      <c r="C109" s="37" t="s">
        <v>248</v>
      </c>
      <c r="D109" s="1"/>
      <c r="E109" s="3"/>
      <c r="F109" s="13"/>
      <c r="G109" s="5"/>
      <c r="I109" s="3"/>
    </row>
    <row r="110" spans="1:9" ht="13.95" customHeight="1">
      <c r="A110" s="1"/>
      <c r="B110" s="1"/>
      <c r="C110" s="33"/>
      <c r="D110" s="1"/>
      <c r="E110" s="3"/>
      <c r="F110" s="13"/>
      <c r="G110" s="5"/>
      <c r="I110" s="3"/>
    </row>
    <row r="111" spans="1:9" ht="13.95" customHeight="1">
      <c r="A111" s="1">
        <v>18</v>
      </c>
      <c r="B111" s="1"/>
      <c r="C111" s="33" t="s">
        <v>249</v>
      </c>
      <c r="D111" s="1" t="s">
        <v>60</v>
      </c>
      <c r="E111" s="3">
        <f>SUM(I111:I111)</f>
        <v>0</v>
      </c>
      <c r="F111" s="13">
        <v>1150</v>
      </c>
      <c r="G111" s="5">
        <f t="shared" ref="G111" si="17">+E111*F111</f>
        <v>0</v>
      </c>
      <c r="I111" s="3"/>
    </row>
    <row r="112" spans="1:9" ht="13.95" customHeight="1">
      <c r="A112" s="1"/>
      <c r="B112" s="1"/>
      <c r="C112" s="33"/>
      <c r="D112" s="1"/>
      <c r="E112" s="3"/>
      <c r="F112" s="4"/>
      <c r="G112" s="5"/>
      <c r="I112" s="3"/>
    </row>
    <row r="113" spans="1:9" ht="13.95" customHeight="1">
      <c r="A113" s="1"/>
      <c r="B113" s="1" t="s">
        <v>89</v>
      </c>
      <c r="C113" s="32" t="s">
        <v>156</v>
      </c>
      <c r="D113" s="1"/>
      <c r="E113" s="3"/>
      <c r="F113" s="4"/>
      <c r="G113" s="5"/>
      <c r="I113" s="9"/>
    </row>
    <row r="114" spans="1:9" ht="13.95" customHeight="1">
      <c r="A114" s="1"/>
      <c r="B114" s="1"/>
      <c r="C114" s="33"/>
      <c r="D114" s="1"/>
      <c r="E114" s="3"/>
      <c r="F114" s="4"/>
      <c r="G114" s="5"/>
      <c r="I114" s="9"/>
    </row>
    <row r="115" spans="1:9" ht="13.95" customHeight="1">
      <c r="A115" s="1">
        <v>19</v>
      </c>
      <c r="B115" s="1"/>
      <c r="C115" s="47" t="s">
        <v>244</v>
      </c>
      <c r="D115" s="1" t="s">
        <v>1</v>
      </c>
      <c r="E115" s="3">
        <f>SUM(I115:I115)</f>
        <v>97</v>
      </c>
      <c r="F115" s="3">
        <v>135</v>
      </c>
      <c r="G115" s="5">
        <f t="shared" ref="G115" si="18">+E115*F115</f>
        <v>13095</v>
      </c>
      <c r="I115" s="3">
        <v>97</v>
      </c>
    </row>
    <row r="116" spans="1:9" ht="13.95" customHeight="1">
      <c r="A116" s="1"/>
      <c r="B116" s="1"/>
      <c r="C116" s="33"/>
      <c r="D116" s="1"/>
      <c r="E116" s="3"/>
      <c r="F116" s="4"/>
      <c r="G116" s="5"/>
      <c r="I116" s="3"/>
    </row>
    <row r="117" spans="1:9" ht="13.95" customHeight="1">
      <c r="A117" s="1"/>
      <c r="B117" s="1" t="s">
        <v>90</v>
      </c>
      <c r="C117" s="32" t="s">
        <v>36</v>
      </c>
      <c r="D117" s="1"/>
      <c r="E117" s="3"/>
      <c r="F117" s="4"/>
      <c r="G117" s="5"/>
      <c r="I117" s="3"/>
    </row>
    <row r="118" spans="1:9" ht="13.95" customHeight="1">
      <c r="A118" s="1"/>
      <c r="B118" s="1"/>
      <c r="C118" s="33"/>
      <c r="D118" s="1"/>
      <c r="E118" s="3"/>
      <c r="F118" s="4"/>
      <c r="G118" s="5"/>
      <c r="I118" s="3"/>
    </row>
    <row r="119" spans="1:9" ht="24">
      <c r="A119" s="1"/>
      <c r="B119" s="1"/>
      <c r="C119" s="33" t="s">
        <v>225</v>
      </c>
      <c r="D119" s="1"/>
      <c r="E119" s="3"/>
      <c r="F119" s="4"/>
      <c r="G119" s="5"/>
      <c r="I119" s="3"/>
    </row>
    <row r="120" spans="1:9" ht="13.95" customHeight="1">
      <c r="A120" s="1"/>
      <c r="B120" s="1"/>
      <c r="C120" s="33"/>
      <c r="D120" s="1"/>
      <c r="E120" s="3"/>
      <c r="F120" s="4"/>
      <c r="G120" s="5"/>
      <c r="I120" s="3"/>
    </row>
    <row r="121" spans="1:9" ht="13.95" customHeight="1">
      <c r="A121" s="1">
        <v>20</v>
      </c>
      <c r="B121" s="1"/>
      <c r="C121" s="33" t="s">
        <v>37</v>
      </c>
      <c r="D121" s="1" t="s">
        <v>6</v>
      </c>
      <c r="E121" s="3">
        <f>SUM(I121:I121)</f>
        <v>0</v>
      </c>
      <c r="F121" s="3">
        <v>75</v>
      </c>
      <c r="G121" s="5">
        <f t="shared" ref="G121" si="19">+E121*F121</f>
        <v>0</v>
      </c>
      <c r="I121" s="3"/>
    </row>
    <row r="122" spans="1:9" ht="13.95" customHeight="1">
      <c r="A122" s="1"/>
      <c r="B122" s="1"/>
      <c r="C122" s="33"/>
      <c r="D122" s="1"/>
      <c r="E122" s="3"/>
      <c r="F122" s="3"/>
      <c r="G122" s="5"/>
      <c r="I122" s="3"/>
    </row>
    <row r="123" spans="1:9" ht="13.95" customHeight="1">
      <c r="A123" s="1"/>
      <c r="B123" s="1"/>
      <c r="C123" s="33" t="s">
        <v>226</v>
      </c>
      <c r="D123" s="1" t="s">
        <v>6</v>
      </c>
      <c r="E123" s="3">
        <f>SUM(I123:I123)</f>
        <v>0</v>
      </c>
      <c r="F123" s="3">
        <v>275</v>
      </c>
      <c r="G123" s="5">
        <f t="shared" ref="G123" si="20">+E123*F123</f>
        <v>0</v>
      </c>
      <c r="I123" s="3"/>
    </row>
    <row r="124" spans="1:9" ht="13.95" customHeight="1">
      <c r="A124" s="1"/>
      <c r="B124" s="1"/>
      <c r="D124" s="1"/>
      <c r="E124" s="3"/>
      <c r="F124" s="4"/>
      <c r="G124" s="5"/>
      <c r="I124" s="3"/>
    </row>
    <row r="125" spans="1:9" ht="13.95" customHeight="1">
      <c r="A125" s="1"/>
      <c r="B125" s="1"/>
      <c r="C125" s="42" t="s">
        <v>104</v>
      </c>
      <c r="D125" s="1"/>
      <c r="E125" s="3"/>
      <c r="F125" s="4"/>
      <c r="G125" s="5"/>
      <c r="I125" s="3"/>
    </row>
    <row r="126" spans="1:9" ht="13.95" customHeight="1">
      <c r="A126" s="1"/>
      <c r="B126" s="1"/>
      <c r="C126" s="6"/>
      <c r="D126" s="1"/>
      <c r="E126" s="3"/>
      <c r="F126" s="4"/>
      <c r="G126" s="5"/>
      <c r="I126" s="3"/>
    </row>
    <row r="127" spans="1:9" ht="13.95" customHeight="1">
      <c r="A127" s="1">
        <f>A121+1</f>
        <v>21</v>
      </c>
      <c r="B127" s="1"/>
      <c r="C127" s="6" t="s">
        <v>106</v>
      </c>
      <c r="D127" s="1" t="s">
        <v>1</v>
      </c>
      <c r="E127" s="3">
        <f>SUM(I127:I127)</f>
        <v>110</v>
      </c>
      <c r="F127" s="3">
        <v>36</v>
      </c>
      <c r="G127" s="5">
        <f t="shared" ref="G127" si="21">+E127*F127</f>
        <v>3960</v>
      </c>
      <c r="I127" s="3">
        <v>110</v>
      </c>
    </row>
    <row r="128" spans="1:9" ht="13.95" customHeight="1">
      <c r="A128" s="1"/>
      <c r="B128" s="1"/>
      <c r="C128" s="6"/>
      <c r="D128" s="1"/>
      <c r="E128" s="3"/>
      <c r="F128" s="4"/>
      <c r="G128" s="5"/>
      <c r="I128" s="3"/>
    </row>
    <row r="129" spans="1:9" ht="13.95" customHeight="1">
      <c r="A129" s="1"/>
      <c r="B129" s="2" t="s">
        <v>91</v>
      </c>
      <c r="C129" s="34" t="s">
        <v>18</v>
      </c>
      <c r="D129" s="1"/>
      <c r="E129" s="3"/>
      <c r="F129" s="4"/>
      <c r="G129" s="5"/>
      <c r="I129" s="3"/>
    </row>
    <row r="130" spans="1:9" ht="13.95" customHeight="1">
      <c r="A130" s="1"/>
      <c r="B130" s="1"/>
      <c r="C130" s="33"/>
      <c r="D130" s="1"/>
      <c r="E130" s="3"/>
      <c r="F130" s="4"/>
      <c r="G130" s="5"/>
      <c r="I130" s="3"/>
    </row>
    <row r="131" spans="1:9" ht="13.95" customHeight="1">
      <c r="A131" s="1"/>
      <c r="B131" s="1" t="s">
        <v>84</v>
      </c>
      <c r="C131" s="32" t="s">
        <v>19</v>
      </c>
      <c r="D131" s="1"/>
      <c r="E131" s="3"/>
      <c r="F131" s="4"/>
      <c r="G131" s="5"/>
      <c r="I131" s="3"/>
    </row>
    <row r="132" spans="1:9" ht="13.95" customHeight="1">
      <c r="A132" s="1"/>
      <c r="B132" s="1"/>
      <c r="C132" s="33"/>
      <c r="D132" s="1"/>
      <c r="E132" s="3"/>
      <c r="F132" s="4"/>
      <c r="G132" s="5"/>
      <c r="I132" s="3"/>
    </row>
    <row r="133" spans="1:9" ht="13.95" customHeight="1">
      <c r="A133" s="1">
        <f>A127+1</f>
        <v>22</v>
      </c>
      <c r="B133" s="1"/>
      <c r="C133" s="33" t="s">
        <v>72</v>
      </c>
      <c r="D133" s="1" t="s">
        <v>2</v>
      </c>
      <c r="E133" s="3">
        <f>SUM(I133:I133)</f>
        <v>8</v>
      </c>
      <c r="F133" s="3">
        <v>25750</v>
      </c>
      <c r="G133" s="5">
        <f t="shared" ref="G133" si="22">+E133*F133</f>
        <v>206000</v>
      </c>
      <c r="I133" s="4">
        <v>8</v>
      </c>
    </row>
    <row r="134" spans="1:9" ht="13.95" customHeight="1">
      <c r="A134" s="1"/>
      <c r="B134" s="1"/>
      <c r="C134" s="33"/>
      <c r="D134" s="1"/>
      <c r="E134" s="3"/>
      <c r="F134" s="4"/>
      <c r="G134" s="5"/>
      <c r="I134" s="3"/>
    </row>
    <row r="135" spans="1:9" ht="13.95" customHeight="1">
      <c r="A135" s="1"/>
      <c r="B135" s="1" t="s">
        <v>92</v>
      </c>
      <c r="C135" s="32" t="s">
        <v>3</v>
      </c>
      <c r="D135" s="1"/>
      <c r="E135" s="3"/>
      <c r="F135" s="4"/>
      <c r="G135" s="5"/>
      <c r="I135" s="3"/>
    </row>
    <row r="136" spans="1:9" ht="13.95" customHeight="1">
      <c r="A136" s="1"/>
      <c r="B136" s="1"/>
      <c r="C136" s="33"/>
      <c r="D136" s="1"/>
      <c r="E136" s="3"/>
      <c r="F136" s="4"/>
      <c r="G136" s="5"/>
      <c r="I136" s="3"/>
    </row>
    <row r="137" spans="1:9" ht="13.95" customHeight="1">
      <c r="A137" s="1">
        <f>A133+1</f>
        <v>23</v>
      </c>
      <c r="B137" s="1"/>
      <c r="C137" s="33" t="s">
        <v>73</v>
      </c>
      <c r="D137" s="1" t="s">
        <v>60</v>
      </c>
      <c r="E137" s="3">
        <f>SUM(I137:I137)</f>
        <v>80</v>
      </c>
      <c r="F137" s="13">
        <v>345</v>
      </c>
      <c r="G137" s="5">
        <f t="shared" ref="G137" si="23">+E137*F137</f>
        <v>27600</v>
      </c>
      <c r="I137" s="3">
        <v>80</v>
      </c>
    </row>
    <row r="138" spans="1:9" ht="13.95" customHeight="1">
      <c r="A138" s="1"/>
      <c r="B138" s="1"/>
      <c r="C138" s="33"/>
      <c r="D138" s="1"/>
      <c r="E138" s="3"/>
      <c r="F138" s="4"/>
      <c r="G138" s="5"/>
      <c r="I138" s="3"/>
    </row>
    <row r="139" spans="1:9" ht="13.95" customHeight="1">
      <c r="A139" s="1"/>
      <c r="B139" s="35"/>
      <c r="C139" s="33"/>
      <c r="D139" s="1"/>
      <c r="E139" s="3"/>
      <c r="F139" s="4"/>
      <c r="G139" s="5"/>
      <c r="I139" s="3"/>
    </row>
    <row r="140" spans="1:9" ht="13.95" customHeight="1">
      <c r="A140" s="1"/>
      <c r="B140" s="35"/>
      <c r="C140" s="33"/>
      <c r="D140" s="1"/>
      <c r="E140" s="3"/>
      <c r="F140" s="4"/>
      <c r="G140" s="5"/>
      <c r="I140" s="3"/>
    </row>
    <row r="141" spans="1:9" ht="13.95" customHeight="1">
      <c r="A141" s="1"/>
      <c r="B141" s="35"/>
      <c r="C141" s="33"/>
      <c r="D141" s="1"/>
      <c r="E141" s="3"/>
      <c r="F141" s="4"/>
      <c r="G141" s="5"/>
      <c r="I141" s="3"/>
    </row>
    <row r="142" spans="1:9" ht="20.100000000000001" customHeight="1">
      <c r="A142" s="149" t="s">
        <v>66</v>
      </c>
      <c r="B142" s="150"/>
      <c r="C142" s="150"/>
      <c r="D142" s="150"/>
      <c r="E142" s="150"/>
      <c r="F142" s="151"/>
      <c r="G142" s="116">
        <f>SUM(G95:G141)</f>
        <v>959836.25</v>
      </c>
      <c r="I142" s="9"/>
    </row>
    <row r="143" spans="1:9">
      <c r="A143" s="39"/>
      <c r="B143" s="39"/>
      <c r="C143" s="39"/>
      <c r="D143" s="39"/>
      <c r="E143" s="39"/>
      <c r="F143" s="39"/>
      <c r="G143" s="113"/>
      <c r="I143" s="9"/>
    </row>
    <row r="144" spans="1:9" ht="13.95" customHeight="1">
      <c r="A144" s="39"/>
      <c r="B144" s="39"/>
      <c r="C144" s="39"/>
      <c r="D144" s="39"/>
      <c r="E144" s="39"/>
      <c r="F144" s="39"/>
      <c r="G144" s="113"/>
      <c r="I144" s="9"/>
    </row>
    <row r="145" spans="1:9" ht="24" customHeight="1">
      <c r="A145" s="44" t="s">
        <v>8</v>
      </c>
      <c r="B145" s="48" t="s">
        <v>9</v>
      </c>
      <c r="C145" s="44" t="s">
        <v>10</v>
      </c>
      <c r="D145" s="48" t="s">
        <v>11</v>
      </c>
      <c r="E145" s="48" t="s">
        <v>59</v>
      </c>
      <c r="F145" s="49" t="s">
        <v>12</v>
      </c>
      <c r="G145" s="111" t="s">
        <v>13</v>
      </c>
      <c r="I145" s="9"/>
    </row>
    <row r="146" spans="1:9" ht="20.100000000000001" customHeight="1">
      <c r="A146" s="149" t="s">
        <v>67</v>
      </c>
      <c r="B146" s="150"/>
      <c r="C146" s="150"/>
      <c r="D146" s="150"/>
      <c r="E146" s="150"/>
      <c r="F146" s="151"/>
      <c r="G146" s="116">
        <f>+G142</f>
        <v>959836.25</v>
      </c>
      <c r="I146" s="9"/>
    </row>
    <row r="147" spans="1:9" ht="13.95" customHeight="1">
      <c r="A147" s="1"/>
      <c r="B147" s="35"/>
      <c r="C147" s="33"/>
      <c r="D147" s="1"/>
      <c r="E147" s="3"/>
      <c r="F147" s="4"/>
      <c r="G147" s="5"/>
      <c r="I147" s="3"/>
    </row>
    <row r="148" spans="1:9" ht="13.95" customHeight="1">
      <c r="A148" s="1"/>
      <c r="B148" s="36" t="s">
        <v>93</v>
      </c>
      <c r="C148" s="34" t="s">
        <v>4</v>
      </c>
      <c r="D148" s="1"/>
      <c r="E148" s="3"/>
      <c r="F148" s="4"/>
      <c r="G148" s="5"/>
      <c r="I148" s="3"/>
    </row>
    <row r="149" spans="1:9" ht="13.95" customHeight="1">
      <c r="A149" s="1"/>
      <c r="C149" s="33"/>
      <c r="D149" s="1"/>
      <c r="E149" s="3"/>
      <c r="F149" s="4"/>
      <c r="G149" s="5"/>
      <c r="I149" s="3"/>
    </row>
    <row r="150" spans="1:9" ht="13.95" customHeight="1">
      <c r="A150" s="1"/>
      <c r="B150" s="20" t="s">
        <v>94</v>
      </c>
      <c r="C150" s="32" t="s">
        <v>5</v>
      </c>
      <c r="D150" s="1"/>
      <c r="E150" s="3"/>
      <c r="F150" s="4"/>
      <c r="G150" s="5"/>
      <c r="I150" s="3"/>
    </row>
    <row r="151" spans="1:9" ht="13.95" customHeight="1">
      <c r="A151" s="1"/>
      <c r="C151" s="33"/>
      <c r="D151" s="1"/>
      <c r="E151" s="3"/>
      <c r="F151" s="4"/>
      <c r="G151" s="5"/>
      <c r="I151" s="3"/>
    </row>
    <row r="152" spans="1:9" ht="13.95" customHeight="1">
      <c r="A152" s="1"/>
      <c r="C152" s="33" t="s">
        <v>74</v>
      </c>
      <c r="D152" s="1"/>
      <c r="E152" s="3"/>
      <c r="F152" s="4"/>
      <c r="G152" s="5"/>
      <c r="I152" s="3"/>
    </row>
    <row r="153" spans="1:9" ht="13.95" customHeight="1">
      <c r="A153" s="1"/>
      <c r="C153" s="33"/>
      <c r="D153" s="1"/>
      <c r="E153" s="3"/>
      <c r="F153" s="4"/>
      <c r="G153" s="5"/>
      <c r="I153" s="3"/>
    </row>
    <row r="154" spans="1:9" ht="13.95" customHeight="1">
      <c r="A154" s="1">
        <f>A137+1</f>
        <v>24</v>
      </c>
      <c r="C154" s="33" t="s">
        <v>24</v>
      </c>
      <c r="D154" s="1" t="s">
        <v>60</v>
      </c>
      <c r="E154" s="3">
        <f>SUM(I154:I154)</f>
        <v>176</v>
      </c>
      <c r="F154" s="3">
        <v>175</v>
      </c>
      <c r="G154" s="5">
        <f t="shared" ref="G154" si="24">+E154*F154</f>
        <v>30800</v>
      </c>
      <c r="I154" s="3">
        <v>176</v>
      </c>
    </row>
    <row r="155" spans="1:9" ht="13.95" customHeight="1">
      <c r="A155" s="1"/>
      <c r="B155" s="1"/>
      <c r="C155" s="33"/>
      <c r="D155" s="1"/>
      <c r="E155" s="3"/>
      <c r="F155" s="4"/>
      <c r="G155" s="5"/>
      <c r="I155" s="3"/>
    </row>
    <row r="156" spans="1:9" ht="13.95" customHeight="1">
      <c r="A156" s="1"/>
      <c r="B156" s="1"/>
      <c r="C156" s="32" t="s">
        <v>158</v>
      </c>
      <c r="D156" s="1"/>
      <c r="E156" s="3"/>
      <c r="F156" s="4"/>
      <c r="G156" s="5"/>
      <c r="I156" s="3"/>
    </row>
    <row r="157" spans="1:9" ht="13.95" customHeight="1">
      <c r="A157" s="1"/>
      <c r="B157" s="1"/>
      <c r="C157" s="33"/>
      <c r="D157" s="1"/>
      <c r="E157" s="3"/>
      <c r="F157" s="4"/>
      <c r="G157" s="5"/>
      <c r="I157" s="3"/>
    </row>
    <row r="158" spans="1:9" ht="13.95" customHeight="1">
      <c r="A158" s="1">
        <f>A154+1</f>
        <v>25</v>
      </c>
      <c r="B158" s="1"/>
      <c r="C158" s="33" t="s">
        <v>202</v>
      </c>
      <c r="D158" s="1" t="s">
        <v>51</v>
      </c>
      <c r="E158" s="3">
        <f>SUM(I158:I158)</f>
        <v>0</v>
      </c>
      <c r="F158" s="3">
        <v>3550</v>
      </c>
      <c r="G158" s="5">
        <f t="shared" ref="G158" si="25">+E158*F158</f>
        <v>0</v>
      </c>
      <c r="I158" s="3"/>
    </row>
    <row r="159" spans="1:9" ht="13.95" customHeight="1">
      <c r="A159" s="1"/>
      <c r="B159" s="1"/>
      <c r="C159" s="33"/>
      <c r="D159" s="1"/>
      <c r="E159" s="3"/>
      <c r="F159" s="3"/>
      <c r="G159" s="5"/>
      <c r="I159" s="3"/>
    </row>
    <row r="160" spans="1:9" ht="13.95" customHeight="1">
      <c r="A160" s="1">
        <f>A158+1</f>
        <v>26</v>
      </c>
      <c r="B160" s="1"/>
      <c r="C160" s="33" t="s">
        <v>28</v>
      </c>
      <c r="D160" s="1" t="s">
        <v>51</v>
      </c>
      <c r="E160" s="3">
        <f>SUM(I160:I160)</f>
        <v>38</v>
      </c>
      <c r="F160" s="3">
        <v>3200</v>
      </c>
      <c r="G160" s="5">
        <f t="shared" ref="G160" si="26">+E160*F160</f>
        <v>121600</v>
      </c>
      <c r="I160" s="3">
        <v>38</v>
      </c>
    </row>
    <row r="161" spans="1:9" ht="13.95" customHeight="1">
      <c r="A161" s="1"/>
      <c r="B161" s="1"/>
      <c r="C161" s="33"/>
      <c r="D161" s="1"/>
      <c r="E161" s="3"/>
      <c r="F161" s="3"/>
      <c r="G161" s="5"/>
      <c r="I161" s="3"/>
    </row>
    <row r="162" spans="1:9" ht="13.95" customHeight="1">
      <c r="A162" s="1">
        <v>25</v>
      </c>
      <c r="B162" s="1"/>
      <c r="C162" s="33" t="s">
        <v>62</v>
      </c>
      <c r="D162" s="1" t="s">
        <v>51</v>
      </c>
      <c r="E162" s="3">
        <f>SUM(I162:I162)</f>
        <v>0</v>
      </c>
      <c r="F162" s="3">
        <v>3350</v>
      </c>
      <c r="G162" s="5">
        <f t="shared" ref="G162" si="27">+E162*F162</f>
        <v>0</v>
      </c>
      <c r="I162" s="3"/>
    </row>
    <row r="163" spans="1:9" ht="13.95" customHeight="1">
      <c r="A163" s="1"/>
      <c r="B163" s="1"/>
      <c r="C163" s="33"/>
      <c r="D163" s="1"/>
      <c r="E163" s="3"/>
      <c r="F163" s="3"/>
      <c r="G163" s="5"/>
      <c r="I163" s="3"/>
    </row>
    <row r="164" spans="1:9" ht="13.95" customHeight="1">
      <c r="A164" s="1">
        <v>26</v>
      </c>
      <c r="B164" s="1"/>
      <c r="C164" s="33" t="s">
        <v>27</v>
      </c>
      <c r="D164" s="1" t="s">
        <v>51</v>
      </c>
      <c r="E164" s="3">
        <f>SUM(I164:I164)</f>
        <v>33</v>
      </c>
      <c r="F164" s="3">
        <v>3200</v>
      </c>
      <c r="G164" s="5">
        <f t="shared" ref="G164" si="28">+E164*F164</f>
        <v>105600</v>
      </c>
      <c r="I164" s="3">
        <v>33</v>
      </c>
    </row>
    <row r="165" spans="1:9" ht="13.95" customHeight="1">
      <c r="A165" s="1"/>
      <c r="B165" s="1"/>
      <c r="C165" s="33"/>
      <c r="D165" s="1"/>
      <c r="E165" s="3"/>
      <c r="F165" s="3"/>
      <c r="G165" s="5"/>
      <c r="I165" s="3"/>
    </row>
    <row r="166" spans="1:9" ht="13.95" customHeight="1">
      <c r="A166" s="1">
        <f>A164+1</f>
        <v>27</v>
      </c>
      <c r="B166" s="1"/>
      <c r="C166" s="33" t="s">
        <v>250</v>
      </c>
      <c r="D166" s="1" t="s">
        <v>51</v>
      </c>
      <c r="E166" s="3">
        <f>SUM(I166:I166)</f>
        <v>0</v>
      </c>
      <c r="F166" s="3">
        <v>3650</v>
      </c>
      <c r="G166" s="5">
        <f t="shared" ref="G166" si="29">+E166*F166</f>
        <v>0</v>
      </c>
      <c r="I166" s="3"/>
    </row>
    <row r="167" spans="1:9" ht="13.95" customHeight="1">
      <c r="A167" s="1"/>
      <c r="B167" s="1"/>
      <c r="C167" s="33"/>
      <c r="D167" s="1"/>
      <c r="E167" s="3"/>
      <c r="F167" s="4"/>
      <c r="G167" s="5"/>
      <c r="I167" s="3"/>
    </row>
    <row r="168" spans="1:9" ht="13.95" customHeight="1">
      <c r="A168" s="1"/>
      <c r="B168" s="1" t="s">
        <v>96</v>
      </c>
      <c r="C168" s="32" t="s">
        <v>159</v>
      </c>
      <c r="D168" s="1"/>
      <c r="E168" s="3"/>
      <c r="F168" s="4"/>
      <c r="G168" s="5"/>
      <c r="I168" s="9"/>
    </row>
    <row r="169" spans="1:9" ht="13.95" customHeight="1">
      <c r="A169" s="1"/>
      <c r="B169" s="1"/>
      <c r="C169" s="33"/>
      <c r="D169" s="1"/>
      <c r="E169" s="3"/>
      <c r="F169" s="4"/>
      <c r="G169" s="5"/>
      <c r="I169" s="9"/>
    </row>
    <row r="170" spans="1:9" ht="13.95" customHeight="1">
      <c r="A170" s="1"/>
      <c r="B170" s="1"/>
      <c r="C170" s="33" t="s">
        <v>160</v>
      </c>
      <c r="D170" s="1"/>
      <c r="E170" s="3"/>
      <c r="F170" s="4"/>
      <c r="G170" s="5"/>
      <c r="I170" s="9"/>
    </row>
    <row r="171" spans="1:9" ht="13.95" customHeight="1">
      <c r="A171" s="1"/>
      <c r="B171" s="1"/>
      <c r="C171" s="33"/>
      <c r="D171" s="1"/>
      <c r="E171" s="3"/>
      <c r="F171" s="4"/>
      <c r="G171" s="5"/>
      <c r="I171" s="9"/>
    </row>
    <row r="172" spans="1:9" ht="13.95" customHeight="1">
      <c r="A172" s="1">
        <f>A166+1</f>
        <v>28</v>
      </c>
      <c r="B172" s="1"/>
      <c r="C172" s="33" t="s">
        <v>28</v>
      </c>
      <c r="D172" s="1" t="s">
        <v>60</v>
      </c>
      <c r="E172" s="3">
        <f>SUM(I172:I172)</f>
        <v>180</v>
      </c>
      <c r="F172" s="3">
        <v>46</v>
      </c>
      <c r="G172" s="5">
        <f t="shared" ref="G172" si="30">+E172*F172</f>
        <v>8280</v>
      </c>
      <c r="I172" s="3">
        <v>180</v>
      </c>
    </row>
    <row r="173" spans="1:9" ht="13.95" customHeight="1">
      <c r="A173" s="1"/>
      <c r="B173" s="1"/>
      <c r="C173" s="33"/>
      <c r="D173" s="1"/>
      <c r="E173" s="3"/>
      <c r="F173" s="3"/>
      <c r="G173" s="5"/>
      <c r="I173" s="3"/>
    </row>
    <row r="174" spans="1:9" ht="13.95" customHeight="1">
      <c r="A174" s="1"/>
      <c r="B174" s="1"/>
      <c r="C174" s="33" t="s">
        <v>196</v>
      </c>
      <c r="D174" s="1"/>
      <c r="E174" s="3"/>
      <c r="F174" s="3"/>
      <c r="G174" s="5"/>
      <c r="I174" s="3"/>
    </row>
    <row r="175" spans="1:9" ht="13.95" customHeight="1">
      <c r="A175" s="1"/>
      <c r="B175" s="1"/>
      <c r="C175" s="33"/>
      <c r="D175" s="1"/>
      <c r="E175" s="3"/>
      <c r="F175" s="3"/>
      <c r="G175" s="5"/>
      <c r="I175" s="3"/>
    </row>
    <row r="176" spans="1:9" ht="13.95" customHeight="1">
      <c r="A176" s="1">
        <f>A172+1</f>
        <v>29</v>
      </c>
      <c r="B176" s="1"/>
      <c r="C176" s="33" t="s">
        <v>29</v>
      </c>
      <c r="D176" s="1" t="s">
        <v>60</v>
      </c>
      <c r="E176" s="3">
        <f>SUM(I176:I176)</f>
        <v>0</v>
      </c>
      <c r="F176" s="3">
        <v>75</v>
      </c>
      <c r="G176" s="5">
        <f t="shared" ref="G176" si="31">+E176*F176</f>
        <v>0</v>
      </c>
      <c r="I176" s="3"/>
    </row>
    <row r="177" spans="1:9" ht="13.95" customHeight="1">
      <c r="A177" s="1"/>
      <c r="B177" s="1"/>
      <c r="C177" s="33"/>
      <c r="D177" s="1"/>
      <c r="E177" s="3"/>
      <c r="F177" s="4"/>
      <c r="G177" s="5"/>
      <c r="I177" s="3"/>
    </row>
    <row r="178" spans="1:9" ht="13.95" customHeight="1">
      <c r="A178" s="1"/>
      <c r="B178" s="1" t="s">
        <v>97</v>
      </c>
      <c r="C178" s="34" t="s">
        <v>20</v>
      </c>
      <c r="D178" s="1"/>
      <c r="E178" s="3"/>
      <c r="F178" s="4"/>
      <c r="G178" s="5"/>
      <c r="I178" s="3"/>
    </row>
    <row r="179" spans="1:9" ht="13.95" customHeight="1">
      <c r="A179" s="1"/>
      <c r="B179" s="1"/>
      <c r="C179" s="34"/>
      <c r="D179" s="1"/>
      <c r="E179" s="3"/>
      <c r="F179" s="4"/>
      <c r="G179" s="5"/>
      <c r="I179" s="3"/>
    </row>
    <row r="180" spans="1:9" ht="13.95" customHeight="1">
      <c r="A180" s="1"/>
      <c r="B180" s="1"/>
      <c r="C180" s="32" t="s">
        <v>213</v>
      </c>
      <c r="D180" s="1"/>
      <c r="E180" s="3"/>
      <c r="F180" s="4"/>
      <c r="G180" s="5"/>
      <c r="I180" s="3"/>
    </row>
    <row r="181" spans="1:9" ht="13.95" customHeight="1">
      <c r="A181" s="1"/>
      <c r="B181" s="1"/>
      <c r="C181" s="34"/>
      <c r="D181" s="1"/>
      <c r="E181" s="3"/>
      <c r="F181" s="4"/>
      <c r="G181" s="5"/>
      <c r="I181" s="3"/>
    </row>
    <row r="182" spans="1:9" ht="27" customHeight="1">
      <c r="A182" s="1">
        <f>A176+1</f>
        <v>30</v>
      </c>
      <c r="B182" s="1"/>
      <c r="C182" s="33" t="s">
        <v>237</v>
      </c>
      <c r="D182" s="1" t="s">
        <v>1</v>
      </c>
      <c r="E182" s="3">
        <f>SUM(I182:I182)</f>
        <v>10</v>
      </c>
      <c r="F182" s="3">
        <v>375</v>
      </c>
      <c r="G182" s="5">
        <f t="shared" ref="G182" si="32">+E182*F182</f>
        <v>3750</v>
      </c>
      <c r="I182" s="3">
        <v>10</v>
      </c>
    </row>
    <row r="183" spans="1:9" ht="13.95" customHeight="1">
      <c r="A183" s="1"/>
      <c r="B183" s="1"/>
      <c r="C183" s="33"/>
      <c r="D183" s="1"/>
      <c r="E183" s="3"/>
      <c r="F183" s="3"/>
      <c r="G183" s="5"/>
      <c r="I183" s="3"/>
    </row>
    <row r="184" spans="1:9" ht="24.6" customHeight="1">
      <c r="A184" s="1">
        <f>A182+1</f>
        <v>31</v>
      </c>
      <c r="B184" s="1"/>
      <c r="C184" s="33" t="s">
        <v>238</v>
      </c>
      <c r="D184" s="1" t="s">
        <v>1</v>
      </c>
      <c r="E184" s="3">
        <f>SUM(I184:I184)</f>
        <v>32</v>
      </c>
      <c r="F184" s="3">
        <v>355</v>
      </c>
      <c r="G184" s="5">
        <f t="shared" ref="G184" si="33">+E184*F184</f>
        <v>11360</v>
      </c>
      <c r="I184" s="3">
        <v>32</v>
      </c>
    </row>
    <row r="185" spans="1:9" ht="13.95" customHeight="1">
      <c r="A185" s="1"/>
      <c r="B185" s="1"/>
      <c r="C185" s="33"/>
      <c r="D185" s="1"/>
      <c r="E185" s="3"/>
      <c r="F185" s="3"/>
      <c r="G185" s="5"/>
      <c r="I185" s="3"/>
    </row>
    <row r="186" spans="1:9" ht="23.4" customHeight="1">
      <c r="A186" s="1">
        <f>A184+1</f>
        <v>32</v>
      </c>
      <c r="B186" s="1"/>
      <c r="C186" s="33" t="s">
        <v>243</v>
      </c>
      <c r="D186" s="1" t="s">
        <v>1</v>
      </c>
      <c r="E186" s="3">
        <f>SUM(I186:I186)</f>
        <v>0</v>
      </c>
      <c r="F186" s="3">
        <v>195</v>
      </c>
      <c r="G186" s="5">
        <f t="shared" ref="G186" si="34">+E186*F186</f>
        <v>0</v>
      </c>
      <c r="I186" s="3"/>
    </row>
    <row r="187" spans="1:9" ht="13.95" customHeight="1">
      <c r="A187" s="1"/>
      <c r="B187" s="1"/>
      <c r="C187" s="33"/>
      <c r="D187" s="1"/>
      <c r="E187" s="3"/>
      <c r="F187" s="3"/>
      <c r="G187" s="5"/>
      <c r="I187" s="3"/>
    </row>
    <row r="188" spans="1:9" ht="13.95" customHeight="1">
      <c r="A188" s="1"/>
      <c r="B188" s="1"/>
      <c r="C188" s="33" t="s">
        <v>239</v>
      </c>
      <c r="D188" s="1" t="s">
        <v>1</v>
      </c>
      <c r="E188" s="3">
        <f>SUM(I188:I188)</f>
        <v>0</v>
      </c>
      <c r="F188" s="3">
        <v>155</v>
      </c>
      <c r="G188" s="5">
        <f t="shared" ref="G188" si="35">+E188*F188</f>
        <v>0</v>
      </c>
      <c r="I188" s="3"/>
    </row>
    <row r="189" spans="1:9" ht="13.95" customHeight="1">
      <c r="A189" s="1"/>
      <c r="B189" s="1"/>
      <c r="C189" s="33"/>
      <c r="D189" s="1"/>
      <c r="E189" s="3"/>
      <c r="F189" s="3"/>
      <c r="G189" s="5"/>
      <c r="I189" s="3"/>
    </row>
    <row r="190" spans="1:9" ht="13.95" customHeight="1">
      <c r="A190" s="1"/>
      <c r="B190" s="1"/>
      <c r="C190" s="33"/>
      <c r="D190" s="1"/>
      <c r="E190" s="3"/>
      <c r="F190" s="4"/>
      <c r="G190" s="5"/>
      <c r="I190" s="3"/>
    </row>
    <row r="191" spans="1:9" ht="13.95" customHeight="1">
      <c r="A191" s="1"/>
      <c r="B191" s="1"/>
      <c r="C191" s="33"/>
      <c r="D191" s="1"/>
      <c r="E191" s="3"/>
      <c r="F191" s="4"/>
      <c r="G191" s="5"/>
      <c r="I191" s="3"/>
    </row>
    <row r="192" spans="1:9" ht="20.100000000000001" customHeight="1">
      <c r="A192" s="149" t="s">
        <v>66</v>
      </c>
      <c r="B192" s="150"/>
      <c r="C192" s="150"/>
      <c r="D192" s="150"/>
      <c r="E192" s="150"/>
      <c r="F192" s="151"/>
      <c r="G192" s="116">
        <f>SUM(G146:G191)</f>
        <v>1241226.25</v>
      </c>
      <c r="I192" s="9"/>
    </row>
    <row r="193" spans="1:9">
      <c r="A193" s="39"/>
      <c r="B193" s="39"/>
      <c r="C193" s="39"/>
      <c r="D193" s="39"/>
      <c r="E193" s="39"/>
      <c r="F193" s="39"/>
      <c r="G193" s="113"/>
      <c r="I193" s="9"/>
    </row>
    <row r="194" spans="1:9" ht="13.95" customHeight="1">
      <c r="A194" s="39"/>
      <c r="B194" s="39"/>
      <c r="C194" s="39"/>
      <c r="D194" s="39"/>
      <c r="E194" s="39"/>
      <c r="F194" s="39"/>
      <c r="G194" s="113"/>
      <c r="I194" s="9"/>
    </row>
    <row r="195" spans="1:9" ht="24" customHeight="1">
      <c r="A195" s="44" t="s">
        <v>8</v>
      </c>
      <c r="B195" s="48" t="s">
        <v>9</v>
      </c>
      <c r="C195" s="44" t="s">
        <v>10</v>
      </c>
      <c r="D195" s="48" t="s">
        <v>11</v>
      </c>
      <c r="E195" s="48" t="s">
        <v>59</v>
      </c>
      <c r="F195" s="49" t="s">
        <v>12</v>
      </c>
      <c r="G195" s="111" t="s">
        <v>13</v>
      </c>
      <c r="I195" s="9"/>
    </row>
    <row r="196" spans="1:9" ht="20.100000000000001" customHeight="1">
      <c r="A196" s="149" t="s">
        <v>67</v>
      </c>
      <c r="B196" s="150"/>
      <c r="C196" s="150"/>
      <c r="D196" s="150"/>
      <c r="E196" s="150"/>
      <c r="F196" s="151"/>
      <c r="G196" s="116">
        <f>+G192</f>
        <v>1241226.25</v>
      </c>
      <c r="I196" s="9"/>
    </row>
    <row r="197" spans="1:9" ht="13.95" customHeight="1">
      <c r="A197" s="1"/>
      <c r="B197" s="1"/>
      <c r="C197" s="33"/>
      <c r="D197" s="1"/>
      <c r="E197" s="3"/>
      <c r="F197" s="4"/>
      <c r="G197" s="5"/>
      <c r="I197" s="3"/>
    </row>
    <row r="198" spans="1:9" ht="13.95" customHeight="1">
      <c r="A198" s="1"/>
      <c r="B198" s="1"/>
      <c r="C198" s="32" t="s">
        <v>198</v>
      </c>
      <c r="D198" s="1"/>
      <c r="E198" s="3"/>
      <c r="F198" s="4"/>
      <c r="G198" s="5"/>
      <c r="I198" s="3"/>
    </row>
    <row r="199" spans="1:9" ht="13.95" customHeight="1">
      <c r="A199" s="1"/>
      <c r="B199" s="1"/>
      <c r="C199" s="33"/>
      <c r="D199" s="1"/>
      <c r="E199" s="3"/>
      <c r="F199" s="4"/>
      <c r="G199" s="5"/>
      <c r="I199" s="3"/>
    </row>
    <row r="200" spans="1:9" ht="13.95" customHeight="1">
      <c r="A200" s="1">
        <f>A186+1</f>
        <v>33</v>
      </c>
      <c r="B200" s="1"/>
      <c r="C200" s="33" t="s">
        <v>199</v>
      </c>
      <c r="D200" s="1" t="s">
        <v>1</v>
      </c>
      <c r="E200" s="3">
        <f>SUM(I200:I200)</f>
        <v>0</v>
      </c>
      <c r="F200" s="3">
        <f>F182</f>
        <v>375</v>
      </c>
      <c r="G200" s="5">
        <f t="shared" ref="G200" si="36">+E200*F200</f>
        <v>0</v>
      </c>
      <c r="I200" s="3"/>
    </row>
    <row r="201" spans="1:9" ht="13.95" customHeight="1">
      <c r="A201" s="1"/>
      <c r="B201" s="1"/>
      <c r="C201" s="33"/>
      <c r="D201" s="1"/>
      <c r="E201" s="3"/>
      <c r="F201" s="3"/>
      <c r="G201" s="5"/>
      <c r="I201" s="3"/>
    </row>
    <row r="202" spans="1:9" ht="13.95" customHeight="1">
      <c r="A202" s="1">
        <f>A200+1</f>
        <v>34</v>
      </c>
      <c r="B202" s="1"/>
      <c r="C202" s="33" t="s">
        <v>200</v>
      </c>
      <c r="D202" s="1" t="s">
        <v>1</v>
      </c>
      <c r="E202" s="3">
        <f>SUM(I202:I202)</f>
        <v>0</v>
      </c>
      <c r="F202" s="3">
        <v>395</v>
      </c>
      <c r="G202" s="5">
        <f t="shared" ref="G202" si="37">+E202*F202</f>
        <v>0</v>
      </c>
      <c r="I202" s="3"/>
    </row>
    <row r="203" spans="1:9" ht="13.95" customHeight="1">
      <c r="A203" s="1"/>
      <c r="B203" s="1"/>
      <c r="C203" s="33"/>
      <c r="D203" s="1"/>
      <c r="E203" s="3"/>
      <c r="F203" s="3"/>
      <c r="G203" s="5"/>
      <c r="I203" s="3"/>
    </row>
    <row r="204" spans="1:9" ht="13.95" customHeight="1">
      <c r="A204" s="1">
        <f>A202+1</f>
        <v>35</v>
      </c>
      <c r="B204" s="1"/>
      <c r="C204" s="33" t="s">
        <v>214</v>
      </c>
      <c r="D204" s="1" t="s">
        <v>1</v>
      </c>
      <c r="E204" s="3">
        <f>SUM(I204:I204)</f>
        <v>0</v>
      </c>
      <c r="F204" s="3">
        <v>395</v>
      </c>
      <c r="G204" s="5">
        <f t="shared" ref="G204" si="38">+E204*F204</f>
        <v>0</v>
      </c>
      <c r="I204" s="3"/>
    </row>
    <row r="205" spans="1:9" ht="13.95" customHeight="1">
      <c r="A205" s="1"/>
      <c r="B205" s="1"/>
      <c r="C205" s="33"/>
      <c r="D205" s="1"/>
      <c r="E205" s="3"/>
      <c r="F205" s="4"/>
      <c r="G205" s="5"/>
      <c r="I205" s="3"/>
    </row>
    <row r="206" spans="1:9" ht="13.95" customHeight="1">
      <c r="A206" s="9"/>
      <c r="B206" s="1" t="s">
        <v>98</v>
      </c>
      <c r="C206" s="34" t="s">
        <v>30</v>
      </c>
      <c r="D206" s="1"/>
      <c r="E206" s="3"/>
      <c r="F206" s="4"/>
      <c r="G206" s="5"/>
      <c r="I206" s="3"/>
    </row>
    <row r="207" spans="1:9" ht="13.95" customHeight="1">
      <c r="A207" s="9"/>
      <c r="B207" s="1"/>
      <c r="C207" s="33"/>
      <c r="D207" s="1"/>
      <c r="E207" s="3"/>
      <c r="F207" s="4"/>
      <c r="G207" s="5"/>
      <c r="I207" s="3"/>
    </row>
    <row r="208" spans="1:9" ht="13.95" customHeight="1">
      <c r="A208" s="9"/>
      <c r="B208" s="1"/>
      <c r="C208" s="33" t="s">
        <v>31</v>
      </c>
      <c r="D208" s="1"/>
      <c r="E208" s="3"/>
      <c r="F208" s="4"/>
      <c r="G208" s="5"/>
      <c r="I208" s="3"/>
    </row>
    <row r="209" spans="1:9" ht="13.95" customHeight="1">
      <c r="A209" s="9"/>
      <c r="B209" s="1"/>
      <c r="C209" s="33"/>
      <c r="D209" s="1"/>
      <c r="E209" s="3"/>
      <c r="F209" s="4"/>
      <c r="G209" s="5"/>
      <c r="I209" s="3"/>
    </row>
    <row r="210" spans="1:9" ht="13.95" customHeight="1">
      <c r="A210" s="9">
        <f>A204+1</f>
        <v>36</v>
      </c>
      <c r="B210" s="1"/>
      <c r="C210" s="33" t="s">
        <v>32</v>
      </c>
      <c r="D210" s="1" t="s">
        <v>51</v>
      </c>
      <c r="E210" s="3">
        <f>SUM(I210:I210)</f>
        <v>0</v>
      </c>
      <c r="F210" s="3">
        <v>35000</v>
      </c>
      <c r="G210" s="5">
        <f t="shared" ref="G210" si="39">+E210*F210</f>
        <v>0</v>
      </c>
      <c r="I210" s="4"/>
    </row>
    <row r="211" spans="1:9" ht="13.95" customHeight="1">
      <c r="A211" s="9"/>
      <c r="B211" s="1"/>
      <c r="C211" s="33"/>
      <c r="D211" s="1"/>
      <c r="E211" s="4"/>
      <c r="F211" s="3"/>
      <c r="G211" s="5"/>
      <c r="I211" s="4"/>
    </row>
    <row r="212" spans="1:9" ht="13.95" customHeight="1">
      <c r="A212" s="9"/>
      <c r="B212" s="1"/>
      <c r="C212" s="37" t="s">
        <v>40</v>
      </c>
      <c r="D212" s="1"/>
      <c r="E212" s="4"/>
      <c r="F212" s="3"/>
      <c r="G212" s="5"/>
      <c r="I212" s="4"/>
    </row>
    <row r="213" spans="1:9" ht="13.95" customHeight="1">
      <c r="A213" s="9"/>
      <c r="B213" s="1"/>
      <c r="C213" s="33"/>
      <c r="D213" s="1"/>
      <c r="E213" s="4"/>
      <c r="F213" s="3"/>
      <c r="G213" s="5"/>
      <c r="I213" s="4"/>
    </row>
    <row r="214" spans="1:9" ht="13.95" customHeight="1">
      <c r="A214" s="9">
        <f>A210+1</f>
        <v>37</v>
      </c>
      <c r="B214" s="1"/>
      <c r="C214" s="33" t="s">
        <v>32</v>
      </c>
      <c r="D214" s="1" t="s">
        <v>51</v>
      </c>
      <c r="E214" s="3">
        <f>SUM(I214:I214)</f>
        <v>0</v>
      </c>
      <c r="F214" s="3">
        <f>F210</f>
        <v>35000</v>
      </c>
      <c r="G214" s="5">
        <f t="shared" ref="G214" si="40">+E214*F214</f>
        <v>0</v>
      </c>
      <c r="I214" s="4"/>
    </row>
    <row r="215" spans="1:9" ht="13.95" customHeight="1">
      <c r="A215" s="1"/>
      <c r="B215" s="1"/>
      <c r="C215" s="33"/>
      <c r="D215" s="1"/>
      <c r="E215" s="3"/>
      <c r="F215" s="4"/>
      <c r="G215" s="5"/>
      <c r="I215" s="3"/>
    </row>
    <row r="216" spans="1:9" ht="24.6" customHeight="1">
      <c r="A216" s="9"/>
      <c r="B216" s="1" t="s">
        <v>99</v>
      </c>
      <c r="C216" s="34" t="s">
        <v>63</v>
      </c>
      <c r="D216" s="1"/>
      <c r="E216" s="3"/>
      <c r="F216" s="4"/>
      <c r="G216" s="5"/>
      <c r="I216" s="9"/>
    </row>
    <row r="217" spans="1:9" ht="13.95" customHeight="1">
      <c r="A217" s="9"/>
      <c r="B217" s="1"/>
      <c r="C217" s="34"/>
      <c r="D217" s="1"/>
      <c r="E217" s="3"/>
      <c r="F217" s="4"/>
      <c r="G217" s="5"/>
      <c r="I217" s="9"/>
    </row>
    <row r="218" spans="1:9" ht="22.95" customHeight="1">
      <c r="A218" s="9"/>
      <c r="B218" s="1"/>
      <c r="C218" s="34" t="s">
        <v>58</v>
      </c>
      <c r="D218" s="1"/>
      <c r="E218" s="3"/>
      <c r="F218" s="4"/>
      <c r="G218" s="5"/>
      <c r="I218" s="9"/>
    </row>
    <row r="219" spans="1:9" ht="13.95" customHeight="1">
      <c r="A219" s="9"/>
      <c r="B219" s="1"/>
      <c r="C219" s="33"/>
      <c r="D219" s="1"/>
      <c r="E219" s="3"/>
      <c r="F219" s="4"/>
      <c r="G219" s="5"/>
      <c r="I219" s="9"/>
    </row>
    <row r="220" spans="1:9" ht="48">
      <c r="A220" s="9">
        <f>A214+1</f>
        <v>38</v>
      </c>
      <c r="B220" s="1"/>
      <c r="C220" s="33" t="s">
        <v>240</v>
      </c>
      <c r="D220" s="1" t="s">
        <v>6</v>
      </c>
      <c r="E220" s="3">
        <f>SUM(I220:I220)</f>
        <v>0</v>
      </c>
      <c r="F220" s="3">
        <v>275</v>
      </c>
      <c r="G220" s="5">
        <f t="shared" ref="G220" si="41">+E220*F220</f>
        <v>0</v>
      </c>
      <c r="I220" s="9"/>
    </row>
    <row r="221" spans="1:9" ht="13.95" customHeight="1">
      <c r="A221" s="9"/>
      <c r="B221" s="1"/>
      <c r="C221" s="33"/>
      <c r="D221" s="1"/>
      <c r="E221" s="3"/>
      <c r="F221" s="3"/>
      <c r="G221" s="5"/>
      <c r="I221" s="9"/>
    </row>
    <row r="222" spans="1:9" ht="48">
      <c r="A222" s="9">
        <f>A220+1</f>
        <v>39</v>
      </c>
      <c r="B222" s="1"/>
      <c r="C222" s="33" t="s">
        <v>227</v>
      </c>
      <c r="D222" s="1" t="s">
        <v>6</v>
      </c>
      <c r="E222" s="3">
        <f>SUM(I222:I222)</f>
        <v>0</v>
      </c>
      <c r="F222" s="3">
        <v>975</v>
      </c>
      <c r="G222" s="5">
        <f t="shared" ref="G222" si="42">+E222*F222</f>
        <v>0</v>
      </c>
      <c r="I222" s="45"/>
    </row>
    <row r="223" spans="1:9" ht="12.6" customHeight="1">
      <c r="A223" s="9"/>
      <c r="B223" s="1"/>
      <c r="C223" s="33"/>
      <c r="D223" s="1"/>
      <c r="E223" s="3"/>
      <c r="F223" s="4"/>
      <c r="G223" s="5"/>
      <c r="I223" s="9"/>
    </row>
    <row r="224" spans="1:9" ht="13.95" customHeight="1">
      <c r="A224" s="1"/>
      <c r="B224" s="1" t="s">
        <v>103</v>
      </c>
      <c r="C224" s="34" t="s">
        <v>7</v>
      </c>
      <c r="D224" s="1"/>
      <c r="E224" s="3"/>
      <c r="F224" s="4"/>
      <c r="G224" s="5"/>
      <c r="I224" s="9"/>
    </row>
    <row r="225" spans="1:9" ht="13.95" customHeight="1">
      <c r="A225" s="1"/>
      <c r="B225" s="1"/>
      <c r="C225" s="33"/>
      <c r="D225" s="1"/>
      <c r="E225" s="3"/>
      <c r="F225" s="4"/>
      <c r="G225" s="5"/>
      <c r="I225" s="9"/>
    </row>
    <row r="226" spans="1:9" ht="13.95" customHeight="1">
      <c r="A226" s="1"/>
      <c r="B226" s="1"/>
      <c r="C226" s="33" t="s">
        <v>68</v>
      </c>
      <c r="D226" s="1"/>
      <c r="E226" s="3"/>
      <c r="F226" s="4"/>
      <c r="G226" s="5"/>
      <c r="I226" s="9"/>
    </row>
    <row r="227" spans="1:9" ht="13.95" customHeight="1">
      <c r="A227" s="1"/>
      <c r="B227" s="1"/>
      <c r="C227" s="33"/>
      <c r="D227" s="1"/>
      <c r="E227" s="3"/>
      <c r="F227" s="4"/>
      <c r="G227" s="5"/>
      <c r="I227" s="9"/>
    </row>
    <row r="228" spans="1:9" ht="22.95" customHeight="1">
      <c r="A228" s="1">
        <f>A222+1</f>
        <v>40</v>
      </c>
      <c r="B228" s="1"/>
      <c r="C228" s="33" t="s">
        <v>197</v>
      </c>
      <c r="D228" s="1" t="s">
        <v>60</v>
      </c>
      <c r="E228" s="3">
        <f>SUM(I228:I228)</f>
        <v>0</v>
      </c>
      <c r="F228" s="13">
        <v>165</v>
      </c>
      <c r="G228" s="5">
        <f t="shared" ref="G228" si="43">+E228*F228</f>
        <v>0</v>
      </c>
      <c r="I228" s="9"/>
    </row>
    <row r="229" spans="1:9" ht="13.95" customHeight="1">
      <c r="A229" s="1"/>
      <c r="B229" s="1"/>
      <c r="C229" s="33"/>
      <c r="D229" s="35"/>
      <c r="E229" s="3"/>
      <c r="F229" s="4"/>
      <c r="G229" s="5"/>
      <c r="I229" s="9"/>
    </row>
    <row r="230" spans="1:9" ht="13.95" customHeight="1">
      <c r="A230" s="1"/>
      <c r="B230" s="1"/>
      <c r="C230" s="33"/>
      <c r="D230" s="35"/>
      <c r="E230" s="3"/>
      <c r="F230" s="4"/>
      <c r="G230" s="5"/>
      <c r="I230" s="9"/>
    </row>
    <row r="231" spans="1:9" ht="13.95" customHeight="1">
      <c r="A231" s="1"/>
      <c r="B231" s="1"/>
      <c r="C231" s="33"/>
      <c r="D231" s="35"/>
      <c r="E231" s="3"/>
      <c r="F231" s="4"/>
      <c r="G231" s="5"/>
      <c r="I231" s="9"/>
    </row>
    <row r="232" spans="1:9" ht="13.95" customHeight="1">
      <c r="A232" s="1"/>
      <c r="B232" s="1"/>
      <c r="C232" s="33"/>
      <c r="D232" s="35"/>
      <c r="E232" s="3"/>
      <c r="F232" s="4"/>
      <c r="G232" s="5"/>
      <c r="I232" s="9"/>
    </row>
    <row r="233" spans="1:9" ht="13.95" customHeight="1">
      <c r="A233" s="1"/>
      <c r="B233" s="1"/>
      <c r="C233" s="33"/>
      <c r="D233" s="35"/>
      <c r="E233" s="3"/>
      <c r="F233" s="4"/>
      <c r="G233" s="5"/>
      <c r="I233" s="9"/>
    </row>
    <row r="234" spans="1:9" ht="13.95" customHeight="1">
      <c r="A234" s="1"/>
      <c r="B234" s="1"/>
      <c r="C234" s="33"/>
      <c r="D234" s="35"/>
      <c r="E234" s="3"/>
      <c r="F234" s="4"/>
      <c r="G234" s="5"/>
      <c r="I234" s="9"/>
    </row>
    <row r="235" spans="1:9" ht="13.95" customHeight="1">
      <c r="A235" s="1"/>
      <c r="B235" s="1"/>
      <c r="C235" s="33"/>
      <c r="D235" s="35"/>
      <c r="E235" s="3"/>
      <c r="F235" s="4"/>
      <c r="G235" s="5"/>
      <c r="I235" s="9"/>
    </row>
    <row r="236" spans="1:9" ht="20.100000000000001" customHeight="1">
      <c r="A236" s="149" t="s">
        <v>66</v>
      </c>
      <c r="B236" s="150"/>
      <c r="C236" s="150"/>
      <c r="D236" s="150"/>
      <c r="E236" s="150"/>
      <c r="F236" s="151"/>
      <c r="G236" s="116">
        <f>SUM(G196:G235)</f>
        <v>1241226.25</v>
      </c>
      <c r="I236" s="9"/>
    </row>
    <row r="237" spans="1:9">
      <c r="A237" s="39"/>
      <c r="B237" s="39"/>
      <c r="C237" s="39"/>
      <c r="D237" s="39"/>
      <c r="E237" s="39"/>
      <c r="F237" s="39"/>
      <c r="G237" s="113"/>
      <c r="I237" s="9"/>
    </row>
    <row r="238" spans="1:9" ht="13.95" customHeight="1">
      <c r="A238" s="39"/>
      <c r="B238" s="39"/>
      <c r="C238" s="39"/>
      <c r="D238" s="39"/>
      <c r="E238" s="39"/>
      <c r="F238" s="39"/>
      <c r="G238" s="113"/>
      <c r="I238" s="9"/>
    </row>
    <row r="239" spans="1:9" ht="24" customHeight="1">
      <c r="A239" s="44" t="s">
        <v>8</v>
      </c>
      <c r="B239" s="48" t="s">
        <v>9</v>
      </c>
      <c r="C239" s="44" t="s">
        <v>10</v>
      </c>
      <c r="D239" s="48" t="s">
        <v>11</v>
      </c>
      <c r="E239" s="48" t="s">
        <v>59</v>
      </c>
      <c r="F239" s="49" t="s">
        <v>12</v>
      </c>
      <c r="G239" s="111" t="s">
        <v>13</v>
      </c>
      <c r="I239" s="9"/>
    </row>
    <row r="240" spans="1:9" ht="20.100000000000001" customHeight="1">
      <c r="A240" s="149" t="s">
        <v>67</v>
      </c>
      <c r="B240" s="150"/>
      <c r="C240" s="150"/>
      <c r="D240" s="150"/>
      <c r="E240" s="150"/>
      <c r="F240" s="151"/>
      <c r="G240" s="116">
        <f>+G236</f>
        <v>1241226.25</v>
      </c>
      <c r="I240" s="9"/>
    </row>
    <row r="241" spans="1:9" ht="13.95" customHeight="1">
      <c r="A241" s="1"/>
      <c r="B241" s="1"/>
      <c r="C241" s="33"/>
      <c r="D241" s="35"/>
      <c r="E241" s="3"/>
      <c r="F241" s="4"/>
      <c r="G241" s="5"/>
      <c r="I241" s="9"/>
    </row>
    <row r="242" spans="1:9" ht="13.95" customHeight="1">
      <c r="A242" s="1"/>
      <c r="B242" s="1"/>
      <c r="C242" s="46" t="s">
        <v>231</v>
      </c>
      <c r="D242" s="1"/>
      <c r="E242" s="3"/>
      <c r="F242" s="4"/>
      <c r="G242" s="5"/>
      <c r="I242" s="9"/>
    </row>
    <row r="243" spans="1:9" ht="13.95" customHeight="1">
      <c r="A243" s="1"/>
      <c r="B243" s="1"/>
      <c r="C243" s="47"/>
      <c r="D243" s="35"/>
      <c r="E243" s="3"/>
      <c r="F243" s="4"/>
      <c r="G243" s="5"/>
      <c r="I243" s="9"/>
    </row>
    <row r="244" spans="1:9" ht="48">
      <c r="A244" s="1">
        <f>A228+1</f>
        <v>41</v>
      </c>
      <c r="B244" s="1"/>
      <c r="C244" s="55" t="s">
        <v>75</v>
      </c>
      <c r="D244" s="1" t="s">
        <v>51</v>
      </c>
      <c r="E244" s="3">
        <f>SUM(I244:I244)</f>
        <v>0</v>
      </c>
      <c r="F244" s="3">
        <v>1185</v>
      </c>
      <c r="G244" s="5">
        <f t="shared" ref="G244" si="44">+E244*F244</f>
        <v>0</v>
      </c>
      <c r="I244" s="9"/>
    </row>
    <row r="245" spans="1:9" ht="13.95" customHeight="1">
      <c r="A245" s="1"/>
      <c r="B245" s="1"/>
      <c r="C245" s="55"/>
      <c r="D245" s="35"/>
      <c r="E245" s="3"/>
      <c r="F245" s="4"/>
      <c r="G245" s="5"/>
      <c r="I245" s="9"/>
    </row>
    <row r="246" spans="1:9" ht="13.95" customHeight="1">
      <c r="A246" s="1"/>
      <c r="B246" s="1"/>
      <c r="C246" s="56" t="s">
        <v>230</v>
      </c>
      <c r="D246" s="9"/>
      <c r="E246" s="9"/>
      <c r="F246" s="122"/>
      <c r="G246" s="5"/>
      <c r="I246" s="9"/>
    </row>
    <row r="247" spans="1:9" ht="13.95" customHeight="1">
      <c r="A247" s="1"/>
      <c r="B247" s="1"/>
      <c r="C247" s="57"/>
      <c r="D247" s="9"/>
      <c r="E247" s="9"/>
      <c r="F247" s="122"/>
      <c r="G247" s="5"/>
      <c r="I247" s="9"/>
    </row>
    <row r="248" spans="1:9" ht="48" customHeight="1">
      <c r="A248" s="1"/>
      <c r="B248" s="1"/>
      <c r="C248" s="33" t="s">
        <v>242</v>
      </c>
      <c r="D248" s="57"/>
      <c r="E248" s="57"/>
      <c r="F248" s="57"/>
      <c r="G248" s="5"/>
      <c r="I248" s="9"/>
    </row>
    <row r="249" spans="1:9" ht="13.95" customHeight="1">
      <c r="A249" s="1"/>
      <c r="B249" s="1"/>
      <c r="C249" s="33"/>
      <c r="D249" s="9"/>
      <c r="E249" s="9"/>
      <c r="F249" s="122"/>
      <c r="G249" s="5"/>
      <c r="I249" s="9"/>
    </row>
    <row r="250" spans="1:9" ht="25.95" customHeight="1">
      <c r="A250" s="1"/>
      <c r="B250" s="1"/>
      <c r="C250" s="33" t="s">
        <v>232</v>
      </c>
      <c r="D250" s="9"/>
      <c r="E250" s="9"/>
      <c r="F250" s="122"/>
      <c r="G250" s="5"/>
      <c r="I250" s="9"/>
    </row>
    <row r="251" spans="1:9" ht="13.95" customHeight="1">
      <c r="A251" s="1"/>
      <c r="B251" s="1"/>
      <c r="C251" s="33"/>
      <c r="D251" s="9"/>
      <c r="E251" s="9"/>
      <c r="F251" s="122"/>
      <c r="G251" s="5"/>
      <c r="I251" s="9"/>
    </row>
    <row r="252" spans="1:9" ht="38.4" customHeight="1">
      <c r="A252" s="1">
        <f>A244+1</f>
        <v>42</v>
      </c>
      <c r="B252" s="1"/>
      <c r="C252" s="33" t="s">
        <v>233</v>
      </c>
      <c r="D252" s="9" t="s">
        <v>1</v>
      </c>
      <c r="E252" s="3">
        <f>SUM(I252:I252)</f>
        <v>12</v>
      </c>
      <c r="F252" s="144">
        <v>775</v>
      </c>
      <c r="G252" s="5">
        <f t="shared" ref="G252" si="45">+E252*F252</f>
        <v>9300</v>
      </c>
      <c r="I252" s="9">
        <v>12</v>
      </c>
    </row>
    <row r="253" spans="1:9" ht="13.95" customHeight="1">
      <c r="A253" s="1"/>
      <c r="B253" s="1"/>
      <c r="C253" s="33"/>
      <c r="D253" s="9"/>
      <c r="E253" s="9"/>
      <c r="F253" s="144"/>
      <c r="G253" s="5"/>
      <c r="I253" s="9"/>
    </row>
    <row r="254" spans="1:9" ht="24">
      <c r="A254" s="1">
        <f>A252+1</f>
        <v>43</v>
      </c>
      <c r="B254" s="1"/>
      <c r="C254" s="33" t="s">
        <v>228</v>
      </c>
      <c r="D254" s="9" t="s">
        <v>6</v>
      </c>
      <c r="E254" s="3">
        <f>SUM(I254:I254)</f>
        <v>0</v>
      </c>
      <c r="F254" s="144">
        <v>275</v>
      </c>
      <c r="G254" s="5">
        <f t="shared" ref="G254" si="46">+E254*F254</f>
        <v>0</v>
      </c>
      <c r="I254" s="9"/>
    </row>
    <row r="255" spans="1:9" ht="13.95" customHeight="1">
      <c r="A255" s="1"/>
      <c r="B255" s="1"/>
      <c r="C255" s="33"/>
      <c r="D255" s="9"/>
      <c r="E255" s="9"/>
      <c r="F255" s="144"/>
      <c r="G255" s="5"/>
      <c r="I255" s="9"/>
    </row>
    <row r="256" spans="1:9" ht="13.95" customHeight="1">
      <c r="A256" s="1">
        <f>A254+1</f>
        <v>44</v>
      </c>
      <c r="B256" s="1"/>
      <c r="C256" s="33" t="s">
        <v>229</v>
      </c>
      <c r="D256" s="9" t="s">
        <v>6</v>
      </c>
      <c r="E256" s="3">
        <f>SUM(I256:I256)</f>
        <v>0</v>
      </c>
      <c r="F256" s="144">
        <v>650</v>
      </c>
      <c r="G256" s="5">
        <f t="shared" ref="G256" si="47">+E256*F256</f>
        <v>0</v>
      </c>
      <c r="I256" s="9"/>
    </row>
    <row r="257" spans="1:9" ht="13.95" customHeight="1">
      <c r="A257" s="1"/>
      <c r="B257" s="1"/>
      <c r="C257" s="17"/>
      <c r="D257" s="35"/>
      <c r="E257" s="3"/>
      <c r="F257" s="14"/>
      <c r="G257" s="5"/>
      <c r="I257" s="9"/>
    </row>
    <row r="258" spans="1:9">
      <c r="A258" s="16">
        <f>+A256+1</f>
        <v>45</v>
      </c>
      <c r="B258" s="16"/>
      <c r="C258" s="47" t="s">
        <v>241</v>
      </c>
      <c r="D258" s="58" t="s">
        <v>1</v>
      </c>
      <c r="E258" s="3">
        <f>SUM(I258:I258)</f>
        <v>9</v>
      </c>
      <c r="F258" s="13">
        <v>425</v>
      </c>
      <c r="G258" s="15">
        <f t="shared" ref="G258" si="48">+E258*F258</f>
        <v>3825</v>
      </c>
      <c r="I258" s="9">
        <v>9</v>
      </c>
    </row>
    <row r="259" spans="1:9" ht="13.95" customHeight="1">
      <c r="A259" s="1"/>
      <c r="B259" s="1"/>
      <c r="C259" s="17"/>
      <c r="D259" s="35"/>
      <c r="E259" s="3"/>
      <c r="F259" s="4"/>
      <c r="G259" s="5"/>
      <c r="I259" s="9"/>
    </row>
    <row r="260" spans="1:9" ht="22.2" customHeight="1">
      <c r="A260" s="1"/>
      <c r="B260" s="51" t="s">
        <v>105</v>
      </c>
      <c r="C260" s="11" t="s">
        <v>204</v>
      </c>
      <c r="D260" s="40"/>
      <c r="E260" s="3"/>
      <c r="F260" s="4"/>
      <c r="G260" s="5"/>
      <c r="I260" s="9"/>
    </row>
    <row r="261" spans="1:9" ht="13.95" customHeight="1">
      <c r="A261" s="1"/>
      <c r="B261" s="51"/>
      <c r="C261" s="6"/>
      <c r="D261" s="9"/>
      <c r="E261" s="3"/>
      <c r="F261" s="4"/>
      <c r="G261" s="5"/>
      <c r="I261" s="9"/>
    </row>
    <row r="262" spans="1:9" ht="13.95" customHeight="1">
      <c r="A262" s="1"/>
      <c r="B262" s="51" t="s">
        <v>92</v>
      </c>
      <c r="C262" s="52" t="s">
        <v>205</v>
      </c>
      <c r="D262" s="9"/>
      <c r="E262" s="3"/>
      <c r="F262" s="4"/>
      <c r="G262" s="5"/>
      <c r="I262" s="9"/>
    </row>
    <row r="263" spans="1:9" ht="13.95" customHeight="1">
      <c r="A263" s="1"/>
      <c r="B263" s="51"/>
      <c r="C263" s="6"/>
      <c r="D263" s="9"/>
      <c r="E263" s="3"/>
      <c r="F263" s="4"/>
      <c r="G263" s="5"/>
      <c r="I263" s="9"/>
    </row>
    <row r="264" spans="1:9" ht="36">
      <c r="A264" s="1"/>
      <c r="B264" s="51" t="s">
        <v>206</v>
      </c>
      <c r="C264" s="21" t="s">
        <v>207</v>
      </c>
      <c r="D264" s="9"/>
      <c r="E264" s="3"/>
      <c r="F264" s="4"/>
      <c r="G264" s="5"/>
      <c r="I264" s="9"/>
    </row>
    <row r="265" spans="1:9" ht="13.95" customHeight="1">
      <c r="A265" s="1"/>
      <c r="B265" s="51"/>
      <c r="C265" s="6"/>
      <c r="D265" s="9"/>
      <c r="E265" s="3"/>
      <c r="F265" s="4"/>
      <c r="G265" s="5"/>
      <c r="I265" s="9"/>
    </row>
    <row r="266" spans="1:9" ht="13.95" customHeight="1">
      <c r="A266" s="1">
        <f>A258+1</f>
        <v>46</v>
      </c>
      <c r="B266" s="51" t="s">
        <v>208</v>
      </c>
      <c r="C266" s="6" t="s">
        <v>21</v>
      </c>
      <c r="D266" s="9" t="s">
        <v>1</v>
      </c>
      <c r="E266" s="3">
        <f>SUM(I266:I266)</f>
        <v>0</v>
      </c>
      <c r="F266" s="13">
        <v>1950</v>
      </c>
      <c r="G266" s="5">
        <f t="shared" ref="G266" si="49">+E266*F266</f>
        <v>0</v>
      </c>
      <c r="I266" s="9"/>
    </row>
    <row r="267" spans="1:9" ht="13.95" customHeight="1">
      <c r="A267" s="1"/>
      <c r="B267" s="51"/>
      <c r="C267" s="6"/>
      <c r="D267" s="9"/>
      <c r="E267" s="3"/>
      <c r="F267" s="13"/>
      <c r="G267" s="5"/>
      <c r="I267" s="9"/>
    </row>
    <row r="268" spans="1:9" ht="12.6" customHeight="1">
      <c r="A268" s="1">
        <f>A266+1</f>
        <v>47</v>
      </c>
      <c r="B268" s="51" t="s">
        <v>209</v>
      </c>
      <c r="C268" s="18" t="s">
        <v>210</v>
      </c>
      <c r="D268" s="9" t="s">
        <v>6</v>
      </c>
      <c r="E268" s="3">
        <f>SUM(I268:I268)</f>
        <v>0</v>
      </c>
      <c r="F268" s="13">
        <v>350</v>
      </c>
      <c r="G268" s="5">
        <f t="shared" ref="G268" si="50">+E268*F268</f>
        <v>0</v>
      </c>
      <c r="I268" s="9"/>
    </row>
    <row r="269" spans="1:9" ht="12.6" customHeight="1">
      <c r="A269" s="1"/>
      <c r="B269" s="1"/>
      <c r="C269" s="33"/>
      <c r="D269" s="35"/>
      <c r="E269" s="3"/>
      <c r="F269" s="13"/>
      <c r="G269" s="5"/>
      <c r="I269" s="9"/>
    </row>
    <row r="270" spans="1:9" ht="12.6" customHeight="1">
      <c r="A270" s="1"/>
      <c r="B270" s="1"/>
      <c r="C270" s="123" t="s">
        <v>236</v>
      </c>
      <c r="D270" s="35"/>
      <c r="E270" s="3"/>
      <c r="F270" s="13"/>
      <c r="G270" s="5"/>
      <c r="I270" s="9"/>
    </row>
    <row r="271" spans="1:9" ht="12.6" customHeight="1">
      <c r="A271" s="1"/>
      <c r="B271" s="1"/>
      <c r="C271" s="6"/>
      <c r="D271" s="35"/>
      <c r="E271" s="3"/>
      <c r="F271" s="13"/>
      <c r="G271" s="5"/>
      <c r="I271" s="9"/>
    </row>
    <row r="272" spans="1:9" ht="12.6" customHeight="1">
      <c r="A272" s="1"/>
      <c r="B272" s="1"/>
      <c r="C272" s="124" t="s">
        <v>234</v>
      </c>
      <c r="D272" s="35"/>
      <c r="E272" s="3"/>
      <c r="F272" s="13"/>
      <c r="G272" s="5"/>
      <c r="I272" s="9"/>
    </row>
    <row r="273" spans="1:9" ht="12.6" customHeight="1">
      <c r="A273" s="1"/>
      <c r="B273" s="1"/>
      <c r="C273" s="33"/>
      <c r="D273" s="35"/>
      <c r="E273" s="3"/>
      <c r="F273" s="13"/>
      <c r="G273" s="5"/>
      <c r="I273" s="9"/>
    </row>
    <row r="274" spans="1:9" ht="36">
      <c r="A274" s="1">
        <f>A268+1</f>
        <v>48</v>
      </c>
      <c r="B274" s="1"/>
      <c r="C274" s="125" t="s">
        <v>235</v>
      </c>
      <c r="D274" s="1" t="s">
        <v>60</v>
      </c>
      <c r="E274" s="3">
        <f>SUM(I274:I274)</f>
        <v>0</v>
      </c>
      <c r="F274" s="13">
        <v>3750</v>
      </c>
      <c r="G274" s="5">
        <f t="shared" ref="G274" si="51">+E274*F274</f>
        <v>0</v>
      </c>
      <c r="I274" s="9"/>
    </row>
    <row r="275" spans="1:9" ht="12.6" customHeight="1">
      <c r="A275" s="1"/>
      <c r="B275" s="1"/>
      <c r="C275" s="33"/>
      <c r="D275" s="35"/>
      <c r="E275" s="3"/>
      <c r="F275" s="13"/>
      <c r="G275" s="5"/>
      <c r="I275" s="9"/>
    </row>
    <row r="276" spans="1:9" ht="20.100000000000001" customHeight="1">
      <c r="A276" s="149" t="s">
        <v>66</v>
      </c>
      <c r="B276" s="150"/>
      <c r="C276" s="150"/>
      <c r="D276" s="150"/>
      <c r="E276" s="150"/>
      <c r="F276" s="151"/>
      <c r="G276" s="116">
        <f>SUM(G240:G275)</f>
        <v>1254351.25</v>
      </c>
      <c r="I276" s="9"/>
    </row>
    <row r="277" spans="1:9">
      <c r="A277" s="39"/>
      <c r="B277" s="39"/>
      <c r="C277" s="39"/>
      <c r="D277" s="39"/>
      <c r="E277" s="39"/>
      <c r="F277" s="39"/>
      <c r="G277" s="113"/>
      <c r="I277" s="9"/>
    </row>
    <row r="278" spans="1:9" ht="13.95" customHeight="1">
      <c r="A278" s="39"/>
      <c r="B278" s="39"/>
      <c r="C278" s="39"/>
      <c r="D278" s="39"/>
      <c r="E278" s="39"/>
      <c r="F278" s="39"/>
      <c r="G278" s="113"/>
      <c r="I278" s="9"/>
    </row>
    <row r="279" spans="1:9" ht="24" customHeight="1">
      <c r="A279" s="44" t="s">
        <v>8</v>
      </c>
      <c r="B279" s="48" t="s">
        <v>9</v>
      </c>
      <c r="C279" s="44" t="s">
        <v>10</v>
      </c>
      <c r="D279" s="48" t="s">
        <v>11</v>
      </c>
      <c r="E279" s="48" t="s">
        <v>59</v>
      </c>
      <c r="F279" s="49" t="s">
        <v>12</v>
      </c>
      <c r="G279" s="111" t="s">
        <v>13</v>
      </c>
      <c r="I279" s="9"/>
    </row>
    <row r="280" spans="1:9" ht="20.100000000000001" customHeight="1">
      <c r="A280" s="149" t="s">
        <v>67</v>
      </c>
      <c r="B280" s="150"/>
      <c r="C280" s="150"/>
      <c r="D280" s="150"/>
      <c r="E280" s="150"/>
      <c r="F280" s="151"/>
      <c r="G280" s="116">
        <f>+G276</f>
        <v>1254351.25</v>
      </c>
      <c r="I280" s="9"/>
    </row>
    <row r="281" spans="1:9" ht="12.6" customHeight="1">
      <c r="A281" s="1"/>
      <c r="B281" s="1"/>
      <c r="C281" s="33"/>
      <c r="D281" s="35"/>
      <c r="E281" s="3"/>
      <c r="F281" s="13"/>
      <c r="G281" s="5"/>
      <c r="I281" s="9"/>
    </row>
    <row r="282" spans="1:9" ht="13.95" customHeight="1">
      <c r="A282" s="1"/>
      <c r="B282" s="1"/>
      <c r="C282" s="34" t="s">
        <v>212</v>
      </c>
      <c r="D282" s="1" t="s">
        <v>64</v>
      </c>
      <c r="E282" s="3"/>
      <c r="F282" s="14"/>
      <c r="G282" s="5"/>
      <c r="I282" s="9"/>
    </row>
    <row r="283" spans="1:9" ht="13.95" customHeight="1">
      <c r="A283" s="1"/>
      <c r="B283" s="1"/>
      <c r="C283" s="33" t="s">
        <v>64</v>
      </c>
      <c r="D283" s="1" t="s">
        <v>64</v>
      </c>
      <c r="E283" s="3"/>
      <c r="F283" s="4"/>
      <c r="G283" s="5"/>
      <c r="I283" s="9"/>
    </row>
    <row r="284" spans="1:9" ht="22.2" customHeight="1">
      <c r="A284" s="1">
        <f>A274+1</f>
        <v>49</v>
      </c>
      <c r="B284" s="1"/>
      <c r="C284" s="33" t="s">
        <v>217</v>
      </c>
      <c r="D284" s="1" t="s">
        <v>60</v>
      </c>
      <c r="E284" s="3">
        <f>SUM(I284:I284)</f>
        <v>0</v>
      </c>
      <c r="F284" s="3">
        <v>885</v>
      </c>
      <c r="G284" s="5">
        <f t="shared" ref="G284" si="52">+E284*F284</f>
        <v>0</v>
      </c>
      <c r="I284" s="9"/>
    </row>
    <row r="285" spans="1:9" ht="13.95" customHeight="1">
      <c r="A285" s="1"/>
      <c r="B285" s="1"/>
      <c r="C285" s="33"/>
      <c r="D285" s="35"/>
      <c r="E285" s="3"/>
      <c r="F285" s="4"/>
      <c r="G285" s="5"/>
      <c r="I285" s="9"/>
    </row>
    <row r="286" spans="1:9" ht="13.95" customHeight="1">
      <c r="A286" s="16"/>
      <c r="B286" s="76" t="s">
        <v>167</v>
      </c>
      <c r="C286" s="74" t="s">
        <v>168</v>
      </c>
      <c r="D286" s="93"/>
      <c r="E286" s="94"/>
      <c r="F286" s="14"/>
      <c r="G286" s="15"/>
      <c r="I286" s="9"/>
    </row>
    <row r="287" spans="1:9" ht="13.95" customHeight="1">
      <c r="A287" s="16"/>
      <c r="B287" s="12"/>
      <c r="C287" s="75"/>
      <c r="D287" s="93"/>
      <c r="E287" s="94"/>
      <c r="F287" s="14"/>
      <c r="G287" s="15"/>
      <c r="I287" s="9"/>
    </row>
    <row r="288" spans="1:9" ht="13.95" customHeight="1">
      <c r="A288" s="16"/>
      <c r="B288" s="12" t="s">
        <v>193</v>
      </c>
      <c r="C288" s="70" t="s">
        <v>164</v>
      </c>
      <c r="D288" s="12"/>
      <c r="E288" s="94"/>
      <c r="F288" s="14"/>
      <c r="G288" s="15"/>
      <c r="I288" s="9"/>
    </row>
    <row r="289" spans="1:9" ht="13.95" customHeight="1">
      <c r="A289" s="16"/>
      <c r="B289" s="73"/>
      <c r="C289" s="62"/>
      <c r="D289" s="12"/>
      <c r="E289" s="94"/>
      <c r="F289" s="14"/>
      <c r="G289" s="15"/>
      <c r="I289" s="9"/>
    </row>
    <row r="290" spans="1:9" ht="13.95" customHeight="1">
      <c r="A290" s="16">
        <v>50</v>
      </c>
      <c r="B290" s="73"/>
      <c r="C290" s="75" t="s">
        <v>112</v>
      </c>
      <c r="D290" s="12" t="s">
        <v>60</v>
      </c>
      <c r="E290" s="3">
        <f>SUM(I290:I290)</f>
        <v>0</v>
      </c>
      <c r="F290" s="13">
        <v>890</v>
      </c>
      <c r="G290" s="15">
        <f t="shared" ref="G290" si="53">+E290*F290</f>
        <v>0</v>
      </c>
      <c r="I290" s="9"/>
    </row>
    <row r="291" spans="1:9" ht="13.95" customHeight="1">
      <c r="A291" s="16"/>
      <c r="B291" s="73"/>
      <c r="C291" s="62"/>
      <c r="D291" s="12"/>
      <c r="E291" s="94"/>
      <c r="F291" s="14"/>
      <c r="G291" s="15"/>
      <c r="I291" s="9"/>
    </row>
    <row r="292" spans="1:9" ht="13.95" customHeight="1">
      <c r="A292" s="16"/>
      <c r="B292" s="12" t="s">
        <v>195</v>
      </c>
      <c r="C292" s="70" t="s">
        <v>194</v>
      </c>
      <c r="D292" s="12"/>
      <c r="E292" s="94"/>
      <c r="F292" s="14"/>
      <c r="G292" s="15"/>
      <c r="I292" s="9"/>
    </row>
    <row r="293" spans="1:9" ht="13.95" customHeight="1">
      <c r="A293" s="16"/>
      <c r="B293" s="73"/>
      <c r="C293" s="62"/>
      <c r="D293" s="12"/>
      <c r="E293" s="94"/>
      <c r="F293" s="14"/>
      <c r="G293" s="15"/>
      <c r="I293" s="9"/>
    </row>
    <row r="294" spans="1:9" ht="13.95" customHeight="1">
      <c r="A294" s="16">
        <v>51</v>
      </c>
      <c r="B294" s="73"/>
      <c r="C294" s="75" t="s">
        <v>165</v>
      </c>
      <c r="D294" s="12" t="s">
        <v>60</v>
      </c>
      <c r="E294" s="3">
        <f>SUM(I294:I294)</f>
        <v>0</v>
      </c>
      <c r="F294" s="14">
        <v>325</v>
      </c>
      <c r="G294" s="15">
        <f t="shared" ref="G294" si="54">+E294*F294</f>
        <v>0</v>
      </c>
      <c r="I294" s="9"/>
    </row>
    <row r="295" spans="1:9" ht="13.95" customHeight="1">
      <c r="A295" s="16"/>
      <c r="B295" s="12"/>
      <c r="C295" s="75"/>
      <c r="D295" s="93"/>
      <c r="E295" s="94"/>
      <c r="F295" s="14"/>
      <c r="G295" s="15"/>
      <c r="I295" s="9"/>
    </row>
    <row r="296" spans="1:9" ht="24">
      <c r="A296" s="16"/>
      <c r="B296" s="76" t="s">
        <v>169</v>
      </c>
      <c r="C296" s="46" t="s">
        <v>216</v>
      </c>
      <c r="D296" s="12"/>
      <c r="E296" s="12"/>
      <c r="F296" s="145"/>
      <c r="G296" s="15"/>
      <c r="I296" s="9"/>
    </row>
    <row r="297" spans="1:9" ht="13.95" customHeight="1">
      <c r="A297" s="16"/>
      <c r="B297" s="76"/>
      <c r="C297" s="75"/>
      <c r="D297" s="12"/>
      <c r="E297" s="12"/>
      <c r="F297" s="145"/>
      <c r="G297" s="15"/>
      <c r="I297" s="9"/>
    </row>
    <row r="298" spans="1:9" ht="13.95" customHeight="1">
      <c r="A298" s="16"/>
      <c r="B298" s="76" t="s">
        <v>169</v>
      </c>
      <c r="C298" s="75" t="s">
        <v>170</v>
      </c>
      <c r="D298" s="12"/>
      <c r="E298" s="12"/>
      <c r="F298" s="145"/>
      <c r="G298" s="15"/>
      <c r="I298" s="9"/>
    </row>
    <row r="299" spans="1:9" ht="13.95" customHeight="1">
      <c r="A299" s="16"/>
      <c r="B299" s="76"/>
      <c r="C299" s="75"/>
      <c r="D299" s="12"/>
      <c r="E299" s="12"/>
      <c r="F299" s="145"/>
      <c r="G299" s="15"/>
      <c r="I299" s="9"/>
    </row>
    <row r="300" spans="1:9" ht="13.95" customHeight="1">
      <c r="A300" s="16">
        <v>52</v>
      </c>
      <c r="B300" s="76" t="s">
        <v>171</v>
      </c>
      <c r="C300" s="75" t="s">
        <v>172</v>
      </c>
      <c r="D300" s="12" t="s">
        <v>60</v>
      </c>
      <c r="E300" s="3">
        <f>SUM(I300:I300)</f>
        <v>0</v>
      </c>
      <c r="F300" s="94">
        <v>275</v>
      </c>
      <c r="G300" s="15">
        <f t="shared" ref="G300:G308" si="55">+E300*F300</f>
        <v>0</v>
      </c>
      <c r="I300" s="9"/>
    </row>
    <row r="301" spans="1:9" ht="13.95" customHeight="1">
      <c r="A301" s="16"/>
      <c r="B301" s="12"/>
      <c r="C301" s="75"/>
      <c r="D301" s="93"/>
      <c r="E301" s="94"/>
      <c r="F301" s="14"/>
      <c r="G301" s="15"/>
      <c r="I301" s="9"/>
    </row>
    <row r="302" spans="1:9" ht="13.95" customHeight="1">
      <c r="A302" s="16"/>
      <c r="B302" s="12" t="s">
        <v>102</v>
      </c>
      <c r="C302" s="74" t="s">
        <v>166</v>
      </c>
      <c r="D302" s="12"/>
      <c r="E302" s="94"/>
      <c r="F302" s="14"/>
      <c r="G302" s="15"/>
      <c r="I302" s="9"/>
    </row>
    <row r="303" spans="1:9" ht="13.95" customHeight="1">
      <c r="A303" s="16"/>
      <c r="B303" s="12"/>
      <c r="C303" s="95"/>
      <c r="D303" s="12"/>
      <c r="E303" s="94"/>
      <c r="F303" s="14"/>
      <c r="G303" s="15"/>
      <c r="I303" s="9"/>
    </row>
    <row r="304" spans="1:9" ht="13.95" customHeight="1">
      <c r="A304" s="16"/>
      <c r="B304" s="12"/>
      <c r="C304" s="75" t="s">
        <v>78</v>
      </c>
      <c r="D304" s="12"/>
      <c r="E304" s="94"/>
      <c r="F304" s="14"/>
      <c r="G304" s="15"/>
      <c r="I304" s="9"/>
    </row>
    <row r="305" spans="1:9" ht="13.95" customHeight="1">
      <c r="A305" s="16"/>
      <c r="B305" s="12"/>
      <c r="C305" s="75"/>
      <c r="D305" s="12"/>
      <c r="E305" s="94"/>
      <c r="F305" s="14"/>
      <c r="G305" s="15"/>
      <c r="I305" s="9"/>
    </row>
    <row r="306" spans="1:9" ht="13.95" customHeight="1">
      <c r="A306" s="16">
        <v>53</v>
      </c>
      <c r="B306" s="12"/>
      <c r="C306" s="75" t="s">
        <v>203</v>
      </c>
      <c r="D306" s="12" t="s">
        <v>6</v>
      </c>
      <c r="E306" s="3">
        <f>SUM(I306:I306)</f>
        <v>0</v>
      </c>
      <c r="F306" s="13">
        <v>16000</v>
      </c>
      <c r="G306" s="15">
        <f t="shared" si="55"/>
        <v>0</v>
      </c>
      <c r="I306" s="9"/>
    </row>
    <row r="307" spans="1:9" ht="13.95" customHeight="1">
      <c r="A307" s="16"/>
      <c r="B307" s="12"/>
      <c r="C307" s="75"/>
      <c r="D307" s="93"/>
      <c r="E307" s="94"/>
      <c r="F307" s="13"/>
      <c r="G307" s="15"/>
      <c r="I307" s="9"/>
    </row>
    <row r="308" spans="1:9" ht="13.95" customHeight="1">
      <c r="A308" s="16">
        <v>54</v>
      </c>
      <c r="B308" s="12"/>
      <c r="C308" s="75" t="s">
        <v>211</v>
      </c>
      <c r="D308" s="12" t="s">
        <v>6</v>
      </c>
      <c r="E308" s="3">
        <f>SUM(I308:I308)</f>
        <v>0</v>
      </c>
      <c r="F308" s="13">
        <v>65000</v>
      </c>
      <c r="G308" s="15">
        <f t="shared" si="55"/>
        <v>0</v>
      </c>
      <c r="I308" s="9"/>
    </row>
    <row r="309" spans="1:9" ht="13.95" customHeight="1">
      <c r="A309" s="16"/>
      <c r="B309" s="12"/>
      <c r="C309" s="75"/>
      <c r="D309" s="93"/>
      <c r="E309" s="3"/>
      <c r="F309" s="13"/>
      <c r="G309" s="15"/>
      <c r="I309" s="9"/>
    </row>
    <row r="310" spans="1:9" ht="13.95" customHeight="1">
      <c r="A310" s="16"/>
      <c r="B310" s="12"/>
      <c r="C310" s="75"/>
      <c r="D310" s="93"/>
      <c r="E310" s="3"/>
      <c r="F310" s="13"/>
      <c r="G310" s="15"/>
      <c r="I310" s="9"/>
    </row>
    <row r="311" spans="1:9" ht="13.95" customHeight="1">
      <c r="A311" s="16"/>
      <c r="B311" s="12"/>
      <c r="C311" s="75"/>
      <c r="D311" s="93"/>
      <c r="E311" s="3"/>
      <c r="F311" s="13"/>
      <c r="G311" s="15"/>
      <c r="I311" s="9"/>
    </row>
    <row r="312" spans="1:9" ht="13.95" customHeight="1">
      <c r="A312" s="16"/>
      <c r="B312" s="12"/>
      <c r="C312" s="75"/>
      <c r="D312" s="93"/>
      <c r="E312" s="3"/>
      <c r="F312" s="13"/>
      <c r="G312" s="15"/>
      <c r="I312" s="9"/>
    </row>
    <row r="313" spans="1:9" ht="13.95" customHeight="1">
      <c r="A313" s="16"/>
      <c r="B313" s="12"/>
      <c r="C313" s="75"/>
      <c r="D313" s="93"/>
      <c r="E313" s="3"/>
      <c r="F313" s="13"/>
      <c r="G313" s="15"/>
      <c r="I313" s="9"/>
    </row>
    <row r="314" spans="1:9" ht="13.95" customHeight="1">
      <c r="A314" s="16"/>
      <c r="B314" s="12"/>
      <c r="C314" s="75"/>
      <c r="D314" s="93"/>
      <c r="E314" s="3"/>
      <c r="F314" s="13"/>
      <c r="G314" s="15"/>
      <c r="I314" s="9"/>
    </row>
    <row r="315" spans="1:9" ht="13.95" customHeight="1">
      <c r="A315" s="16"/>
      <c r="B315" s="12"/>
      <c r="C315" s="75"/>
      <c r="D315" s="93"/>
      <c r="E315" s="3"/>
      <c r="F315" s="13"/>
      <c r="G315" s="15"/>
      <c r="I315" s="9"/>
    </row>
    <row r="316" spans="1:9" ht="13.95" customHeight="1">
      <c r="A316" s="16"/>
      <c r="B316" s="12"/>
      <c r="C316" s="75"/>
      <c r="D316" s="93"/>
      <c r="E316" s="3"/>
      <c r="F316" s="13"/>
      <c r="G316" s="15"/>
      <c r="I316" s="9"/>
    </row>
    <row r="317" spans="1:9" ht="13.95" customHeight="1">
      <c r="A317" s="16"/>
      <c r="B317" s="12"/>
      <c r="C317" s="75"/>
      <c r="D317" s="93"/>
      <c r="E317" s="3"/>
      <c r="F317" s="13"/>
      <c r="G317" s="15"/>
      <c r="I317" s="9"/>
    </row>
    <row r="318" spans="1:9" ht="13.95" customHeight="1">
      <c r="A318" s="16"/>
      <c r="B318" s="12"/>
      <c r="C318" s="75"/>
      <c r="D318" s="93"/>
      <c r="E318" s="3"/>
      <c r="F318" s="13"/>
      <c r="G318" s="15"/>
      <c r="I318" s="9"/>
    </row>
    <row r="319" spans="1:9" ht="13.95" customHeight="1">
      <c r="A319" s="16"/>
      <c r="B319" s="12"/>
      <c r="C319" s="75"/>
      <c r="D319" s="93"/>
      <c r="E319" s="3"/>
      <c r="F319" s="13"/>
      <c r="G319" s="15"/>
      <c r="I319" s="9"/>
    </row>
    <row r="320" spans="1:9" ht="13.95" customHeight="1">
      <c r="A320" s="16"/>
      <c r="B320" s="12"/>
      <c r="C320" s="75"/>
      <c r="D320" s="93"/>
      <c r="E320" s="3"/>
      <c r="F320" s="13"/>
      <c r="G320" s="15"/>
      <c r="I320" s="9"/>
    </row>
    <row r="321" spans="1:9" ht="13.95" customHeight="1">
      <c r="A321" s="16"/>
      <c r="B321" s="12"/>
      <c r="C321" s="75"/>
      <c r="D321" s="93"/>
      <c r="E321" s="3"/>
      <c r="F321" s="13"/>
      <c r="G321" s="15"/>
      <c r="I321" s="9"/>
    </row>
    <row r="322" spans="1:9" ht="13.95" customHeight="1">
      <c r="A322" s="16"/>
      <c r="B322" s="12"/>
      <c r="C322" s="75"/>
      <c r="D322" s="93"/>
      <c r="E322" s="3"/>
      <c r="F322" s="13"/>
      <c r="G322" s="15"/>
      <c r="I322" s="9"/>
    </row>
    <row r="323" spans="1:9" ht="13.95" customHeight="1">
      <c r="A323" s="16"/>
      <c r="B323" s="12"/>
      <c r="C323" s="75"/>
      <c r="D323" s="93"/>
      <c r="E323" s="3"/>
      <c r="F323" s="13"/>
      <c r="G323" s="15"/>
      <c r="I323" s="9"/>
    </row>
    <row r="324" spans="1:9" ht="13.95" customHeight="1">
      <c r="A324" s="16"/>
      <c r="B324" s="16"/>
      <c r="C324" s="47"/>
      <c r="D324" s="58"/>
      <c r="E324" s="13"/>
      <c r="F324" s="14"/>
      <c r="G324" s="15"/>
      <c r="I324" s="53"/>
    </row>
    <row r="325" spans="1:9">
      <c r="A325" s="16"/>
      <c r="B325" s="16"/>
      <c r="C325" s="47"/>
      <c r="D325" s="58"/>
      <c r="E325" s="13"/>
      <c r="F325" s="14"/>
      <c r="G325" s="15"/>
    </row>
    <row r="326" spans="1:9">
      <c r="A326" s="16"/>
      <c r="B326" s="16"/>
      <c r="C326" s="47"/>
      <c r="D326" s="58"/>
      <c r="E326" s="13"/>
      <c r="F326" s="14"/>
      <c r="G326" s="15"/>
    </row>
    <row r="327" spans="1:9" ht="20.100000000000001" customHeight="1">
      <c r="A327" s="156" t="s">
        <v>161</v>
      </c>
      <c r="B327" s="157"/>
      <c r="C327" s="157"/>
      <c r="D327" s="157"/>
      <c r="E327" s="157"/>
      <c r="F327" s="158"/>
      <c r="G327" s="78">
        <f>SUM(G280:G326)</f>
        <v>1254351.25</v>
      </c>
    </row>
  </sheetData>
  <mergeCells count="13">
    <mergeCell ref="A146:F146"/>
    <mergeCell ref="A327:F327"/>
    <mergeCell ref="A280:F280"/>
    <mergeCell ref="A47:F47"/>
    <mergeCell ref="A51:F51"/>
    <mergeCell ref="A91:F91"/>
    <mergeCell ref="A95:F95"/>
    <mergeCell ref="A142:F142"/>
    <mergeCell ref="A192:F192"/>
    <mergeCell ref="A196:F196"/>
    <mergeCell ref="A236:F236"/>
    <mergeCell ref="A240:F240"/>
    <mergeCell ref="A276:F276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C3F4F-BC40-400E-83EC-D0C7DC44EB46}">
  <dimension ref="A1:O335"/>
  <sheetViews>
    <sheetView showGridLines="0" view="pageBreakPreview" topLeftCell="A315" zoomScaleNormal="100" zoomScaleSheetLayoutView="100" workbookViewId="0">
      <selection activeCell="F45" sqref="F45"/>
    </sheetView>
  </sheetViews>
  <sheetFormatPr defaultColWidth="13.109375" defaultRowHeight="12"/>
  <cols>
    <col min="1" max="1" width="4.88671875" style="22" customWidth="1"/>
    <col min="2" max="2" width="8.33203125" style="20" customWidth="1"/>
    <col min="3" max="3" width="40.6640625" style="21" customWidth="1"/>
    <col min="4" max="4" width="5.109375" style="22" customWidth="1"/>
    <col min="5" max="5" width="7.6640625" style="22" customWidth="1"/>
    <col min="6" max="6" width="8.6640625" style="23" customWidth="1"/>
    <col min="7" max="7" width="11.6640625" style="24" customWidth="1"/>
    <col min="8" max="8" width="4.33203125" style="6" customWidth="1"/>
    <col min="9" max="9" width="11.33203125" style="22" hidden="1" customWidth="1"/>
    <col min="10" max="10" width="11.109375" style="22" hidden="1" customWidth="1"/>
    <col min="11" max="11" width="10.88671875" style="22" hidden="1" customWidth="1"/>
    <col min="12" max="12" width="11.6640625" style="22" hidden="1" customWidth="1"/>
    <col min="13" max="13" width="13.109375" style="106" hidden="1" customWidth="1"/>
    <col min="14" max="14" width="0" style="22" hidden="1" customWidth="1"/>
    <col min="15" max="15" width="0" style="6" hidden="1" customWidth="1"/>
    <col min="16" max="16384" width="13.109375" style="6"/>
  </cols>
  <sheetData>
    <row r="1" spans="1:14" ht="20.399999999999999" hidden="1" customHeight="1">
      <c r="A1" s="19" t="s">
        <v>80</v>
      </c>
    </row>
    <row r="2" spans="1:14" ht="15" customHeight="1">
      <c r="A2" s="142" t="str">
        <f>Summary!A2</f>
        <v>NAFASI WATER - ARNOT WASTE TREATMENT PLANT</v>
      </c>
      <c r="G2" s="25" t="str">
        <f>Summary!C2</f>
        <v>Revision T1</v>
      </c>
    </row>
    <row r="3" spans="1:14" ht="15" customHeight="1">
      <c r="A3" s="19" t="str">
        <f>Summary!A3</f>
        <v>PILING AND CIVIL WORK</v>
      </c>
      <c r="G3" s="26"/>
    </row>
    <row r="4" spans="1:14" ht="15" customHeight="1">
      <c r="A4" s="19" t="s">
        <v>303</v>
      </c>
      <c r="G4" s="143">
        <f>Summary!C4</f>
        <v>45183</v>
      </c>
    </row>
    <row r="5" spans="1:14" ht="15" customHeight="1">
      <c r="A5" s="27"/>
      <c r="B5" s="28"/>
      <c r="C5" s="28"/>
      <c r="E5" s="29"/>
      <c r="G5" s="30"/>
    </row>
    <row r="6" spans="1:14" s="42" customFormat="1" ht="37.200000000000003" customHeight="1">
      <c r="A6" s="44" t="s">
        <v>8</v>
      </c>
      <c r="B6" s="48" t="s">
        <v>9</v>
      </c>
      <c r="C6" s="44" t="s">
        <v>10</v>
      </c>
      <c r="D6" s="48" t="s">
        <v>11</v>
      </c>
      <c r="E6" s="48" t="s">
        <v>59</v>
      </c>
      <c r="F6" s="49" t="s">
        <v>12</v>
      </c>
      <c r="G6" s="49" t="s">
        <v>13</v>
      </c>
      <c r="I6" s="100" t="s">
        <v>305</v>
      </c>
      <c r="J6" s="100" t="s">
        <v>306</v>
      </c>
      <c r="K6" s="100"/>
      <c r="L6" s="100"/>
      <c r="M6" s="100"/>
      <c r="N6" s="48"/>
    </row>
    <row r="7" spans="1:14" s="42" customFormat="1" ht="4.95" customHeight="1">
      <c r="A7" s="2"/>
      <c r="B7" s="40"/>
      <c r="C7" s="50"/>
      <c r="D7" s="40"/>
      <c r="E7" s="40"/>
      <c r="F7" s="54"/>
      <c r="G7" s="54"/>
      <c r="I7" s="40"/>
      <c r="J7" s="40"/>
      <c r="K7" s="107"/>
      <c r="L7" s="40"/>
      <c r="M7" s="107"/>
      <c r="N7" s="109"/>
    </row>
    <row r="8" spans="1:14" ht="19.2" customHeight="1">
      <c r="A8" s="1"/>
      <c r="B8" s="2"/>
      <c r="C8" s="11" t="s">
        <v>304</v>
      </c>
      <c r="D8" s="1"/>
      <c r="E8" s="1"/>
      <c r="F8" s="4"/>
      <c r="G8" s="5"/>
      <c r="I8" s="9"/>
      <c r="J8" s="9"/>
      <c r="K8" s="108"/>
      <c r="L8" s="9"/>
      <c r="M8" s="108"/>
      <c r="N8" s="9"/>
    </row>
    <row r="9" spans="1:14" ht="10.95" customHeight="1">
      <c r="A9" s="1"/>
      <c r="B9" s="2"/>
      <c r="C9" s="11"/>
      <c r="D9" s="1"/>
      <c r="E9" s="1"/>
      <c r="F9" s="4"/>
      <c r="G9" s="5"/>
      <c r="I9" s="9"/>
      <c r="J9" s="9"/>
      <c r="K9" s="108"/>
      <c r="L9" s="9"/>
      <c r="M9" s="108"/>
      <c r="N9" s="9"/>
    </row>
    <row r="10" spans="1:14" ht="22.2" customHeight="1">
      <c r="A10" s="1"/>
      <c r="B10" s="1" t="s">
        <v>22</v>
      </c>
      <c r="C10" s="34" t="s">
        <v>69</v>
      </c>
      <c r="D10" s="1"/>
      <c r="E10" s="3" t="str">
        <f>IF(SUM(H10:M10)&gt;0,SUM(H10:M10),"")</f>
        <v/>
      </c>
      <c r="F10" s="4"/>
      <c r="G10" s="5"/>
      <c r="I10" s="9"/>
      <c r="J10" s="9"/>
      <c r="K10" s="108"/>
      <c r="L10" s="9"/>
      <c r="M10" s="108"/>
      <c r="N10" s="9"/>
    </row>
    <row r="11" spans="1:14" ht="13.95" customHeight="1">
      <c r="A11" s="1"/>
      <c r="B11" s="1"/>
      <c r="C11" s="34"/>
      <c r="D11" s="1"/>
      <c r="E11" s="3" t="str">
        <f>IF(SUM(H11:M11)&gt;0,SUM(H11:M11),"")</f>
        <v/>
      </c>
      <c r="F11" s="4"/>
      <c r="G11" s="5"/>
      <c r="I11" s="9"/>
      <c r="J11" s="9"/>
      <c r="K11" s="108"/>
      <c r="L11" s="9"/>
      <c r="M11" s="108"/>
      <c r="N11" s="9"/>
    </row>
    <row r="12" spans="1:14" ht="13.95" customHeight="1">
      <c r="A12" s="1"/>
      <c r="B12" s="1"/>
      <c r="C12" s="32" t="s">
        <v>55</v>
      </c>
      <c r="D12" s="1"/>
      <c r="E12" s="3" t="str">
        <f>IF(SUM(H12:M12)&gt;0,SUM(H12:M12),"")</f>
        <v/>
      </c>
      <c r="F12" s="4"/>
      <c r="G12" s="5"/>
      <c r="I12" s="9"/>
      <c r="J12" s="9"/>
      <c r="K12" s="108"/>
      <c r="L12" s="9"/>
      <c r="M12" s="108"/>
      <c r="N12" s="9"/>
    </row>
    <row r="13" spans="1:14" ht="13.95" customHeight="1">
      <c r="A13" s="1"/>
      <c r="B13" s="1"/>
      <c r="C13" s="32"/>
      <c r="D13" s="1"/>
      <c r="E13" s="3" t="str">
        <f>IF(SUM(H13:M13)&gt;0,SUM(H13:M13),"")</f>
        <v/>
      </c>
      <c r="F13" s="4"/>
      <c r="G13" s="5"/>
      <c r="I13" s="9"/>
      <c r="J13" s="9"/>
      <c r="K13" s="108"/>
      <c r="L13" s="9"/>
      <c r="M13" s="108"/>
      <c r="N13" s="9"/>
    </row>
    <row r="14" spans="1:14" ht="22.2" customHeight="1">
      <c r="A14" s="1">
        <v>1</v>
      </c>
      <c r="B14" s="1"/>
      <c r="C14" s="33" t="s">
        <v>218</v>
      </c>
      <c r="D14" s="1" t="s">
        <v>6</v>
      </c>
      <c r="E14" s="3">
        <f>SUM(I14:N14)</f>
        <v>0</v>
      </c>
      <c r="F14" s="13">
        <v>1150</v>
      </c>
      <c r="G14" s="5">
        <f t="shared" ref="G14" si="0">+E14*F14</f>
        <v>0</v>
      </c>
      <c r="I14" s="137">
        <v>0</v>
      </c>
      <c r="J14" s="137">
        <v>0</v>
      </c>
      <c r="K14" s="137"/>
      <c r="L14" s="137"/>
      <c r="M14" s="137"/>
      <c r="N14" s="137"/>
    </row>
    <row r="15" spans="1:14" ht="13.95" customHeight="1">
      <c r="A15" s="1"/>
      <c r="B15" s="1"/>
      <c r="C15" s="32"/>
      <c r="D15" s="1"/>
      <c r="E15" s="3"/>
      <c r="F15" s="14"/>
      <c r="G15" s="5"/>
      <c r="I15" s="13"/>
      <c r="J15" s="13"/>
      <c r="K15" s="13"/>
      <c r="L15" s="13"/>
      <c r="M15" s="13"/>
      <c r="N15" s="13"/>
    </row>
    <row r="16" spans="1:14" ht="13.95" customHeight="1">
      <c r="A16" s="1"/>
      <c r="B16" s="1"/>
      <c r="C16" s="32" t="s">
        <v>221</v>
      </c>
      <c r="D16" s="1"/>
      <c r="E16" s="3"/>
      <c r="F16" s="14"/>
      <c r="G16" s="5"/>
      <c r="I16" s="13"/>
      <c r="J16" s="13"/>
      <c r="K16" s="13"/>
      <c r="L16" s="13"/>
      <c r="M16" s="13"/>
      <c r="N16" s="13"/>
    </row>
    <row r="17" spans="1:14" ht="34.950000000000003" customHeight="1">
      <c r="A17" s="1"/>
      <c r="B17" s="1"/>
      <c r="C17" s="33" t="s">
        <v>219</v>
      </c>
      <c r="D17" s="1"/>
      <c r="E17" s="3"/>
      <c r="F17" s="14"/>
      <c r="G17" s="5"/>
      <c r="I17" s="13"/>
      <c r="J17" s="13"/>
      <c r="K17" s="13"/>
      <c r="L17" s="13"/>
      <c r="M17" s="13"/>
      <c r="N17" s="13"/>
    </row>
    <row r="18" spans="1:14" ht="10.95" customHeight="1">
      <c r="A18" s="1"/>
      <c r="B18" s="1"/>
      <c r="C18" s="32"/>
      <c r="D18" s="1"/>
      <c r="E18" s="3"/>
      <c r="F18" s="13"/>
      <c r="G18" s="5"/>
      <c r="I18" s="13"/>
      <c r="J18" s="13"/>
      <c r="K18" s="13"/>
      <c r="L18" s="13"/>
      <c r="M18" s="13"/>
      <c r="N18" s="13"/>
    </row>
    <row r="19" spans="1:14" ht="13.2" customHeight="1">
      <c r="A19" s="1">
        <v>2</v>
      </c>
      <c r="B19" s="1"/>
      <c r="C19" s="33" t="s">
        <v>33</v>
      </c>
      <c r="D19" s="1" t="s">
        <v>1</v>
      </c>
      <c r="E19" s="3">
        <f>SUM(I19:N19)</f>
        <v>0</v>
      </c>
      <c r="F19" s="13">
        <v>1850</v>
      </c>
      <c r="G19" s="5">
        <f t="shared" ref="G19" si="1">+E19*F19</f>
        <v>0</v>
      </c>
      <c r="I19" s="138">
        <f t="shared" ref="I19:J19" si="2">I14*10</f>
        <v>0</v>
      </c>
      <c r="J19" s="138">
        <f t="shared" si="2"/>
        <v>0</v>
      </c>
      <c r="K19" s="138"/>
      <c r="L19" s="138"/>
      <c r="M19" s="138"/>
      <c r="N19" s="138"/>
    </row>
    <row r="20" spans="1:14" ht="13.2" customHeight="1">
      <c r="A20" s="1"/>
      <c r="B20" s="1"/>
      <c r="C20" s="32"/>
      <c r="D20" s="1"/>
      <c r="E20" s="3"/>
      <c r="F20" s="13"/>
      <c r="G20" s="5"/>
      <c r="I20" s="138"/>
      <c r="J20" s="138"/>
      <c r="K20" s="138"/>
      <c r="L20" s="138"/>
      <c r="M20" s="138"/>
      <c r="N20" s="138"/>
    </row>
    <row r="21" spans="1:14" ht="13.2" customHeight="1">
      <c r="A21" s="1">
        <v>3</v>
      </c>
      <c r="B21" s="1"/>
      <c r="C21" s="33" t="s">
        <v>34</v>
      </c>
      <c r="D21" s="1" t="s">
        <v>1</v>
      </c>
      <c r="E21" s="3">
        <f>SUM(I21:N21)</f>
        <v>0</v>
      </c>
      <c r="F21" s="13">
        <f>F19</f>
        <v>1850</v>
      </c>
      <c r="G21" s="5">
        <f t="shared" ref="G21" si="3">+E21*F21</f>
        <v>0</v>
      </c>
      <c r="I21" s="138">
        <f t="shared" ref="I21:J21" si="4">I14*5</f>
        <v>0</v>
      </c>
      <c r="J21" s="138">
        <f t="shared" si="4"/>
        <v>0</v>
      </c>
      <c r="K21" s="138"/>
      <c r="L21" s="138"/>
      <c r="M21" s="138"/>
      <c r="N21" s="138"/>
    </row>
    <row r="22" spans="1:14" ht="13.2" customHeight="1">
      <c r="A22" s="1"/>
      <c r="B22" s="1"/>
      <c r="C22" s="32"/>
      <c r="D22" s="1"/>
      <c r="E22" s="3"/>
      <c r="F22" s="13"/>
      <c r="G22" s="5"/>
      <c r="I22" s="138"/>
      <c r="J22" s="138"/>
      <c r="K22" s="138"/>
      <c r="L22" s="138"/>
      <c r="M22" s="138"/>
      <c r="N22" s="138"/>
    </row>
    <row r="23" spans="1:14" ht="13.2" customHeight="1">
      <c r="A23" s="1"/>
      <c r="B23" s="1"/>
      <c r="C23" s="32" t="s">
        <v>76</v>
      </c>
      <c r="D23" s="1"/>
      <c r="E23" s="3"/>
      <c r="F23" s="13"/>
      <c r="G23" s="5"/>
      <c r="I23" s="138"/>
      <c r="J23" s="138"/>
      <c r="K23" s="138"/>
      <c r="L23" s="138"/>
      <c r="M23" s="138"/>
      <c r="N23" s="138"/>
    </row>
    <row r="24" spans="1:14" ht="13.2" customHeight="1">
      <c r="A24" s="1"/>
      <c r="B24" s="1"/>
      <c r="C24" s="32"/>
      <c r="D24" s="1"/>
      <c r="E24" s="3"/>
      <c r="F24" s="13"/>
      <c r="G24" s="5"/>
      <c r="I24" s="138"/>
      <c r="J24" s="138"/>
      <c r="K24" s="138"/>
      <c r="L24" s="138"/>
      <c r="M24" s="138"/>
      <c r="N24" s="138"/>
    </row>
    <row r="25" spans="1:14" ht="13.2" customHeight="1">
      <c r="A25" s="1">
        <v>4</v>
      </c>
      <c r="B25" s="1"/>
      <c r="C25" s="47" t="s">
        <v>77</v>
      </c>
      <c r="D25" s="1" t="s">
        <v>6</v>
      </c>
      <c r="E25" s="3">
        <f>SUM(I25:N25)</f>
        <v>0</v>
      </c>
      <c r="F25" s="13">
        <v>1250</v>
      </c>
      <c r="G25" s="5">
        <f t="shared" ref="G25" si="5">+E25*F25</f>
        <v>0</v>
      </c>
      <c r="I25" s="138">
        <f t="shared" ref="I25:J25" si="6">I14</f>
        <v>0</v>
      </c>
      <c r="J25" s="138">
        <f t="shared" si="6"/>
        <v>0</v>
      </c>
      <c r="K25" s="138"/>
      <c r="L25" s="138"/>
      <c r="M25" s="138"/>
      <c r="N25" s="138"/>
    </row>
    <row r="26" spans="1:14" ht="13.2" customHeight="1">
      <c r="A26" s="1"/>
      <c r="B26" s="1"/>
      <c r="C26" s="32"/>
      <c r="D26" s="1"/>
      <c r="E26" s="3"/>
      <c r="F26" s="13"/>
      <c r="G26" s="5"/>
      <c r="I26" s="138"/>
      <c r="J26" s="138"/>
      <c r="K26" s="138"/>
      <c r="L26" s="138"/>
      <c r="M26" s="138"/>
      <c r="N26" s="138"/>
    </row>
    <row r="27" spans="1:14" ht="12.6" customHeight="1">
      <c r="A27" s="1"/>
      <c r="B27" s="1"/>
      <c r="C27" s="32" t="s">
        <v>71</v>
      </c>
      <c r="D27" s="1"/>
      <c r="E27" s="3"/>
      <c r="F27" s="13"/>
      <c r="G27" s="5"/>
      <c r="I27" s="138"/>
      <c r="J27" s="138"/>
      <c r="K27" s="138"/>
      <c r="L27" s="138"/>
      <c r="M27" s="138"/>
      <c r="N27" s="138"/>
    </row>
    <row r="28" spans="1:14" ht="12.6" customHeight="1">
      <c r="A28" s="1"/>
      <c r="B28" s="1"/>
      <c r="C28" s="33"/>
      <c r="D28" s="1"/>
      <c r="E28" s="3"/>
      <c r="F28" s="13"/>
      <c r="G28" s="5"/>
      <c r="I28" s="138"/>
      <c r="J28" s="138"/>
      <c r="K28" s="138"/>
      <c r="L28" s="138"/>
      <c r="M28" s="138"/>
      <c r="N28" s="138"/>
    </row>
    <row r="29" spans="1:14" ht="12.6" customHeight="1">
      <c r="A29" s="1">
        <v>5</v>
      </c>
      <c r="B29" s="1"/>
      <c r="C29" s="33" t="s">
        <v>223</v>
      </c>
      <c r="D29" s="1" t="s">
        <v>2</v>
      </c>
      <c r="E29" s="3">
        <f>SUM(I29:N29)</f>
        <v>0</v>
      </c>
      <c r="F29" s="13">
        <v>29500</v>
      </c>
      <c r="G29" s="5">
        <f t="shared" ref="G29" si="7">+E29*F29</f>
        <v>0</v>
      </c>
      <c r="I29" s="139">
        <f t="shared" ref="I29:J29" si="8">(I19+I21)*0.00325</f>
        <v>0</v>
      </c>
      <c r="J29" s="139">
        <f t="shared" si="8"/>
        <v>0</v>
      </c>
      <c r="K29" s="139"/>
      <c r="L29" s="139"/>
      <c r="M29" s="139"/>
      <c r="N29" s="139"/>
    </row>
    <row r="30" spans="1:14" ht="12.6" customHeight="1">
      <c r="A30" s="1"/>
      <c r="B30" s="1"/>
      <c r="C30" s="33"/>
      <c r="D30" s="1"/>
      <c r="E30" s="3"/>
      <c r="F30" s="13"/>
      <c r="G30" s="5"/>
      <c r="I30" s="138"/>
      <c r="J30" s="138"/>
      <c r="K30" s="138"/>
      <c r="L30" s="138"/>
      <c r="M30" s="138"/>
      <c r="N30" s="138"/>
    </row>
    <row r="31" spans="1:14" ht="12.6" customHeight="1">
      <c r="A31" s="1">
        <v>6</v>
      </c>
      <c r="B31" s="1"/>
      <c r="C31" s="33" t="s">
        <v>222</v>
      </c>
      <c r="D31" s="1" t="s">
        <v>2</v>
      </c>
      <c r="E31" s="3">
        <f>SUM(I31:AG31)</f>
        <v>0</v>
      </c>
      <c r="F31" s="13">
        <v>28000</v>
      </c>
      <c r="G31" s="5">
        <f t="shared" ref="G31" si="9">+E31*F31</f>
        <v>0</v>
      </c>
      <c r="I31" s="139">
        <f t="shared" ref="I31:J31" si="10">(I19+I21)*0.0215</f>
        <v>0</v>
      </c>
      <c r="J31" s="139">
        <f t="shared" si="10"/>
        <v>0</v>
      </c>
      <c r="K31" s="139"/>
      <c r="L31" s="139"/>
      <c r="M31" s="139"/>
      <c r="N31" s="139"/>
    </row>
    <row r="32" spans="1:14" ht="12.6" customHeight="1">
      <c r="A32" s="1"/>
      <c r="B32" s="1"/>
      <c r="C32" s="33"/>
      <c r="D32" s="1"/>
      <c r="E32" s="3"/>
      <c r="F32" s="13"/>
      <c r="G32" s="5"/>
      <c r="I32" s="138"/>
      <c r="J32" s="138"/>
      <c r="K32" s="138"/>
      <c r="L32" s="138"/>
      <c r="M32" s="138"/>
      <c r="N32" s="138"/>
    </row>
    <row r="33" spans="1:14" ht="12.6" customHeight="1">
      <c r="A33" s="1"/>
      <c r="B33" s="1"/>
      <c r="C33" s="32" t="s">
        <v>56</v>
      </c>
      <c r="D33" s="1"/>
      <c r="E33" s="3"/>
      <c r="F33" s="13"/>
      <c r="G33" s="5"/>
      <c r="I33" s="138"/>
      <c r="J33" s="138"/>
      <c r="K33" s="138"/>
      <c r="L33" s="138"/>
      <c r="M33" s="138"/>
      <c r="N33" s="138"/>
    </row>
    <row r="34" spans="1:14" ht="13.2" customHeight="1">
      <c r="A34" s="1"/>
      <c r="B34" s="1"/>
      <c r="C34" s="33"/>
      <c r="D34" s="1"/>
      <c r="E34" s="3"/>
      <c r="F34" s="13"/>
      <c r="G34" s="5"/>
      <c r="I34" s="138"/>
      <c r="J34" s="138"/>
      <c r="K34" s="138"/>
      <c r="L34" s="138"/>
      <c r="M34" s="138"/>
      <c r="N34" s="138"/>
    </row>
    <row r="35" spans="1:14" ht="13.2" customHeight="1">
      <c r="A35" s="1">
        <v>7</v>
      </c>
      <c r="B35" s="1"/>
      <c r="C35" s="33" t="s">
        <v>220</v>
      </c>
      <c r="D35" s="1"/>
      <c r="E35" s="3"/>
      <c r="F35" s="13"/>
      <c r="G35" s="5"/>
      <c r="I35" s="138"/>
      <c r="J35" s="138"/>
      <c r="K35" s="138"/>
      <c r="L35" s="138"/>
      <c r="M35" s="138"/>
      <c r="N35" s="138"/>
    </row>
    <row r="36" spans="1:14" ht="13.2" customHeight="1">
      <c r="A36" s="1"/>
      <c r="B36" s="1"/>
      <c r="C36" s="1"/>
      <c r="D36" s="1"/>
      <c r="E36" s="3"/>
      <c r="F36" s="13"/>
      <c r="G36" s="5"/>
      <c r="I36" s="138"/>
      <c r="J36" s="138"/>
      <c r="K36" s="138"/>
      <c r="L36" s="138"/>
      <c r="M36" s="138"/>
      <c r="N36" s="138"/>
    </row>
    <row r="37" spans="1:14" ht="13.2" customHeight="1">
      <c r="A37" s="1"/>
      <c r="B37" s="1"/>
      <c r="C37" s="33" t="s">
        <v>38</v>
      </c>
      <c r="D37" s="1" t="s">
        <v>51</v>
      </c>
      <c r="E37" s="3">
        <f>SUM(I37:N37)</f>
        <v>0</v>
      </c>
      <c r="F37" s="13">
        <v>3500</v>
      </c>
      <c r="G37" s="5">
        <f t="shared" ref="G37" si="11">+E37*F37</f>
        <v>0</v>
      </c>
      <c r="I37" s="139">
        <f t="shared" ref="I37:J37" si="12">((I19+I21)*0.292)+(I14*0.75)</f>
        <v>0</v>
      </c>
      <c r="J37" s="139">
        <f t="shared" si="12"/>
        <v>0</v>
      </c>
      <c r="K37" s="139"/>
      <c r="L37" s="139"/>
      <c r="M37" s="139"/>
      <c r="N37" s="139"/>
    </row>
    <row r="38" spans="1:14" ht="13.2" customHeight="1">
      <c r="A38" s="1"/>
      <c r="B38" s="1"/>
      <c r="C38" s="33"/>
      <c r="D38" s="1"/>
      <c r="E38" s="3"/>
      <c r="F38" s="13"/>
      <c r="G38" s="5"/>
      <c r="I38" s="138"/>
      <c r="J38" s="138"/>
      <c r="K38" s="138"/>
      <c r="L38" s="138"/>
      <c r="M38" s="138"/>
      <c r="N38" s="138"/>
    </row>
    <row r="39" spans="1:14" ht="13.2" customHeight="1">
      <c r="A39" s="1"/>
      <c r="B39" s="1" t="s">
        <v>23</v>
      </c>
      <c r="C39" s="32" t="s">
        <v>35</v>
      </c>
      <c r="D39" s="1"/>
      <c r="E39" s="3"/>
      <c r="F39" s="13"/>
      <c r="G39" s="5"/>
      <c r="I39" s="138"/>
      <c r="J39" s="138"/>
      <c r="K39" s="138"/>
      <c r="L39" s="138"/>
      <c r="M39" s="138"/>
      <c r="N39" s="138"/>
    </row>
    <row r="40" spans="1:14" ht="13.2" customHeight="1">
      <c r="A40" s="1"/>
      <c r="B40" s="1"/>
      <c r="C40" s="32"/>
      <c r="D40" s="1"/>
      <c r="E40" s="3"/>
      <c r="F40" s="13"/>
      <c r="G40" s="5"/>
      <c r="I40" s="138"/>
      <c r="J40" s="138"/>
      <c r="K40" s="138"/>
      <c r="L40" s="138"/>
      <c r="M40" s="138"/>
      <c r="N40" s="138"/>
    </row>
    <row r="41" spans="1:14" ht="13.2" customHeight="1">
      <c r="A41" s="1">
        <v>8</v>
      </c>
      <c r="B41" s="1"/>
      <c r="C41" s="33" t="s">
        <v>259</v>
      </c>
      <c r="D41" s="1" t="s">
        <v>6</v>
      </c>
      <c r="E41" s="3">
        <f>SUM(I41:N41)</f>
        <v>0</v>
      </c>
      <c r="F41" s="13">
        <v>875</v>
      </c>
      <c r="G41" s="5">
        <f t="shared" ref="G41" si="13">+E41*F41</f>
        <v>0</v>
      </c>
      <c r="I41" s="138">
        <f t="shared" ref="I41:J41" si="14">I14</f>
        <v>0</v>
      </c>
      <c r="J41" s="138">
        <f t="shared" si="14"/>
        <v>0</v>
      </c>
      <c r="K41" s="138"/>
      <c r="L41" s="138"/>
      <c r="M41" s="138"/>
      <c r="N41" s="138"/>
    </row>
    <row r="42" spans="1:14" ht="13.2" customHeight="1">
      <c r="A42" s="1"/>
      <c r="B42" s="2"/>
      <c r="C42" s="11"/>
      <c r="D42" s="1"/>
      <c r="E42" s="1"/>
      <c r="F42" s="13"/>
      <c r="G42" s="5"/>
      <c r="I42" s="1"/>
      <c r="J42" s="1"/>
      <c r="K42" s="108"/>
      <c r="L42" s="1"/>
      <c r="M42" s="108"/>
      <c r="N42" s="9"/>
    </row>
    <row r="43" spans="1:14" ht="24">
      <c r="A43" s="1"/>
      <c r="B43" s="2" t="s">
        <v>100</v>
      </c>
      <c r="C43" s="31" t="s">
        <v>79</v>
      </c>
      <c r="D43" s="1"/>
      <c r="E43" s="3"/>
      <c r="F43" s="14"/>
      <c r="G43" s="5"/>
      <c r="I43" s="3"/>
      <c r="J43" s="3"/>
      <c r="K43" s="108"/>
      <c r="L43" s="3"/>
      <c r="M43" s="108"/>
      <c r="N43" s="9"/>
    </row>
    <row r="44" spans="1:14" ht="13.95" customHeight="1">
      <c r="A44" s="1"/>
      <c r="B44" s="2"/>
      <c r="C44" s="8" t="s">
        <v>81</v>
      </c>
      <c r="D44" s="1"/>
      <c r="E44" s="3"/>
      <c r="F44" s="14"/>
      <c r="G44" s="5"/>
      <c r="I44" s="3"/>
      <c r="J44" s="3"/>
      <c r="K44" s="108"/>
      <c r="L44" s="3"/>
      <c r="M44" s="108"/>
      <c r="N44" s="9"/>
    </row>
    <row r="45" spans="1:14" ht="50.4" customHeight="1">
      <c r="A45" s="16">
        <v>9</v>
      </c>
      <c r="B45" s="33" t="s">
        <v>162</v>
      </c>
      <c r="C45" s="33" t="s">
        <v>163</v>
      </c>
      <c r="D45" s="9" t="s">
        <v>60</v>
      </c>
      <c r="E45" s="3">
        <f>SUM(I45:N45)</f>
        <v>0</v>
      </c>
      <c r="F45" s="13">
        <v>225</v>
      </c>
      <c r="G45" s="5">
        <f t="shared" ref="G45" si="15">+E45*F45</f>
        <v>0</v>
      </c>
      <c r="I45" s="9"/>
      <c r="J45" s="9"/>
      <c r="K45" s="108"/>
      <c r="L45" s="9"/>
      <c r="M45" s="108"/>
      <c r="N45" s="9"/>
    </row>
    <row r="46" spans="1:14">
      <c r="A46" s="16"/>
      <c r="B46" s="33"/>
      <c r="D46" s="9"/>
      <c r="E46" s="3"/>
      <c r="F46" s="13"/>
      <c r="G46" s="5"/>
      <c r="I46" s="9"/>
      <c r="J46" s="9"/>
      <c r="K46" s="108"/>
      <c r="L46" s="9"/>
      <c r="M46" s="108"/>
      <c r="N46" s="9"/>
    </row>
    <row r="47" spans="1:14" ht="13.95" customHeight="1">
      <c r="A47" s="1"/>
      <c r="B47" s="2"/>
      <c r="C47" s="8"/>
      <c r="D47" s="9"/>
      <c r="E47" s="3"/>
      <c r="F47" s="4"/>
      <c r="G47" s="5"/>
      <c r="I47" s="9"/>
      <c r="J47" s="9"/>
      <c r="K47" s="108"/>
      <c r="L47" s="9"/>
      <c r="M47" s="108"/>
      <c r="N47" s="9"/>
    </row>
    <row r="48" spans="1:14" ht="20.100000000000001" customHeight="1">
      <c r="A48" s="149" t="s">
        <v>66</v>
      </c>
      <c r="B48" s="150"/>
      <c r="C48" s="150"/>
      <c r="D48" s="150"/>
      <c r="E48" s="150"/>
      <c r="F48" s="151"/>
      <c r="G48" s="116">
        <f>SUM(G8:G47)</f>
        <v>0</v>
      </c>
      <c r="I48" s="9"/>
      <c r="J48" s="9"/>
      <c r="K48" s="108"/>
      <c r="L48" s="9"/>
      <c r="M48" s="108"/>
      <c r="N48" s="9"/>
    </row>
    <row r="49" spans="1:14">
      <c r="A49" s="39"/>
      <c r="B49" s="39"/>
      <c r="C49" s="39"/>
      <c r="D49" s="39"/>
      <c r="E49" s="39"/>
      <c r="F49" s="39"/>
      <c r="G49" s="113"/>
      <c r="I49" s="9"/>
      <c r="J49" s="9"/>
      <c r="K49" s="108"/>
      <c r="L49" s="9"/>
      <c r="M49" s="108"/>
      <c r="N49" s="9"/>
    </row>
    <row r="50" spans="1:14" ht="13.95" customHeight="1">
      <c r="A50" s="39"/>
      <c r="B50" s="39"/>
      <c r="C50" s="39"/>
      <c r="D50" s="39"/>
      <c r="E50" s="39"/>
      <c r="F50" s="39"/>
      <c r="G50" s="113"/>
      <c r="I50" s="9"/>
      <c r="J50" s="9"/>
      <c r="K50" s="108"/>
      <c r="L50" s="9"/>
      <c r="M50" s="108"/>
      <c r="N50" s="9"/>
    </row>
    <row r="51" spans="1:14" ht="24" customHeight="1">
      <c r="A51" s="44" t="s">
        <v>8</v>
      </c>
      <c r="B51" s="48" t="s">
        <v>9</v>
      </c>
      <c r="C51" s="44" t="s">
        <v>10</v>
      </c>
      <c r="D51" s="48" t="s">
        <v>11</v>
      </c>
      <c r="E51" s="48" t="s">
        <v>59</v>
      </c>
      <c r="F51" s="49" t="s">
        <v>12</v>
      </c>
      <c r="G51" s="111" t="s">
        <v>13</v>
      </c>
      <c r="I51" s="9"/>
      <c r="J51" s="9"/>
      <c r="K51" s="108"/>
      <c r="L51" s="9"/>
      <c r="M51" s="108"/>
      <c r="N51" s="9"/>
    </row>
    <row r="52" spans="1:14" ht="20.100000000000001" customHeight="1">
      <c r="A52" s="149" t="s">
        <v>67</v>
      </c>
      <c r="B52" s="150"/>
      <c r="C52" s="150"/>
      <c r="D52" s="150"/>
      <c r="E52" s="150"/>
      <c r="F52" s="151"/>
      <c r="G52" s="116">
        <f>+G48</f>
        <v>0</v>
      </c>
      <c r="I52" s="9"/>
      <c r="J52" s="9"/>
      <c r="K52" s="108"/>
      <c r="L52" s="9"/>
      <c r="M52" s="108"/>
      <c r="N52" s="9"/>
    </row>
    <row r="53" spans="1:14" ht="9" customHeight="1">
      <c r="A53" s="1"/>
      <c r="B53" s="2"/>
      <c r="C53" s="8"/>
      <c r="D53" s="9"/>
      <c r="E53" s="3"/>
      <c r="F53" s="4"/>
      <c r="G53" s="5"/>
      <c r="I53" s="3"/>
      <c r="J53" s="3"/>
      <c r="K53" s="108"/>
      <c r="L53" s="3"/>
      <c r="M53" s="108"/>
      <c r="N53" s="9"/>
    </row>
    <row r="54" spans="1:14" ht="13.95" customHeight="1">
      <c r="A54" s="1"/>
      <c r="B54" s="2" t="s">
        <v>173</v>
      </c>
      <c r="C54" s="31" t="s">
        <v>79</v>
      </c>
      <c r="D54" s="1"/>
      <c r="E54" s="3"/>
      <c r="F54" s="4"/>
      <c r="G54" s="5"/>
      <c r="I54" s="3"/>
      <c r="J54" s="3"/>
      <c r="K54" s="108"/>
      <c r="L54" s="3"/>
      <c r="M54" s="108"/>
      <c r="N54" s="9"/>
    </row>
    <row r="55" spans="1:14" ht="13.95" customHeight="1">
      <c r="A55" s="1"/>
      <c r="B55" s="2"/>
      <c r="C55" s="8" t="s">
        <v>81</v>
      </c>
      <c r="D55" s="1"/>
      <c r="E55" s="3"/>
      <c r="F55" s="4"/>
      <c r="G55" s="5"/>
      <c r="I55" s="3"/>
      <c r="J55" s="3"/>
      <c r="K55" s="108"/>
      <c r="L55" s="3"/>
      <c r="M55" s="108"/>
      <c r="N55" s="9"/>
    </row>
    <row r="56" spans="1:14" ht="13.95" customHeight="1">
      <c r="A56" s="1"/>
      <c r="B56" s="1" t="s">
        <v>87</v>
      </c>
      <c r="C56" s="37" t="s">
        <v>0</v>
      </c>
      <c r="D56" s="1"/>
      <c r="E56" s="3"/>
      <c r="F56" s="4"/>
      <c r="G56" s="5"/>
      <c r="I56" s="3"/>
      <c r="J56" s="3"/>
      <c r="K56" s="108"/>
      <c r="L56" s="3"/>
      <c r="M56" s="108"/>
      <c r="N56" s="9"/>
    </row>
    <row r="57" spans="1:14" ht="13.95" customHeight="1">
      <c r="A57" s="1"/>
      <c r="B57" s="1"/>
      <c r="C57" s="33"/>
      <c r="D57" s="1"/>
      <c r="E57" s="3"/>
      <c r="F57" s="4"/>
      <c r="G57" s="5"/>
      <c r="I57" s="3"/>
      <c r="J57" s="3"/>
      <c r="K57" s="108"/>
      <c r="L57" s="3"/>
      <c r="M57" s="108"/>
      <c r="N57" s="9"/>
    </row>
    <row r="58" spans="1:14" ht="22.95" customHeight="1">
      <c r="A58" s="1"/>
      <c r="B58" s="1"/>
      <c r="C58" s="33" t="s">
        <v>61</v>
      </c>
      <c r="D58" s="1"/>
      <c r="E58" s="3"/>
      <c r="F58" s="4"/>
      <c r="G58" s="5"/>
      <c r="I58" s="3"/>
      <c r="J58" s="3"/>
      <c r="K58" s="108"/>
      <c r="L58" s="3"/>
      <c r="M58" s="108"/>
      <c r="N58" s="9"/>
    </row>
    <row r="59" spans="1:14" ht="13.95" customHeight="1">
      <c r="A59" s="1"/>
      <c r="B59" s="1"/>
      <c r="C59" s="6"/>
      <c r="D59" s="1"/>
      <c r="E59" s="3"/>
      <c r="F59" s="4"/>
      <c r="G59" s="5"/>
      <c r="I59" s="3"/>
      <c r="J59" s="3"/>
      <c r="K59" s="108"/>
      <c r="L59" s="3"/>
      <c r="M59" s="108"/>
      <c r="N59" s="9"/>
    </row>
    <row r="60" spans="1:14" ht="13.95" customHeight="1">
      <c r="A60" s="1">
        <v>10</v>
      </c>
      <c r="B60" s="1"/>
      <c r="C60" s="33" t="s">
        <v>14</v>
      </c>
      <c r="D60" s="1" t="s">
        <v>51</v>
      </c>
      <c r="E60" s="3">
        <f>SUM(I60:N60)</f>
        <v>910</v>
      </c>
      <c r="F60" s="13">
        <v>175</v>
      </c>
      <c r="G60" s="5">
        <f t="shared" ref="G60" si="16">+E60*F60</f>
        <v>159250</v>
      </c>
      <c r="I60" s="3">
        <v>733</v>
      </c>
      <c r="J60" s="3">
        <v>177</v>
      </c>
      <c r="K60" s="108"/>
      <c r="L60" s="3"/>
      <c r="M60" s="108"/>
      <c r="N60" s="9"/>
    </row>
    <row r="61" spans="1:14" ht="9.75" customHeight="1">
      <c r="A61" s="1"/>
      <c r="B61" s="1"/>
      <c r="C61" s="33"/>
      <c r="D61" s="1"/>
      <c r="E61" s="3"/>
      <c r="F61" s="13"/>
      <c r="G61" s="5"/>
      <c r="I61" s="3"/>
      <c r="J61" s="3"/>
      <c r="K61" s="108"/>
      <c r="L61" s="3"/>
      <c r="M61" s="108"/>
      <c r="N61" s="9"/>
    </row>
    <row r="62" spans="1:14" ht="13.95" customHeight="1">
      <c r="A62" s="1"/>
      <c r="B62" s="1"/>
      <c r="C62" s="37" t="s">
        <v>111</v>
      </c>
      <c r="D62" s="1"/>
      <c r="E62" s="3"/>
      <c r="F62" s="13"/>
      <c r="G62" s="5"/>
      <c r="I62" s="3"/>
      <c r="J62" s="3"/>
      <c r="K62" s="108"/>
      <c r="L62" s="3"/>
      <c r="M62" s="108"/>
      <c r="N62" s="9"/>
    </row>
    <row r="63" spans="1:14" ht="9" customHeight="1">
      <c r="A63" s="1"/>
      <c r="B63" s="1"/>
      <c r="C63" s="33"/>
      <c r="D63" s="1"/>
      <c r="E63" s="3"/>
      <c r="F63" s="13"/>
      <c r="G63" s="5"/>
      <c r="I63" s="3"/>
      <c r="J63" s="3"/>
      <c r="K63" s="108"/>
      <c r="L63" s="3"/>
      <c r="M63" s="108"/>
      <c r="N63" s="9"/>
    </row>
    <row r="64" spans="1:14" ht="28.95" customHeight="1">
      <c r="A64" s="1">
        <v>11</v>
      </c>
      <c r="B64" s="1"/>
      <c r="C64" s="33" t="s">
        <v>54</v>
      </c>
      <c r="D64" s="1" t="s">
        <v>51</v>
      </c>
      <c r="E64" s="3">
        <f>SUM(I64:N64)</f>
        <v>0</v>
      </c>
      <c r="F64" s="13">
        <v>950</v>
      </c>
      <c r="G64" s="5">
        <f t="shared" ref="G64" si="17">+E64*F64</f>
        <v>0</v>
      </c>
      <c r="I64" s="3"/>
      <c r="J64" s="3"/>
      <c r="K64" s="108"/>
      <c r="L64" s="3"/>
      <c r="M64" s="108"/>
      <c r="N64" s="9"/>
    </row>
    <row r="65" spans="1:14" ht="13.95" customHeight="1">
      <c r="A65" s="1"/>
      <c r="B65" s="1"/>
      <c r="C65" s="33"/>
      <c r="D65" s="1"/>
      <c r="E65" s="3"/>
      <c r="F65" s="13"/>
      <c r="G65" s="5"/>
      <c r="I65" s="3"/>
      <c r="J65" s="3"/>
      <c r="K65" s="108"/>
      <c r="L65" s="3"/>
      <c r="M65" s="108"/>
      <c r="N65" s="9"/>
    </row>
    <row r="66" spans="1:14" ht="22.2" customHeight="1">
      <c r="A66" s="1"/>
      <c r="B66" s="1"/>
      <c r="C66" s="33" t="s">
        <v>57</v>
      </c>
      <c r="D66" s="1"/>
      <c r="E66" s="3"/>
      <c r="F66" s="13"/>
      <c r="G66" s="5"/>
      <c r="I66" s="3"/>
      <c r="J66" s="3"/>
      <c r="K66" s="108"/>
      <c r="L66" s="3"/>
      <c r="M66" s="108"/>
      <c r="N66" s="9"/>
    </row>
    <row r="67" spans="1:14" ht="13.95" customHeight="1">
      <c r="A67" s="1"/>
      <c r="B67" s="2"/>
      <c r="C67" s="8"/>
      <c r="D67" s="9"/>
      <c r="E67" s="3"/>
      <c r="F67" s="13"/>
      <c r="G67" s="5"/>
      <c r="I67" s="3"/>
      <c r="J67" s="3"/>
      <c r="K67" s="108"/>
      <c r="L67" s="3"/>
      <c r="M67" s="108"/>
      <c r="N67" s="9"/>
    </row>
    <row r="68" spans="1:14" ht="13.95" customHeight="1">
      <c r="A68" s="1"/>
      <c r="B68" s="1" t="s">
        <v>83</v>
      </c>
      <c r="C68" s="10" t="s">
        <v>25</v>
      </c>
      <c r="D68" s="9"/>
      <c r="E68" s="3"/>
      <c r="F68" s="13"/>
      <c r="G68" s="5"/>
      <c r="I68" s="3"/>
      <c r="J68" s="3"/>
      <c r="K68" s="108"/>
      <c r="L68" s="3"/>
      <c r="M68" s="108"/>
      <c r="N68" s="9"/>
    </row>
    <row r="69" spans="1:14" ht="13.95" customHeight="1">
      <c r="A69" s="1"/>
      <c r="B69" s="2"/>
      <c r="C69" s="8"/>
      <c r="D69" s="9"/>
      <c r="E69" s="3"/>
      <c r="F69" s="13"/>
      <c r="G69" s="5"/>
      <c r="I69" s="3"/>
      <c r="J69" s="3"/>
      <c r="K69" s="108"/>
      <c r="L69" s="3"/>
      <c r="M69" s="108"/>
      <c r="N69" s="9"/>
    </row>
    <row r="70" spans="1:14" ht="23.4" customHeight="1">
      <c r="A70" s="1"/>
      <c r="B70" s="2"/>
      <c r="C70" s="8" t="s">
        <v>109</v>
      </c>
      <c r="D70" s="9"/>
      <c r="E70" s="3"/>
      <c r="F70" s="13"/>
      <c r="G70" s="5"/>
      <c r="I70" s="3"/>
      <c r="J70" s="3"/>
      <c r="K70" s="108"/>
      <c r="L70" s="3"/>
      <c r="M70" s="108"/>
      <c r="N70" s="9"/>
    </row>
    <row r="71" spans="1:14" ht="13.95" customHeight="1">
      <c r="A71" s="1"/>
      <c r="B71" s="2"/>
      <c r="C71" s="8"/>
      <c r="D71" s="9"/>
      <c r="E71" s="3"/>
      <c r="F71" s="13"/>
      <c r="G71" s="5"/>
      <c r="I71" s="3"/>
      <c r="J71" s="3"/>
      <c r="K71" s="108"/>
      <c r="L71" s="3"/>
      <c r="M71" s="108"/>
      <c r="N71" s="9"/>
    </row>
    <row r="72" spans="1:14" ht="33.6" customHeight="1">
      <c r="A72" s="1">
        <v>12</v>
      </c>
      <c r="B72" s="2"/>
      <c r="C72" s="8" t="s">
        <v>108</v>
      </c>
      <c r="D72" s="9" t="s">
        <v>51</v>
      </c>
      <c r="E72" s="3">
        <f>SUM(I72:N72)</f>
        <v>660</v>
      </c>
      <c r="F72" s="13">
        <v>725</v>
      </c>
      <c r="G72" s="5">
        <f t="shared" ref="G72" si="18">+E72*F72</f>
        <v>478500</v>
      </c>
      <c r="I72" s="3">
        <v>542</v>
      </c>
      <c r="J72" s="3">
        <v>118</v>
      </c>
      <c r="K72" s="108"/>
      <c r="L72" s="3"/>
      <c r="M72" s="108"/>
      <c r="N72" s="9"/>
    </row>
    <row r="73" spans="1:14" ht="13.95" customHeight="1">
      <c r="A73" s="1"/>
      <c r="B73" s="2"/>
      <c r="C73" s="8"/>
      <c r="D73" s="9"/>
      <c r="E73" s="3"/>
      <c r="F73" s="13"/>
      <c r="G73" s="5"/>
      <c r="I73" s="3"/>
      <c r="J73" s="3"/>
      <c r="K73" s="108"/>
      <c r="L73" s="3"/>
      <c r="M73" s="108"/>
      <c r="N73" s="9"/>
    </row>
    <row r="74" spans="1:14" ht="21.6" customHeight="1">
      <c r="A74" s="1"/>
      <c r="B74" s="2" t="s">
        <v>101</v>
      </c>
      <c r="C74" s="34" t="s">
        <v>155</v>
      </c>
      <c r="D74" s="1"/>
      <c r="E74" s="3"/>
      <c r="F74" s="13"/>
      <c r="G74" s="5"/>
      <c r="I74" s="3"/>
      <c r="J74" s="3"/>
      <c r="K74" s="108"/>
      <c r="L74" s="3"/>
      <c r="M74" s="108"/>
      <c r="N74" s="9"/>
    </row>
    <row r="75" spans="1:14" ht="13.95" customHeight="1">
      <c r="A75" s="1"/>
      <c r="B75" s="1"/>
      <c r="C75" s="33"/>
      <c r="D75" s="1"/>
      <c r="E75" s="3"/>
      <c r="F75" s="13"/>
      <c r="G75" s="5"/>
      <c r="I75" s="3"/>
      <c r="J75" s="3"/>
      <c r="K75" s="108"/>
      <c r="L75" s="3"/>
      <c r="M75" s="108"/>
      <c r="N75" s="9"/>
    </row>
    <row r="76" spans="1:14" ht="13.95" customHeight="1">
      <c r="A76" s="1"/>
      <c r="B76" s="1" t="s">
        <v>88</v>
      </c>
      <c r="C76" s="32" t="s">
        <v>15</v>
      </c>
      <c r="D76" s="1"/>
      <c r="E76" s="3"/>
      <c r="F76" s="13"/>
      <c r="G76" s="5"/>
      <c r="I76" s="3"/>
      <c r="J76" s="3"/>
      <c r="K76" s="108"/>
      <c r="L76" s="3"/>
      <c r="M76" s="108"/>
      <c r="N76" s="9"/>
    </row>
    <row r="77" spans="1:14" ht="13.95" customHeight="1">
      <c r="A77" s="1"/>
      <c r="B77" s="1"/>
      <c r="C77" s="33"/>
      <c r="D77" s="1"/>
      <c r="E77" s="3"/>
      <c r="F77" s="13"/>
      <c r="G77" s="5"/>
      <c r="I77" s="3"/>
      <c r="J77" s="3"/>
      <c r="K77" s="108"/>
      <c r="L77" s="3"/>
      <c r="M77" s="108"/>
      <c r="N77" s="9"/>
    </row>
    <row r="78" spans="1:14" ht="13.95" customHeight="1">
      <c r="A78" s="1"/>
      <c r="B78" s="1" t="s">
        <v>82</v>
      </c>
      <c r="C78" s="34" t="s">
        <v>16</v>
      </c>
      <c r="D78" s="1"/>
      <c r="E78" s="3"/>
      <c r="F78" s="13"/>
      <c r="G78" s="5"/>
      <c r="I78" s="3"/>
      <c r="J78" s="3"/>
      <c r="K78" s="108"/>
      <c r="L78" s="3"/>
      <c r="M78" s="108"/>
      <c r="N78" s="9"/>
    </row>
    <row r="79" spans="1:14" ht="13.95" customHeight="1">
      <c r="A79" s="1"/>
      <c r="B79" s="1"/>
      <c r="C79" s="33"/>
      <c r="D79" s="1"/>
      <c r="E79" s="3"/>
      <c r="F79" s="13"/>
      <c r="G79" s="5"/>
      <c r="I79" s="3"/>
      <c r="J79" s="3"/>
      <c r="K79" s="108"/>
      <c r="L79" s="3"/>
      <c r="M79" s="108"/>
      <c r="N79" s="9"/>
    </row>
    <row r="80" spans="1:14" ht="13.95" customHeight="1">
      <c r="A80" s="1"/>
      <c r="B80" s="1"/>
      <c r="C80" s="37" t="s">
        <v>17</v>
      </c>
      <c r="D80" s="1"/>
      <c r="E80" s="3"/>
      <c r="F80" s="13"/>
      <c r="G80" s="5"/>
      <c r="I80" s="3"/>
      <c r="J80" s="3"/>
      <c r="K80" s="108"/>
      <c r="L80" s="3"/>
      <c r="M80" s="108"/>
      <c r="N80" s="9"/>
    </row>
    <row r="81" spans="1:14" ht="13.95" customHeight="1">
      <c r="A81" s="1"/>
      <c r="B81" s="1"/>
      <c r="C81" s="37"/>
      <c r="D81" s="1"/>
      <c r="E81" s="3"/>
      <c r="F81" s="13"/>
      <c r="G81" s="5"/>
      <c r="I81" s="3"/>
      <c r="J81" s="3"/>
      <c r="K81" s="108"/>
      <c r="L81" s="3"/>
      <c r="M81" s="108"/>
      <c r="N81" s="9"/>
    </row>
    <row r="82" spans="1:14" ht="13.95" customHeight="1">
      <c r="A82" s="1">
        <v>13</v>
      </c>
      <c r="B82" s="1"/>
      <c r="C82" s="33" t="s">
        <v>28</v>
      </c>
      <c r="D82" s="1" t="s">
        <v>60</v>
      </c>
      <c r="E82" s="3">
        <f>SUM(I82:N82)</f>
        <v>0</v>
      </c>
      <c r="F82" s="13">
        <v>475</v>
      </c>
      <c r="G82" s="5">
        <f t="shared" ref="G82" si="19">+E82*F82</f>
        <v>0</v>
      </c>
      <c r="I82" s="3"/>
      <c r="J82" s="3"/>
      <c r="K82" s="108"/>
      <c r="L82" s="3"/>
      <c r="M82" s="108"/>
      <c r="N82" s="9"/>
    </row>
    <row r="83" spans="1:14" ht="13.95" customHeight="1">
      <c r="A83" s="1"/>
      <c r="B83" s="1"/>
      <c r="C83" s="33"/>
      <c r="D83" s="1"/>
      <c r="E83" s="3"/>
      <c r="F83" s="13"/>
      <c r="G83" s="5"/>
      <c r="I83" s="3"/>
      <c r="J83" s="3"/>
      <c r="K83" s="108"/>
      <c r="L83" s="3"/>
      <c r="M83" s="108"/>
      <c r="N83" s="9"/>
    </row>
    <row r="84" spans="1:14" ht="19.95" customHeight="1">
      <c r="A84" s="1"/>
      <c r="B84" s="1" t="s">
        <v>86</v>
      </c>
      <c r="C84" s="34" t="s">
        <v>26</v>
      </c>
      <c r="D84" s="1"/>
      <c r="E84" s="3"/>
      <c r="F84" s="13"/>
      <c r="G84" s="5"/>
      <c r="I84" s="3"/>
      <c r="J84" s="3"/>
      <c r="K84" s="108"/>
      <c r="L84" s="3"/>
      <c r="M84" s="108"/>
      <c r="N84" s="9"/>
    </row>
    <row r="85" spans="1:14" ht="13.95" customHeight="1">
      <c r="A85" s="1"/>
      <c r="B85" s="1"/>
      <c r="C85" s="33"/>
      <c r="D85" s="1"/>
      <c r="E85" s="3"/>
      <c r="F85" s="13"/>
      <c r="G85" s="5"/>
      <c r="I85" s="3"/>
      <c r="J85" s="3"/>
      <c r="K85" s="108"/>
      <c r="L85" s="3"/>
      <c r="M85" s="108"/>
      <c r="N85" s="9"/>
    </row>
    <row r="86" spans="1:14" ht="13.95" customHeight="1">
      <c r="A86" s="1"/>
      <c r="B86" s="1"/>
      <c r="C86" s="37" t="s">
        <v>17</v>
      </c>
      <c r="D86" s="1"/>
      <c r="E86" s="3"/>
      <c r="F86" s="13"/>
      <c r="G86" s="5"/>
      <c r="I86" s="3"/>
      <c r="J86" s="3"/>
      <c r="K86" s="108"/>
      <c r="L86" s="3"/>
      <c r="M86" s="108"/>
      <c r="N86" s="9"/>
    </row>
    <row r="87" spans="1:14" ht="13.95" customHeight="1">
      <c r="A87" s="1"/>
      <c r="B87" s="1"/>
      <c r="C87" s="33"/>
      <c r="D87" s="1"/>
      <c r="E87" s="3"/>
      <c r="F87" s="13"/>
      <c r="G87" s="5"/>
      <c r="I87" s="3"/>
      <c r="J87" s="3"/>
      <c r="K87" s="108"/>
      <c r="L87" s="3"/>
      <c r="M87" s="108"/>
      <c r="N87" s="9"/>
    </row>
    <row r="88" spans="1:14" ht="13.95" customHeight="1">
      <c r="A88" s="1">
        <v>14</v>
      </c>
      <c r="B88" s="1"/>
      <c r="C88" s="33" t="s">
        <v>201</v>
      </c>
      <c r="D88" s="1" t="s">
        <v>60</v>
      </c>
      <c r="E88" s="3">
        <f>SUM(I88:N88)</f>
        <v>217</v>
      </c>
      <c r="F88" s="13">
        <v>750</v>
      </c>
      <c r="G88" s="5">
        <f t="shared" ref="G88" si="20">+E88*F88</f>
        <v>162750</v>
      </c>
      <c r="I88" s="3">
        <v>125</v>
      </c>
      <c r="J88" s="3">
        <v>92</v>
      </c>
      <c r="K88" s="108"/>
      <c r="L88" s="3"/>
      <c r="M88" s="108"/>
      <c r="N88" s="9"/>
    </row>
    <row r="89" spans="1:14" ht="13.95" customHeight="1">
      <c r="A89" s="1"/>
      <c r="B89" s="1"/>
      <c r="C89" s="33"/>
      <c r="D89" s="1"/>
      <c r="E89" s="3"/>
      <c r="F89" s="13"/>
      <c r="G89" s="5"/>
      <c r="I89" s="3"/>
      <c r="J89" s="3"/>
      <c r="K89" s="108"/>
      <c r="L89" s="3"/>
      <c r="M89" s="108"/>
      <c r="N89" s="9"/>
    </row>
    <row r="90" spans="1:14" ht="13.95" customHeight="1">
      <c r="A90" s="1">
        <v>15</v>
      </c>
      <c r="B90" s="1"/>
      <c r="C90" s="33" t="s">
        <v>224</v>
      </c>
      <c r="D90" s="1" t="s">
        <v>60</v>
      </c>
      <c r="E90" s="3">
        <f>SUM(I90:N90)</f>
        <v>534</v>
      </c>
      <c r="F90" s="13">
        <v>635</v>
      </c>
      <c r="G90" s="5">
        <f t="shared" ref="G90" si="21">+E90*F90</f>
        <v>339090</v>
      </c>
      <c r="I90" s="3">
        <v>309</v>
      </c>
      <c r="J90" s="3">
        <v>225</v>
      </c>
      <c r="K90" s="108"/>
      <c r="L90" s="3"/>
      <c r="M90" s="108"/>
      <c r="N90" s="9"/>
    </row>
    <row r="91" spans="1:14" ht="13.95" customHeight="1">
      <c r="A91" s="1"/>
      <c r="B91" s="1"/>
      <c r="C91" s="33"/>
      <c r="D91" s="1"/>
      <c r="E91" s="3"/>
      <c r="F91" s="13"/>
      <c r="G91" s="5"/>
      <c r="I91" s="3"/>
      <c r="J91" s="3"/>
      <c r="K91" s="108"/>
      <c r="L91" s="3"/>
      <c r="M91" s="108"/>
      <c r="N91" s="9"/>
    </row>
    <row r="92" spans="1:14" ht="13.95" customHeight="1">
      <c r="A92" s="1">
        <v>16</v>
      </c>
      <c r="B92" s="1"/>
      <c r="C92" s="33" t="s">
        <v>39</v>
      </c>
      <c r="D92" s="1" t="s">
        <v>60</v>
      </c>
      <c r="E92" s="3">
        <f>SUM(I92:N92)</f>
        <v>0</v>
      </c>
      <c r="F92" s="13">
        <v>850</v>
      </c>
      <c r="G92" s="5">
        <f t="shared" ref="G92" si="22">+E92*F92</f>
        <v>0</v>
      </c>
      <c r="I92" s="3"/>
      <c r="J92" s="3"/>
      <c r="K92" s="108"/>
      <c r="L92" s="3"/>
      <c r="M92" s="108"/>
      <c r="N92" s="9"/>
    </row>
    <row r="93" spans="1:14" ht="13.95" customHeight="1">
      <c r="A93" s="1"/>
      <c r="B93" s="1"/>
      <c r="C93" s="33"/>
      <c r="D93" s="1"/>
      <c r="E93" s="3"/>
      <c r="F93" s="13"/>
      <c r="G93" s="5"/>
      <c r="I93" s="3"/>
      <c r="J93" s="3"/>
      <c r="K93" s="108"/>
      <c r="L93" s="3"/>
      <c r="M93" s="108"/>
      <c r="N93" s="9"/>
    </row>
    <row r="94" spans="1:14" ht="13.95" customHeight="1">
      <c r="A94" s="1">
        <v>17</v>
      </c>
      <c r="B94" s="1"/>
      <c r="C94" s="33" t="s">
        <v>247</v>
      </c>
      <c r="D94" s="1" t="s">
        <v>60</v>
      </c>
      <c r="E94" s="3">
        <f>SUM(I94:N94)</f>
        <v>0</v>
      </c>
      <c r="F94" s="13">
        <v>775</v>
      </c>
      <c r="G94" s="5">
        <f t="shared" ref="G94" si="23">+E94*F94</f>
        <v>0</v>
      </c>
      <c r="I94" s="3"/>
      <c r="J94" s="3"/>
      <c r="K94" s="108"/>
      <c r="L94" s="3"/>
      <c r="M94" s="108"/>
      <c r="N94" s="9"/>
    </row>
    <row r="95" spans="1:14" ht="13.95" customHeight="1">
      <c r="A95" s="1"/>
      <c r="B95" s="1"/>
      <c r="C95" s="33"/>
      <c r="D95" s="1"/>
      <c r="E95" s="3"/>
      <c r="F95" s="4"/>
      <c r="G95" s="5"/>
      <c r="I95" s="3"/>
      <c r="J95" s="3"/>
      <c r="K95" s="108"/>
      <c r="L95" s="3"/>
      <c r="M95" s="108"/>
      <c r="N95" s="9"/>
    </row>
    <row r="96" spans="1:14" ht="20.100000000000001" customHeight="1">
      <c r="A96" s="149" t="s">
        <v>66</v>
      </c>
      <c r="B96" s="150"/>
      <c r="C96" s="150"/>
      <c r="D96" s="150"/>
      <c r="E96" s="150"/>
      <c r="F96" s="151"/>
      <c r="G96" s="116">
        <f>SUM(G52:G95)</f>
        <v>1139590</v>
      </c>
      <c r="I96" s="9"/>
      <c r="J96" s="9"/>
      <c r="K96" s="108"/>
      <c r="L96" s="9"/>
      <c r="M96" s="108"/>
      <c r="N96" s="9"/>
    </row>
    <row r="97" spans="1:14" ht="13.95" customHeight="1">
      <c r="A97" s="39"/>
      <c r="B97" s="39"/>
      <c r="C97" s="39"/>
      <c r="D97" s="39"/>
      <c r="E97" s="39"/>
      <c r="F97" s="39"/>
      <c r="G97" s="113"/>
      <c r="I97" s="9"/>
      <c r="J97" s="9"/>
      <c r="K97" s="108"/>
      <c r="L97" s="9"/>
      <c r="M97" s="108"/>
      <c r="N97" s="9"/>
    </row>
    <row r="98" spans="1:14" ht="13.95" customHeight="1">
      <c r="A98" s="39"/>
      <c r="B98" s="39"/>
      <c r="C98" s="39"/>
      <c r="D98" s="39"/>
      <c r="E98" s="39"/>
      <c r="F98" s="39"/>
      <c r="G98" s="113"/>
      <c r="I98" s="9"/>
      <c r="J98" s="9"/>
      <c r="K98" s="108"/>
      <c r="L98" s="9"/>
      <c r="M98" s="108"/>
      <c r="N98" s="9"/>
    </row>
    <row r="99" spans="1:14" ht="22.2" customHeight="1">
      <c r="A99" s="44" t="s">
        <v>8</v>
      </c>
      <c r="B99" s="48" t="s">
        <v>9</v>
      </c>
      <c r="C99" s="44" t="s">
        <v>10</v>
      </c>
      <c r="D99" s="48" t="s">
        <v>11</v>
      </c>
      <c r="E99" s="48" t="s">
        <v>59</v>
      </c>
      <c r="F99" s="49" t="s">
        <v>12</v>
      </c>
      <c r="G99" s="111" t="s">
        <v>13</v>
      </c>
      <c r="I99" s="9"/>
      <c r="J99" s="9"/>
      <c r="K99" s="108"/>
      <c r="L99" s="9"/>
      <c r="M99" s="108"/>
      <c r="N99" s="9"/>
    </row>
    <row r="100" spans="1:14" ht="20.100000000000001" customHeight="1">
      <c r="A100" s="149" t="s">
        <v>67</v>
      </c>
      <c r="B100" s="150"/>
      <c r="C100" s="150"/>
      <c r="D100" s="150"/>
      <c r="E100" s="150"/>
      <c r="F100" s="151"/>
      <c r="G100" s="116">
        <f>+G96</f>
        <v>1139590</v>
      </c>
      <c r="I100" s="9"/>
      <c r="J100" s="9"/>
      <c r="K100" s="108"/>
      <c r="L100" s="9"/>
      <c r="M100" s="108"/>
      <c r="N100" s="9"/>
    </row>
    <row r="101" spans="1:14" ht="13.95" customHeight="1">
      <c r="A101" s="1"/>
      <c r="B101" s="1"/>
      <c r="C101" s="33"/>
      <c r="D101" s="1"/>
      <c r="E101" s="3"/>
      <c r="F101" s="13"/>
      <c r="G101" s="5"/>
      <c r="I101" s="9"/>
      <c r="J101" s="9"/>
      <c r="K101" s="108"/>
      <c r="L101" s="9"/>
      <c r="M101" s="108"/>
      <c r="N101" s="9"/>
    </row>
    <row r="102" spans="1:14" ht="13.95" customHeight="1">
      <c r="A102" s="1"/>
      <c r="B102" s="1"/>
      <c r="C102" s="37" t="s">
        <v>248</v>
      </c>
      <c r="D102" s="1"/>
      <c r="E102" s="3"/>
      <c r="F102" s="13"/>
      <c r="G102" s="5"/>
      <c r="I102" s="3"/>
      <c r="J102" s="3"/>
      <c r="K102" s="108"/>
      <c r="L102" s="3"/>
      <c r="M102" s="108"/>
      <c r="N102" s="9"/>
    </row>
    <row r="103" spans="1:14" ht="13.95" customHeight="1">
      <c r="A103" s="1"/>
      <c r="B103" s="1"/>
      <c r="C103" s="33"/>
      <c r="D103" s="1"/>
      <c r="E103" s="3"/>
      <c r="F103" s="13"/>
      <c r="G103" s="5"/>
      <c r="I103" s="3"/>
      <c r="J103" s="3"/>
      <c r="K103" s="108"/>
      <c r="L103" s="3"/>
      <c r="M103" s="108"/>
      <c r="N103" s="9"/>
    </row>
    <row r="104" spans="1:14" ht="13.95" customHeight="1">
      <c r="A104" s="1">
        <v>18</v>
      </c>
      <c r="B104" s="1"/>
      <c r="C104" s="33" t="s">
        <v>249</v>
      </c>
      <c r="D104" s="1" t="s">
        <v>60</v>
      </c>
      <c r="E104" s="3">
        <f>SUM(I104:N104)</f>
        <v>0</v>
      </c>
      <c r="F104" s="13">
        <v>1150</v>
      </c>
      <c r="G104" s="5">
        <f t="shared" ref="G104" si="24">+E104*F104</f>
        <v>0</v>
      </c>
      <c r="I104" s="3"/>
      <c r="J104" s="3"/>
      <c r="K104" s="108"/>
      <c r="L104" s="3"/>
      <c r="M104" s="108"/>
      <c r="N104" s="9"/>
    </row>
    <row r="105" spans="1:14" ht="13.95" customHeight="1">
      <c r="A105" s="1"/>
      <c r="B105" s="1"/>
      <c r="C105" s="33"/>
      <c r="D105" s="1"/>
      <c r="E105" s="3"/>
      <c r="F105" s="13"/>
      <c r="G105" s="5"/>
      <c r="I105" s="9"/>
      <c r="J105" s="9"/>
      <c r="K105" s="108"/>
      <c r="L105" s="9"/>
      <c r="M105" s="108"/>
      <c r="N105" s="9"/>
    </row>
    <row r="106" spans="1:14" ht="13.95" customHeight="1">
      <c r="A106" s="1"/>
      <c r="B106" s="1" t="s">
        <v>89</v>
      </c>
      <c r="C106" s="32" t="s">
        <v>156</v>
      </c>
      <c r="D106" s="1"/>
      <c r="E106" s="3"/>
      <c r="F106" s="4"/>
      <c r="G106" s="5"/>
      <c r="I106" s="9"/>
      <c r="J106" s="9"/>
      <c r="K106" s="108"/>
      <c r="L106" s="9"/>
      <c r="M106" s="108"/>
      <c r="N106" s="9"/>
    </row>
    <row r="107" spans="1:14" ht="13.95" customHeight="1">
      <c r="A107" s="1"/>
      <c r="B107" s="1"/>
      <c r="C107" s="33"/>
      <c r="D107" s="1"/>
      <c r="E107" s="3"/>
      <c r="F107" s="4"/>
      <c r="G107" s="5"/>
      <c r="I107" s="9"/>
      <c r="J107" s="9"/>
      <c r="K107" s="108"/>
      <c r="L107" s="9"/>
      <c r="M107" s="108"/>
      <c r="N107" s="9"/>
    </row>
    <row r="108" spans="1:14" ht="13.95" customHeight="1">
      <c r="A108" s="1">
        <v>19</v>
      </c>
      <c r="B108" s="1"/>
      <c r="C108" s="47" t="s">
        <v>244</v>
      </c>
      <c r="D108" s="1" t="s">
        <v>1</v>
      </c>
      <c r="E108" s="3">
        <f>SUM(I108:N108)</f>
        <v>0</v>
      </c>
      <c r="F108" s="3">
        <v>135</v>
      </c>
      <c r="G108" s="5">
        <f t="shared" ref="G108" si="25">+E108*F108</f>
        <v>0</v>
      </c>
      <c r="I108" s="3"/>
      <c r="J108" s="3"/>
      <c r="K108" s="108"/>
      <c r="L108" s="3"/>
      <c r="M108" s="108"/>
      <c r="N108" s="9"/>
    </row>
    <row r="109" spans="1:14" ht="13.95" customHeight="1">
      <c r="A109" s="1"/>
      <c r="B109" s="1"/>
      <c r="C109" s="33"/>
      <c r="D109" s="1"/>
      <c r="E109" s="3"/>
      <c r="F109" s="4"/>
      <c r="G109" s="5"/>
      <c r="I109" s="3"/>
      <c r="J109" s="3"/>
      <c r="K109" s="108"/>
      <c r="L109" s="3"/>
      <c r="M109" s="108"/>
      <c r="N109" s="9"/>
    </row>
    <row r="110" spans="1:14" ht="13.95" customHeight="1">
      <c r="A110" s="1"/>
      <c r="B110" s="1" t="s">
        <v>90</v>
      </c>
      <c r="C110" s="32" t="s">
        <v>36</v>
      </c>
      <c r="D110" s="1"/>
      <c r="E110" s="3"/>
      <c r="F110" s="4"/>
      <c r="G110" s="5"/>
      <c r="I110" s="3"/>
      <c r="J110" s="3"/>
      <c r="K110" s="108"/>
      <c r="L110" s="3"/>
      <c r="M110" s="108"/>
      <c r="N110" s="9"/>
    </row>
    <row r="111" spans="1:14" ht="13.95" customHeight="1">
      <c r="A111" s="1"/>
      <c r="B111" s="1"/>
      <c r="C111" s="33"/>
      <c r="D111" s="1"/>
      <c r="E111" s="3"/>
      <c r="F111" s="4"/>
      <c r="G111" s="5"/>
      <c r="I111" s="3"/>
      <c r="J111" s="3"/>
      <c r="K111" s="108"/>
      <c r="L111" s="3"/>
      <c r="M111" s="108"/>
      <c r="N111" s="9"/>
    </row>
    <row r="112" spans="1:14" ht="24" customHeight="1">
      <c r="A112" s="1"/>
      <c r="B112" s="1"/>
      <c r="C112" s="33" t="s">
        <v>225</v>
      </c>
      <c r="D112" s="1"/>
      <c r="E112" s="3"/>
      <c r="F112" s="4"/>
      <c r="G112" s="5"/>
      <c r="I112" s="3"/>
      <c r="J112" s="3"/>
      <c r="K112" s="108"/>
      <c r="L112" s="3"/>
      <c r="M112" s="108"/>
      <c r="N112" s="9"/>
    </row>
    <row r="113" spans="1:14" ht="13.95" customHeight="1">
      <c r="A113" s="1"/>
      <c r="B113" s="1"/>
      <c r="C113" s="33"/>
      <c r="D113" s="1"/>
      <c r="E113" s="3"/>
      <c r="F113" s="4"/>
      <c r="G113" s="5"/>
      <c r="I113" s="3"/>
      <c r="J113" s="3"/>
      <c r="K113" s="108"/>
      <c r="L113" s="3"/>
      <c r="M113" s="108"/>
      <c r="N113" s="9"/>
    </row>
    <row r="114" spans="1:14" ht="13.95" customHeight="1">
      <c r="A114" s="1">
        <v>20</v>
      </c>
      <c r="B114" s="1"/>
      <c r="C114" s="33" t="s">
        <v>37</v>
      </c>
      <c r="D114" s="1" t="s">
        <v>6</v>
      </c>
      <c r="E114" s="3">
        <f>SUM(I114:N114)</f>
        <v>928</v>
      </c>
      <c r="F114" s="3">
        <v>75</v>
      </c>
      <c r="G114" s="5">
        <f t="shared" ref="G114" si="26">+E114*F114</f>
        <v>69600</v>
      </c>
      <c r="I114" s="3">
        <v>520</v>
      </c>
      <c r="J114" s="3">
        <v>408</v>
      </c>
      <c r="K114" s="108"/>
      <c r="L114" s="3"/>
      <c r="M114" s="108"/>
      <c r="N114" s="9"/>
    </row>
    <row r="115" spans="1:14" ht="13.95" customHeight="1">
      <c r="A115" s="1"/>
      <c r="B115" s="1"/>
      <c r="C115" s="33"/>
      <c r="D115" s="1"/>
      <c r="E115" s="3"/>
      <c r="F115" s="3"/>
      <c r="G115" s="5"/>
      <c r="I115" s="3"/>
      <c r="J115" s="3"/>
      <c r="K115" s="108"/>
      <c r="L115" s="3"/>
      <c r="M115" s="108"/>
      <c r="N115" s="9"/>
    </row>
    <row r="116" spans="1:14" ht="13.95" customHeight="1">
      <c r="A116" s="1"/>
      <c r="B116" s="1"/>
      <c r="C116" s="33" t="s">
        <v>226</v>
      </c>
      <c r="D116" s="1" t="s">
        <v>6</v>
      </c>
      <c r="E116" s="3">
        <f>SUM(I116:N116)</f>
        <v>0</v>
      </c>
      <c r="F116" s="3">
        <v>275</v>
      </c>
      <c r="G116" s="5">
        <f t="shared" ref="G116" si="27">+E116*F116</f>
        <v>0</v>
      </c>
      <c r="I116" s="3"/>
      <c r="J116" s="3"/>
      <c r="K116" s="108"/>
      <c r="L116" s="3"/>
      <c r="M116" s="108"/>
      <c r="N116" s="9"/>
    </row>
    <row r="117" spans="1:14" ht="13.95" customHeight="1">
      <c r="A117" s="1"/>
      <c r="B117" s="1"/>
      <c r="D117" s="1"/>
      <c r="E117" s="3"/>
      <c r="F117" s="4"/>
      <c r="G117" s="5"/>
      <c r="I117" s="3"/>
      <c r="J117" s="3"/>
      <c r="K117" s="108"/>
      <c r="L117" s="3"/>
      <c r="M117" s="108"/>
      <c r="N117" s="9"/>
    </row>
    <row r="118" spans="1:14" ht="13.95" customHeight="1">
      <c r="A118" s="1"/>
      <c r="B118" s="1"/>
      <c r="C118" s="42" t="s">
        <v>104</v>
      </c>
      <c r="D118" s="1"/>
      <c r="E118" s="3"/>
      <c r="F118" s="4"/>
      <c r="G118" s="5"/>
      <c r="I118" s="3"/>
      <c r="J118" s="3"/>
      <c r="K118" s="108"/>
      <c r="L118" s="3"/>
      <c r="M118" s="108"/>
      <c r="N118" s="9"/>
    </row>
    <row r="119" spans="1:14" ht="13.95" customHeight="1">
      <c r="A119" s="1"/>
      <c r="B119" s="1"/>
      <c r="C119" s="6"/>
      <c r="D119" s="1"/>
      <c r="E119" s="3"/>
      <c r="F119" s="4"/>
      <c r="G119" s="5"/>
      <c r="I119" s="3"/>
      <c r="J119" s="3"/>
      <c r="K119" s="108"/>
      <c r="L119" s="3"/>
      <c r="M119" s="108"/>
      <c r="N119" s="9"/>
    </row>
    <row r="120" spans="1:14" ht="13.95" customHeight="1">
      <c r="A120" s="1">
        <f>A114+1</f>
        <v>21</v>
      </c>
      <c r="B120" s="1"/>
      <c r="C120" s="6" t="s">
        <v>106</v>
      </c>
      <c r="D120" s="1" t="s">
        <v>1</v>
      </c>
      <c r="E120" s="3">
        <f>SUM(I120:AG120)</f>
        <v>1286</v>
      </c>
      <c r="F120" s="3">
        <v>36</v>
      </c>
      <c r="G120" s="5">
        <f t="shared" ref="G120" si="28">+E120*F120</f>
        <v>46296</v>
      </c>
      <c r="I120" s="3">
        <v>878</v>
      </c>
      <c r="J120" s="3">
        <v>408</v>
      </c>
      <c r="K120" s="108"/>
      <c r="L120" s="3"/>
      <c r="M120" s="108"/>
      <c r="N120" s="9"/>
    </row>
    <row r="121" spans="1:14" ht="13.95" customHeight="1">
      <c r="A121" s="1"/>
      <c r="B121" s="1"/>
      <c r="C121" s="6"/>
      <c r="D121" s="1"/>
      <c r="E121" s="3"/>
      <c r="F121" s="4"/>
      <c r="G121" s="5"/>
      <c r="I121" s="3"/>
      <c r="J121" s="3"/>
      <c r="K121" s="108"/>
      <c r="L121" s="3"/>
      <c r="M121" s="108"/>
      <c r="N121" s="9"/>
    </row>
    <row r="122" spans="1:14" ht="13.95" customHeight="1">
      <c r="A122" s="1"/>
      <c r="B122" s="2" t="s">
        <v>91</v>
      </c>
      <c r="C122" s="34" t="s">
        <v>18</v>
      </c>
      <c r="D122" s="1"/>
      <c r="E122" s="3"/>
      <c r="F122" s="4"/>
      <c r="G122" s="5"/>
      <c r="I122" s="3"/>
      <c r="J122" s="3"/>
      <c r="K122" s="108"/>
      <c r="L122" s="3"/>
      <c r="M122" s="108"/>
      <c r="N122" s="9"/>
    </row>
    <row r="123" spans="1:14" ht="13.95" customHeight="1">
      <c r="A123" s="1"/>
      <c r="B123" s="1"/>
      <c r="C123" s="33"/>
      <c r="D123" s="1"/>
      <c r="E123" s="3"/>
      <c r="F123" s="4"/>
      <c r="G123" s="5"/>
      <c r="I123" s="3"/>
      <c r="J123" s="3"/>
      <c r="K123" s="108"/>
      <c r="L123" s="3"/>
      <c r="M123" s="108"/>
      <c r="N123" s="9"/>
    </row>
    <row r="124" spans="1:14" ht="13.95" customHeight="1">
      <c r="A124" s="1"/>
      <c r="B124" s="1" t="s">
        <v>84</v>
      </c>
      <c r="C124" s="32" t="s">
        <v>19</v>
      </c>
      <c r="D124" s="1"/>
      <c r="E124" s="3"/>
      <c r="F124" s="4"/>
      <c r="G124" s="5"/>
      <c r="I124" s="3"/>
      <c r="J124" s="3"/>
      <c r="K124" s="108"/>
      <c r="L124" s="3"/>
      <c r="M124" s="108"/>
      <c r="N124" s="9"/>
    </row>
    <row r="125" spans="1:14" ht="13.95" customHeight="1">
      <c r="A125" s="1"/>
      <c r="B125" s="1"/>
      <c r="C125" s="33"/>
      <c r="D125" s="1"/>
      <c r="E125" s="3"/>
      <c r="F125" s="4"/>
      <c r="G125" s="5"/>
      <c r="I125" s="3"/>
      <c r="J125" s="3"/>
      <c r="K125" s="108"/>
      <c r="L125" s="3"/>
      <c r="M125" s="108"/>
      <c r="N125" s="9"/>
    </row>
    <row r="126" spans="1:14" ht="13.95" customHeight="1">
      <c r="A126" s="1">
        <f>A120+1</f>
        <v>22</v>
      </c>
      <c r="B126" s="1"/>
      <c r="C126" s="33" t="s">
        <v>72</v>
      </c>
      <c r="D126" s="1" t="s">
        <v>2</v>
      </c>
      <c r="E126" s="3">
        <f>SUM(I126:N126)</f>
        <v>29</v>
      </c>
      <c r="F126" s="3">
        <v>25750</v>
      </c>
      <c r="G126" s="5">
        <f t="shared" ref="G126" si="29">+E126*F126</f>
        <v>746750</v>
      </c>
      <c r="I126" s="4">
        <v>22</v>
      </c>
      <c r="J126" s="4">
        <v>7</v>
      </c>
      <c r="K126" s="108"/>
      <c r="L126" s="4"/>
      <c r="M126" s="108"/>
      <c r="N126" s="9"/>
    </row>
    <row r="127" spans="1:14" ht="13.95" customHeight="1">
      <c r="A127" s="1"/>
      <c r="B127" s="1"/>
      <c r="C127" s="33"/>
      <c r="D127" s="1"/>
      <c r="E127" s="3"/>
      <c r="F127" s="4"/>
      <c r="G127" s="5"/>
      <c r="I127" s="3"/>
      <c r="J127" s="3"/>
      <c r="K127" s="108"/>
      <c r="L127" s="3"/>
      <c r="M127" s="108"/>
      <c r="N127" s="9"/>
    </row>
    <row r="128" spans="1:14" ht="13.95" customHeight="1">
      <c r="A128" s="1"/>
      <c r="B128" s="1" t="s">
        <v>92</v>
      </c>
      <c r="C128" s="32" t="s">
        <v>3</v>
      </c>
      <c r="D128" s="1"/>
      <c r="E128" s="3"/>
      <c r="F128" s="4"/>
      <c r="G128" s="5"/>
      <c r="I128" s="3"/>
      <c r="J128" s="3"/>
      <c r="K128" s="108"/>
      <c r="L128" s="3"/>
      <c r="M128" s="108"/>
      <c r="N128" s="9"/>
    </row>
    <row r="129" spans="1:14" ht="13.95" customHeight="1">
      <c r="A129" s="1"/>
      <c r="B129" s="1"/>
      <c r="C129" s="33"/>
      <c r="D129" s="1"/>
      <c r="E129" s="3"/>
      <c r="F129" s="4"/>
      <c r="G129" s="5"/>
      <c r="I129" s="3"/>
      <c r="J129" s="3"/>
      <c r="K129" s="108"/>
      <c r="L129" s="3"/>
      <c r="M129" s="108"/>
      <c r="N129" s="9"/>
    </row>
    <row r="130" spans="1:14" ht="13.95" customHeight="1">
      <c r="A130" s="1">
        <f>A126+1</f>
        <v>23</v>
      </c>
      <c r="B130" s="1"/>
      <c r="C130" s="33" t="s">
        <v>73</v>
      </c>
      <c r="D130" s="1" t="s">
        <v>60</v>
      </c>
      <c r="E130" s="3">
        <f>SUM(I130:N130)</f>
        <v>0</v>
      </c>
      <c r="F130" s="13">
        <v>345</v>
      </c>
      <c r="G130" s="5">
        <f t="shared" ref="G130" si="30">+E130*F130</f>
        <v>0</v>
      </c>
      <c r="I130" s="3"/>
      <c r="J130" s="3"/>
      <c r="K130" s="108"/>
      <c r="L130" s="3"/>
      <c r="M130" s="108"/>
      <c r="N130" s="9"/>
    </row>
    <row r="131" spans="1:14" ht="13.95" customHeight="1">
      <c r="A131" s="1"/>
      <c r="B131" s="1"/>
      <c r="C131" s="33"/>
      <c r="D131" s="1"/>
      <c r="E131" s="3"/>
      <c r="F131" s="4"/>
      <c r="G131" s="5"/>
      <c r="I131" s="3"/>
      <c r="J131" s="3"/>
      <c r="K131" s="108"/>
      <c r="L131" s="3"/>
      <c r="M131" s="108"/>
      <c r="N131" s="9"/>
    </row>
    <row r="132" spans="1:14" ht="13.95" customHeight="1">
      <c r="A132" s="1"/>
      <c r="B132" s="36" t="s">
        <v>93</v>
      </c>
      <c r="C132" s="34" t="s">
        <v>4</v>
      </c>
      <c r="D132" s="1"/>
      <c r="E132" s="3"/>
      <c r="F132" s="4"/>
      <c r="G132" s="5"/>
      <c r="I132" s="3"/>
      <c r="J132" s="3"/>
      <c r="K132" s="108"/>
      <c r="L132" s="3"/>
      <c r="M132" s="108"/>
      <c r="N132" s="9"/>
    </row>
    <row r="133" spans="1:14" ht="13.95" customHeight="1">
      <c r="A133" s="1"/>
      <c r="C133" s="33"/>
      <c r="D133" s="1"/>
      <c r="E133" s="3"/>
      <c r="F133" s="4"/>
      <c r="G133" s="5"/>
      <c r="I133" s="3"/>
      <c r="J133" s="3"/>
      <c r="K133" s="108"/>
      <c r="L133" s="3"/>
      <c r="M133" s="108"/>
      <c r="N133" s="9"/>
    </row>
    <row r="134" spans="1:14" ht="13.95" customHeight="1">
      <c r="A134" s="1"/>
      <c r="B134" s="20" t="s">
        <v>94</v>
      </c>
      <c r="C134" s="32" t="s">
        <v>5</v>
      </c>
      <c r="D134" s="1"/>
      <c r="E134" s="3"/>
      <c r="F134" s="4"/>
      <c r="G134" s="5"/>
      <c r="I134" s="3"/>
      <c r="J134" s="3"/>
      <c r="K134" s="108"/>
      <c r="L134" s="3"/>
      <c r="M134" s="108"/>
      <c r="N134" s="9"/>
    </row>
    <row r="135" spans="1:14" ht="13.95" customHeight="1">
      <c r="A135" s="1"/>
      <c r="C135" s="33"/>
      <c r="D135" s="1"/>
      <c r="E135" s="3"/>
      <c r="F135" s="4"/>
      <c r="G135" s="5"/>
      <c r="I135" s="3"/>
      <c r="J135" s="3"/>
      <c r="K135" s="108"/>
      <c r="L135" s="3"/>
      <c r="M135" s="108"/>
      <c r="N135" s="9"/>
    </row>
    <row r="136" spans="1:14" ht="13.95" customHeight="1">
      <c r="A136" s="1"/>
      <c r="C136" s="33" t="s">
        <v>74</v>
      </c>
      <c r="D136" s="1"/>
      <c r="E136" s="3"/>
      <c r="F136" s="4"/>
      <c r="G136" s="5"/>
      <c r="I136" s="3"/>
      <c r="J136" s="3"/>
      <c r="K136" s="108"/>
      <c r="L136" s="3"/>
      <c r="M136" s="108"/>
      <c r="N136" s="9"/>
    </row>
    <row r="137" spans="1:14" ht="13.95" customHeight="1">
      <c r="A137" s="1"/>
      <c r="C137" s="33"/>
      <c r="D137" s="1"/>
      <c r="E137" s="3"/>
      <c r="F137" s="4"/>
      <c r="G137" s="5"/>
      <c r="I137" s="3"/>
      <c r="J137" s="3"/>
      <c r="K137" s="108"/>
      <c r="L137" s="3"/>
      <c r="M137" s="108"/>
      <c r="N137" s="9"/>
    </row>
    <row r="138" spans="1:14" ht="13.95" customHeight="1">
      <c r="A138" s="1">
        <f>A130+1</f>
        <v>24</v>
      </c>
      <c r="C138" s="33" t="s">
        <v>24</v>
      </c>
      <c r="D138" s="1" t="s">
        <v>60</v>
      </c>
      <c r="E138" s="3">
        <f>SUM(I138:N138)</f>
        <v>1024</v>
      </c>
      <c r="F138" s="3">
        <v>175</v>
      </c>
      <c r="G138" s="5">
        <f t="shared" ref="G138" si="31">+E138*F138</f>
        <v>179200</v>
      </c>
      <c r="I138" s="3">
        <v>733</v>
      </c>
      <c r="J138" s="3">
        <v>291</v>
      </c>
      <c r="K138" s="108"/>
      <c r="L138" s="3"/>
      <c r="M138" s="108"/>
      <c r="N138" s="9"/>
    </row>
    <row r="139" spans="1:14" ht="13.95" customHeight="1">
      <c r="A139" s="1"/>
      <c r="C139" s="33"/>
      <c r="D139" s="1"/>
      <c r="E139" s="3"/>
      <c r="F139" s="3"/>
      <c r="G139" s="5"/>
      <c r="I139" s="3"/>
      <c r="J139" s="3"/>
      <c r="K139" s="108"/>
      <c r="L139" s="3"/>
      <c r="M139" s="108"/>
      <c r="N139" s="9"/>
    </row>
    <row r="140" spans="1:14" ht="13.95" customHeight="1">
      <c r="A140" s="1"/>
      <c r="C140" s="33"/>
      <c r="D140" s="1"/>
      <c r="E140" s="3"/>
      <c r="F140" s="3"/>
      <c r="G140" s="5"/>
      <c r="I140" s="3"/>
      <c r="J140" s="3"/>
      <c r="K140" s="108"/>
      <c r="L140" s="3"/>
      <c r="M140" s="108"/>
      <c r="N140" s="9"/>
    </row>
    <row r="141" spans="1:14" ht="13.95" customHeight="1">
      <c r="A141" s="1"/>
      <c r="C141" s="33"/>
      <c r="D141" s="1"/>
      <c r="E141" s="3"/>
      <c r="F141" s="3"/>
      <c r="G141" s="5"/>
      <c r="I141" s="3"/>
      <c r="J141" s="3"/>
      <c r="K141" s="108"/>
      <c r="L141" s="3"/>
      <c r="M141" s="108"/>
      <c r="N141" s="9"/>
    </row>
    <row r="142" spans="1:14" ht="13.95" customHeight="1">
      <c r="A142" s="1"/>
      <c r="C142" s="33"/>
      <c r="D142" s="1"/>
      <c r="E142" s="3"/>
      <c r="F142" s="3"/>
      <c r="G142" s="5"/>
      <c r="I142" s="3"/>
      <c r="J142" s="3"/>
      <c r="K142" s="108"/>
      <c r="L142" s="3"/>
      <c r="M142" s="108"/>
      <c r="N142" s="9"/>
    </row>
    <row r="143" spans="1:14" ht="13.95" customHeight="1">
      <c r="A143" s="1"/>
      <c r="C143" s="33"/>
      <c r="D143" s="1"/>
      <c r="E143" s="3"/>
      <c r="F143" s="3"/>
      <c r="G143" s="5"/>
      <c r="I143" s="3"/>
      <c r="J143" s="3"/>
      <c r="K143" s="108"/>
      <c r="L143" s="3"/>
      <c r="M143" s="108"/>
      <c r="N143" s="9"/>
    </row>
    <row r="144" spans="1:14" ht="13.95" customHeight="1">
      <c r="A144" s="1"/>
      <c r="C144" s="33"/>
      <c r="D144" s="1"/>
      <c r="E144" s="3"/>
      <c r="F144" s="3"/>
      <c r="G144" s="5"/>
      <c r="I144" s="3"/>
      <c r="J144" s="3"/>
      <c r="K144" s="108"/>
      <c r="L144" s="3"/>
      <c r="M144" s="108"/>
      <c r="N144" s="9"/>
    </row>
    <row r="145" spans="1:14" ht="13.95" customHeight="1">
      <c r="A145" s="1"/>
      <c r="B145" s="1"/>
      <c r="C145" s="33"/>
      <c r="D145" s="1"/>
      <c r="E145" s="3"/>
      <c r="F145" s="4"/>
      <c r="G145" s="5"/>
      <c r="I145" s="3"/>
      <c r="J145" s="3"/>
      <c r="K145" s="108"/>
      <c r="L145" s="3"/>
      <c r="M145" s="108"/>
      <c r="N145" s="9"/>
    </row>
    <row r="146" spans="1:14" ht="13.95" customHeight="1">
      <c r="A146" s="1"/>
      <c r="B146" s="1"/>
      <c r="C146" s="33"/>
      <c r="D146" s="1"/>
      <c r="E146" s="3"/>
      <c r="F146" s="4"/>
      <c r="G146" s="5"/>
      <c r="I146" s="3"/>
      <c r="J146" s="3"/>
      <c r="K146" s="108"/>
      <c r="L146" s="3"/>
      <c r="M146" s="108"/>
      <c r="N146" s="9"/>
    </row>
    <row r="147" spans="1:14" ht="13.95" customHeight="1">
      <c r="A147" s="1"/>
      <c r="B147" s="1"/>
      <c r="C147" s="33"/>
      <c r="D147" s="1"/>
      <c r="E147" s="3"/>
      <c r="F147" s="4"/>
      <c r="G147" s="5"/>
      <c r="I147" s="3"/>
      <c r="J147" s="3"/>
      <c r="K147" s="108"/>
      <c r="L147" s="3"/>
      <c r="M147" s="108"/>
      <c r="N147" s="9"/>
    </row>
    <row r="148" spans="1:14" ht="20.100000000000001" customHeight="1">
      <c r="A148" s="149" t="s">
        <v>66</v>
      </c>
      <c r="B148" s="150"/>
      <c r="C148" s="150"/>
      <c r="D148" s="150"/>
      <c r="E148" s="150"/>
      <c r="F148" s="151"/>
      <c r="G148" s="116">
        <f>SUM(G100:G147)</f>
        <v>2181436</v>
      </c>
      <c r="I148" s="9"/>
      <c r="J148" s="9"/>
      <c r="K148" s="108"/>
      <c r="L148" s="9"/>
      <c r="M148" s="108"/>
      <c r="N148" s="9"/>
    </row>
    <row r="149" spans="1:14" ht="13.95" customHeight="1">
      <c r="A149" s="39"/>
      <c r="B149" s="39"/>
      <c r="C149" s="39"/>
      <c r="D149" s="39"/>
      <c r="E149" s="39"/>
      <c r="F149" s="39"/>
      <c r="G149" s="113"/>
      <c r="I149" s="9"/>
      <c r="J149" s="9"/>
      <c r="K149" s="108"/>
      <c r="L149" s="9"/>
      <c r="M149" s="108"/>
      <c r="N149" s="9"/>
    </row>
    <row r="150" spans="1:14" ht="13.95" customHeight="1">
      <c r="A150" s="39"/>
      <c r="B150" s="39"/>
      <c r="C150" s="39"/>
      <c r="D150" s="39"/>
      <c r="E150" s="39"/>
      <c r="F150" s="39"/>
      <c r="G150" s="113"/>
      <c r="I150" s="9"/>
      <c r="J150" s="9"/>
      <c r="K150" s="108"/>
      <c r="L150" s="9"/>
      <c r="M150" s="108"/>
      <c r="N150" s="9"/>
    </row>
    <row r="151" spans="1:14" ht="22.2" customHeight="1">
      <c r="A151" s="44" t="s">
        <v>8</v>
      </c>
      <c r="B151" s="48" t="s">
        <v>9</v>
      </c>
      <c r="C151" s="44" t="s">
        <v>10</v>
      </c>
      <c r="D151" s="48" t="s">
        <v>11</v>
      </c>
      <c r="E151" s="48" t="s">
        <v>59</v>
      </c>
      <c r="F151" s="49" t="s">
        <v>12</v>
      </c>
      <c r="G151" s="111" t="s">
        <v>13</v>
      </c>
      <c r="I151" s="9"/>
      <c r="J151" s="9"/>
      <c r="K151" s="108"/>
      <c r="L151" s="9"/>
      <c r="M151" s="108"/>
      <c r="N151" s="9"/>
    </row>
    <row r="152" spans="1:14" ht="20.100000000000001" customHeight="1">
      <c r="A152" s="149" t="s">
        <v>67</v>
      </c>
      <c r="B152" s="150"/>
      <c r="C152" s="150"/>
      <c r="D152" s="150"/>
      <c r="E152" s="150"/>
      <c r="F152" s="151"/>
      <c r="G152" s="116">
        <f>+G148</f>
        <v>2181436</v>
      </c>
      <c r="I152" s="9"/>
      <c r="J152" s="9"/>
      <c r="K152" s="108"/>
      <c r="L152" s="9"/>
      <c r="M152" s="108"/>
      <c r="N152" s="9"/>
    </row>
    <row r="153" spans="1:14" ht="13.95" customHeight="1">
      <c r="A153" s="1"/>
      <c r="B153" s="1"/>
      <c r="C153" s="33"/>
      <c r="D153" s="1"/>
      <c r="E153" s="3"/>
      <c r="F153" s="4"/>
      <c r="G153" s="5"/>
      <c r="I153" s="3"/>
      <c r="J153" s="3"/>
      <c r="K153" s="108"/>
      <c r="L153" s="3"/>
      <c r="M153" s="108"/>
      <c r="N153" s="9"/>
    </row>
    <row r="154" spans="1:14" ht="13.95" customHeight="1">
      <c r="A154" s="1"/>
      <c r="B154" s="1"/>
      <c r="C154" s="32" t="s">
        <v>158</v>
      </c>
      <c r="D154" s="1"/>
      <c r="E154" s="3"/>
      <c r="F154" s="4"/>
      <c r="G154" s="5"/>
      <c r="I154" s="3"/>
      <c r="J154" s="3"/>
      <c r="K154" s="108"/>
      <c r="L154" s="3"/>
      <c r="M154" s="108"/>
      <c r="N154" s="9"/>
    </row>
    <row r="155" spans="1:14" ht="13.95" customHeight="1">
      <c r="A155" s="1"/>
      <c r="B155" s="1"/>
      <c r="C155" s="33"/>
      <c r="D155" s="1"/>
      <c r="E155" s="3"/>
      <c r="F155" s="4"/>
      <c r="G155" s="5"/>
      <c r="I155" s="3"/>
      <c r="J155" s="3"/>
      <c r="K155" s="108"/>
      <c r="L155" s="3"/>
      <c r="M155" s="108"/>
      <c r="N155" s="9"/>
    </row>
    <row r="156" spans="1:14" ht="13.95" customHeight="1">
      <c r="A156" s="1">
        <f>A138+1</f>
        <v>25</v>
      </c>
      <c r="B156" s="1"/>
      <c r="C156" s="33" t="s">
        <v>202</v>
      </c>
      <c r="D156" s="1" t="s">
        <v>51</v>
      </c>
      <c r="E156" s="3">
        <f>SUM(I156:N156)</f>
        <v>21</v>
      </c>
      <c r="F156" s="3">
        <v>3550</v>
      </c>
      <c r="G156" s="5">
        <f t="shared" ref="G156" si="32">+E156*F156</f>
        <v>74550</v>
      </c>
      <c r="I156" s="3">
        <v>12</v>
      </c>
      <c r="J156" s="3">
        <v>9</v>
      </c>
      <c r="K156" s="108"/>
      <c r="L156" s="3"/>
      <c r="M156" s="108"/>
      <c r="N156" s="9"/>
    </row>
    <row r="157" spans="1:14" ht="13.95" customHeight="1">
      <c r="A157" s="1"/>
      <c r="B157" s="1"/>
      <c r="C157" s="33"/>
      <c r="D157" s="1"/>
      <c r="E157" s="3"/>
      <c r="F157" s="3"/>
      <c r="G157" s="5"/>
      <c r="I157" s="3"/>
      <c r="J157" s="3"/>
      <c r="K157" s="108"/>
      <c r="L157" s="3"/>
      <c r="M157" s="108"/>
      <c r="N157" s="9"/>
    </row>
    <row r="158" spans="1:14" ht="13.95" customHeight="1">
      <c r="A158" s="1">
        <f>A156+1</f>
        <v>26</v>
      </c>
      <c r="B158" s="1"/>
      <c r="C158" s="33" t="s">
        <v>28</v>
      </c>
      <c r="D158" s="1" t="s">
        <v>51</v>
      </c>
      <c r="E158" s="3">
        <f>SUM(I158:N158)</f>
        <v>250</v>
      </c>
      <c r="F158" s="3">
        <v>3200</v>
      </c>
      <c r="G158" s="5">
        <f t="shared" ref="G158" si="33">+E158*F158</f>
        <v>800000</v>
      </c>
      <c r="I158" s="3">
        <v>191</v>
      </c>
      <c r="J158" s="3">
        <v>59</v>
      </c>
      <c r="K158" s="108"/>
      <c r="L158" s="3"/>
      <c r="M158" s="108"/>
      <c r="N158" s="9"/>
    </row>
    <row r="159" spans="1:14" ht="13.95" customHeight="1">
      <c r="A159" s="1"/>
      <c r="B159" s="1"/>
      <c r="C159" s="33"/>
      <c r="D159" s="1"/>
      <c r="E159" s="3"/>
      <c r="F159" s="3"/>
      <c r="G159" s="5"/>
      <c r="I159" s="3"/>
      <c r="J159" s="3"/>
      <c r="K159" s="108"/>
      <c r="L159" s="3"/>
      <c r="M159" s="108"/>
      <c r="N159" s="9"/>
    </row>
    <row r="160" spans="1:14" ht="13.95" customHeight="1">
      <c r="A160" s="1">
        <v>25</v>
      </c>
      <c r="B160" s="1"/>
      <c r="C160" s="33" t="s">
        <v>62</v>
      </c>
      <c r="D160" s="1" t="s">
        <v>51</v>
      </c>
      <c r="E160" s="3">
        <f>SUM(I160:N160)</f>
        <v>0</v>
      </c>
      <c r="F160" s="3">
        <v>3350</v>
      </c>
      <c r="G160" s="5">
        <f t="shared" ref="G160" si="34">+E160*F160</f>
        <v>0</v>
      </c>
      <c r="I160" s="3"/>
      <c r="J160" s="3"/>
      <c r="K160" s="108"/>
      <c r="L160" s="3"/>
      <c r="M160" s="108"/>
      <c r="N160" s="9"/>
    </row>
    <row r="161" spans="1:14" ht="13.95" customHeight="1">
      <c r="A161" s="1"/>
      <c r="B161" s="1"/>
      <c r="C161" s="33"/>
      <c r="D161" s="1"/>
      <c r="E161" s="3"/>
      <c r="F161" s="3"/>
      <c r="G161" s="5"/>
      <c r="I161" s="3"/>
      <c r="J161" s="3"/>
      <c r="K161" s="108"/>
      <c r="L161" s="3"/>
      <c r="M161" s="108"/>
      <c r="N161" s="9"/>
    </row>
    <row r="162" spans="1:14" ht="13.95" customHeight="1">
      <c r="A162" s="1">
        <v>26</v>
      </c>
      <c r="B162" s="1"/>
      <c r="C162" s="33" t="s">
        <v>27</v>
      </c>
      <c r="D162" s="1" t="s">
        <v>51</v>
      </c>
      <c r="E162" s="3">
        <f>SUM(I162:N162)</f>
        <v>0</v>
      </c>
      <c r="F162" s="3">
        <v>3200</v>
      </c>
      <c r="G162" s="5">
        <f t="shared" ref="G162" si="35">+E162*F162</f>
        <v>0</v>
      </c>
      <c r="I162" s="3"/>
      <c r="J162" s="3"/>
      <c r="K162" s="108"/>
      <c r="L162" s="3"/>
      <c r="M162" s="108"/>
      <c r="N162" s="9"/>
    </row>
    <row r="163" spans="1:14" ht="13.95" customHeight="1">
      <c r="A163" s="1"/>
      <c r="B163" s="1"/>
      <c r="C163" s="33"/>
      <c r="D163" s="1"/>
      <c r="E163" s="3"/>
      <c r="F163" s="3"/>
      <c r="G163" s="5"/>
      <c r="I163" s="3"/>
      <c r="J163" s="3"/>
      <c r="K163" s="108"/>
      <c r="L163" s="3"/>
      <c r="M163" s="108"/>
      <c r="N163" s="9"/>
    </row>
    <row r="164" spans="1:14" ht="13.95" customHeight="1">
      <c r="A164" s="1">
        <f>A162+1</f>
        <v>27</v>
      </c>
      <c r="B164" s="1"/>
      <c r="C164" s="33" t="s">
        <v>250</v>
      </c>
      <c r="D164" s="1" t="s">
        <v>51</v>
      </c>
      <c r="E164" s="3">
        <f>SUM(I164:N164)</f>
        <v>0</v>
      </c>
      <c r="F164" s="3">
        <v>3650</v>
      </c>
      <c r="G164" s="5">
        <f t="shared" ref="G164" si="36">+E164*F164</f>
        <v>0</v>
      </c>
      <c r="I164" s="3"/>
      <c r="J164" s="3"/>
      <c r="K164" s="108"/>
      <c r="L164" s="3"/>
      <c r="M164" s="108"/>
      <c r="N164" s="9"/>
    </row>
    <row r="165" spans="1:14" ht="13.95" customHeight="1">
      <c r="A165" s="1"/>
      <c r="B165" s="1"/>
      <c r="C165" s="33"/>
      <c r="D165" s="1"/>
      <c r="E165" s="3"/>
      <c r="F165" s="4"/>
      <c r="G165" s="5"/>
      <c r="I165" s="3"/>
      <c r="J165" s="3"/>
      <c r="K165" s="108"/>
      <c r="L165" s="3"/>
      <c r="M165" s="108"/>
      <c r="N165" s="9"/>
    </row>
    <row r="166" spans="1:14" ht="13.95" customHeight="1">
      <c r="A166" s="1"/>
      <c r="B166" s="1" t="s">
        <v>96</v>
      </c>
      <c r="C166" s="32" t="s">
        <v>159</v>
      </c>
      <c r="D166" s="1"/>
      <c r="E166" s="3"/>
      <c r="F166" s="4"/>
      <c r="G166" s="5"/>
      <c r="I166" s="9"/>
      <c r="J166" s="9"/>
      <c r="K166" s="108"/>
      <c r="L166" s="9"/>
      <c r="M166" s="108"/>
      <c r="N166" s="9"/>
    </row>
    <row r="167" spans="1:14" ht="13.95" customHeight="1">
      <c r="A167" s="1"/>
      <c r="B167" s="1"/>
      <c r="C167" s="33"/>
      <c r="D167" s="1"/>
      <c r="E167" s="3"/>
      <c r="F167" s="4"/>
      <c r="G167" s="5"/>
      <c r="I167" s="9"/>
      <c r="J167" s="9"/>
      <c r="K167" s="108"/>
      <c r="L167" s="9"/>
      <c r="M167" s="108"/>
      <c r="N167" s="9"/>
    </row>
    <row r="168" spans="1:14" ht="13.95" customHeight="1">
      <c r="A168" s="1"/>
      <c r="B168" s="1"/>
      <c r="C168" s="33" t="s">
        <v>160</v>
      </c>
      <c r="D168" s="1"/>
      <c r="E168" s="3"/>
      <c r="F168" s="4"/>
      <c r="G168" s="5"/>
      <c r="I168" s="9"/>
      <c r="J168" s="9"/>
      <c r="K168" s="108"/>
      <c r="L168" s="9"/>
      <c r="M168" s="108"/>
      <c r="N168" s="9"/>
    </row>
    <row r="169" spans="1:14" ht="13.95" customHeight="1">
      <c r="A169" s="1"/>
      <c r="B169" s="1"/>
      <c r="C169" s="33"/>
      <c r="D169" s="1"/>
      <c r="E169" s="3"/>
      <c r="F169" s="4"/>
      <c r="G169" s="5"/>
      <c r="I169" s="9"/>
      <c r="J169" s="9"/>
      <c r="K169" s="108"/>
      <c r="L169" s="9"/>
      <c r="M169" s="108"/>
      <c r="N169" s="9"/>
    </row>
    <row r="170" spans="1:14" ht="13.95" customHeight="1">
      <c r="A170" s="1">
        <f>A164+1</f>
        <v>28</v>
      </c>
      <c r="B170" s="1"/>
      <c r="C170" s="33" t="s">
        <v>28</v>
      </c>
      <c r="D170" s="1" t="s">
        <v>60</v>
      </c>
      <c r="E170" s="3">
        <f>SUM(I170:N170)</f>
        <v>0</v>
      </c>
      <c r="F170" s="3">
        <v>46</v>
      </c>
      <c r="G170" s="5">
        <f t="shared" ref="G170" si="37">+E170*F170</f>
        <v>0</v>
      </c>
      <c r="I170" s="3"/>
      <c r="J170" s="3"/>
      <c r="K170" s="108"/>
      <c r="L170" s="3"/>
      <c r="M170" s="108"/>
      <c r="N170" s="9"/>
    </row>
    <row r="171" spans="1:14" ht="13.95" customHeight="1">
      <c r="A171" s="1"/>
      <c r="B171" s="1"/>
      <c r="C171" s="33"/>
      <c r="D171" s="1"/>
      <c r="E171" s="3"/>
      <c r="F171" s="3"/>
      <c r="G171" s="5"/>
      <c r="I171" s="3"/>
      <c r="J171" s="3"/>
      <c r="K171" s="108"/>
      <c r="L171" s="3"/>
      <c r="M171" s="108"/>
      <c r="N171" s="9"/>
    </row>
    <row r="172" spans="1:14" ht="13.95" customHeight="1">
      <c r="A172" s="1"/>
      <c r="B172" s="1"/>
      <c r="C172" s="33" t="s">
        <v>196</v>
      </c>
      <c r="D172" s="1"/>
      <c r="E172" s="3"/>
      <c r="F172" s="3"/>
      <c r="G172" s="5"/>
      <c r="I172" s="3"/>
      <c r="J172" s="3"/>
      <c r="K172" s="108"/>
      <c r="L172" s="3"/>
      <c r="M172" s="108"/>
      <c r="N172" s="9"/>
    </row>
    <row r="173" spans="1:14" ht="13.95" customHeight="1">
      <c r="A173" s="1"/>
      <c r="B173" s="1"/>
      <c r="C173" s="33"/>
      <c r="D173" s="1"/>
      <c r="E173" s="3"/>
      <c r="F173" s="3"/>
      <c r="G173" s="5"/>
      <c r="I173" s="3"/>
      <c r="J173" s="3"/>
      <c r="K173" s="108"/>
      <c r="L173" s="3"/>
      <c r="M173" s="108"/>
      <c r="N173" s="9"/>
    </row>
    <row r="174" spans="1:14" ht="13.95" customHeight="1">
      <c r="A174" s="1">
        <f>A170+1</f>
        <v>29</v>
      </c>
      <c r="B174" s="1"/>
      <c r="C174" s="33" t="s">
        <v>29</v>
      </c>
      <c r="D174" s="1" t="s">
        <v>60</v>
      </c>
      <c r="E174" s="3">
        <f>SUM(I174:N174)</f>
        <v>595</v>
      </c>
      <c r="F174" s="3">
        <v>75</v>
      </c>
      <c r="G174" s="5">
        <f t="shared" ref="G174" si="38">+E174*F174</f>
        <v>44625</v>
      </c>
      <c r="I174" s="3">
        <v>478</v>
      </c>
      <c r="J174" s="3">
        <v>117</v>
      </c>
      <c r="K174" s="108"/>
      <c r="L174" s="3"/>
      <c r="M174" s="108"/>
      <c r="N174" s="9"/>
    </row>
    <row r="175" spans="1:14" ht="13.95" customHeight="1">
      <c r="A175" s="1"/>
      <c r="B175" s="1"/>
      <c r="C175" s="33"/>
      <c r="D175" s="1"/>
      <c r="E175" s="3"/>
      <c r="F175" s="4"/>
      <c r="G175" s="5"/>
      <c r="I175" s="3"/>
      <c r="J175" s="3"/>
      <c r="K175" s="108"/>
      <c r="L175" s="3"/>
      <c r="M175" s="108"/>
      <c r="N175" s="9"/>
    </row>
    <row r="176" spans="1:14" ht="13.95" customHeight="1">
      <c r="A176" s="1"/>
      <c r="B176" s="1" t="s">
        <v>97</v>
      </c>
      <c r="C176" s="34" t="s">
        <v>20</v>
      </c>
      <c r="D176" s="1"/>
      <c r="E176" s="3"/>
      <c r="F176" s="4"/>
      <c r="G176" s="5"/>
      <c r="I176" s="3"/>
      <c r="J176" s="3"/>
      <c r="K176" s="108"/>
      <c r="L176" s="3"/>
      <c r="M176" s="108"/>
      <c r="N176" s="9"/>
    </row>
    <row r="177" spans="1:14" ht="13.95" customHeight="1">
      <c r="A177" s="1"/>
      <c r="B177" s="1"/>
      <c r="C177" s="34"/>
      <c r="D177" s="1"/>
      <c r="E177" s="3"/>
      <c r="F177" s="4"/>
      <c r="G177" s="5"/>
      <c r="I177" s="3"/>
      <c r="J177" s="3"/>
      <c r="K177" s="108"/>
      <c r="L177" s="3"/>
      <c r="M177" s="108"/>
      <c r="N177" s="9"/>
    </row>
    <row r="178" spans="1:14" ht="13.95" customHeight="1">
      <c r="A178" s="1"/>
      <c r="B178" s="1"/>
      <c r="C178" s="32" t="s">
        <v>213</v>
      </c>
      <c r="D178" s="1"/>
      <c r="E178" s="3"/>
      <c r="F178" s="4"/>
      <c r="G178" s="5"/>
      <c r="I178" s="3"/>
      <c r="J178" s="3"/>
      <c r="K178" s="108"/>
      <c r="L178" s="3"/>
      <c r="M178" s="108"/>
      <c r="N178" s="9"/>
    </row>
    <row r="179" spans="1:14" ht="13.95" customHeight="1">
      <c r="A179" s="1"/>
      <c r="B179" s="1"/>
      <c r="C179" s="34"/>
      <c r="D179" s="1"/>
      <c r="E179" s="3"/>
      <c r="F179" s="4"/>
      <c r="G179" s="5"/>
      <c r="I179" s="3"/>
      <c r="J179" s="3"/>
      <c r="K179" s="108"/>
      <c r="L179" s="3"/>
      <c r="M179" s="108"/>
      <c r="N179" s="9"/>
    </row>
    <row r="180" spans="1:14" ht="27" customHeight="1">
      <c r="A180" s="1">
        <f>A174+1</f>
        <v>30</v>
      </c>
      <c r="B180" s="1"/>
      <c r="C180" s="33" t="s">
        <v>237</v>
      </c>
      <c r="D180" s="1" t="s">
        <v>1</v>
      </c>
      <c r="E180" s="3">
        <f>SUM(I180:N180)</f>
        <v>0</v>
      </c>
      <c r="F180" s="3">
        <v>375</v>
      </c>
      <c r="G180" s="5">
        <f t="shared" ref="G180" si="39">+E180*F180</f>
        <v>0</v>
      </c>
      <c r="I180" s="3"/>
      <c r="J180" s="3"/>
      <c r="K180" s="108"/>
      <c r="L180" s="3"/>
      <c r="M180" s="108"/>
      <c r="N180" s="9"/>
    </row>
    <row r="181" spans="1:14" ht="13.95" customHeight="1">
      <c r="A181" s="1"/>
      <c r="B181" s="1"/>
      <c r="C181" s="33"/>
      <c r="D181" s="1"/>
      <c r="E181" s="3"/>
      <c r="F181" s="3"/>
      <c r="G181" s="5"/>
      <c r="I181" s="3"/>
      <c r="J181" s="3"/>
      <c r="K181" s="108"/>
      <c r="L181" s="3"/>
      <c r="M181" s="108"/>
      <c r="N181" s="9"/>
    </row>
    <row r="182" spans="1:14" ht="24.6" customHeight="1">
      <c r="A182" s="1">
        <f>A180+1</f>
        <v>31</v>
      </c>
      <c r="B182" s="1"/>
      <c r="C182" s="33" t="s">
        <v>285</v>
      </c>
      <c r="D182" s="1" t="s">
        <v>1</v>
      </c>
      <c r="E182" s="3">
        <f>SUM(I182:N182)</f>
        <v>0</v>
      </c>
      <c r="F182" s="3">
        <v>355</v>
      </c>
      <c r="G182" s="5">
        <f t="shared" ref="G182" si="40">+E182*F182</f>
        <v>0</v>
      </c>
      <c r="I182" s="3"/>
      <c r="J182" s="3"/>
      <c r="K182" s="108"/>
      <c r="L182" s="3"/>
      <c r="M182" s="108"/>
      <c r="N182" s="9"/>
    </row>
    <row r="183" spans="1:14" ht="13.95" customHeight="1">
      <c r="A183" s="1"/>
      <c r="B183" s="1"/>
      <c r="C183" s="33"/>
      <c r="D183" s="1"/>
      <c r="E183" s="3"/>
      <c r="F183" s="3"/>
      <c r="G183" s="5"/>
      <c r="I183" s="3"/>
      <c r="J183" s="3"/>
      <c r="K183" s="108"/>
      <c r="L183" s="3"/>
      <c r="M183" s="108"/>
      <c r="N183" s="9"/>
    </row>
    <row r="184" spans="1:14" ht="23.4" customHeight="1">
      <c r="A184" s="1">
        <f>A182+1</f>
        <v>32</v>
      </c>
      <c r="B184" s="1"/>
      <c r="C184" s="33" t="s">
        <v>243</v>
      </c>
      <c r="D184" s="1" t="s">
        <v>1</v>
      </c>
      <c r="E184" s="3">
        <f>SUM(I184:N184)</f>
        <v>0</v>
      </c>
      <c r="F184" s="3">
        <v>195</v>
      </c>
      <c r="G184" s="5">
        <f t="shared" ref="G184" si="41">+E184*F184</f>
        <v>0</v>
      </c>
      <c r="I184" s="3"/>
      <c r="J184" s="3"/>
      <c r="K184" s="108"/>
      <c r="L184" s="3"/>
      <c r="M184" s="108"/>
      <c r="N184" s="9"/>
    </row>
    <row r="185" spans="1:14" ht="13.95" customHeight="1">
      <c r="A185" s="1"/>
      <c r="B185" s="1"/>
      <c r="C185" s="33"/>
      <c r="D185" s="1"/>
      <c r="E185" s="3"/>
      <c r="F185" s="3"/>
      <c r="G185" s="5"/>
      <c r="I185" s="3"/>
      <c r="J185" s="3"/>
      <c r="K185" s="108"/>
      <c r="L185" s="3"/>
      <c r="M185" s="108"/>
      <c r="N185" s="9"/>
    </row>
    <row r="186" spans="1:14" ht="13.95" customHeight="1">
      <c r="A186" s="1"/>
      <c r="B186" s="1"/>
      <c r="C186" s="33" t="s">
        <v>239</v>
      </c>
      <c r="D186" s="1" t="s">
        <v>1</v>
      </c>
      <c r="E186" s="3">
        <f>SUM(I186:N186)</f>
        <v>0</v>
      </c>
      <c r="F186" s="3">
        <v>155</v>
      </c>
      <c r="G186" s="5">
        <f t="shared" ref="G186" si="42">+E186*F186</f>
        <v>0</v>
      </c>
      <c r="I186" s="3"/>
      <c r="J186" s="3"/>
      <c r="K186" s="108"/>
      <c r="L186" s="3"/>
      <c r="M186" s="108"/>
      <c r="N186" s="9"/>
    </row>
    <row r="187" spans="1:14" ht="13.95" customHeight="1">
      <c r="A187" s="1"/>
      <c r="B187" s="1"/>
      <c r="C187" s="33"/>
      <c r="D187" s="1"/>
      <c r="E187" s="3"/>
      <c r="F187" s="4"/>
      <c r="G187" s="5"/>
      <c r="I187" s="3"/>
      <c r="J187" s="3"/>
      <c r="K187" s="108"/>
      <c r="L187" s="3"/>
      <c r="M187" s="108"/>
      <c r="N187" s="9"/>
    </row>
    <row r="188" spans="1:14" ht="13.95" customHeight="1">
      <c r="A188" s="1"/>
      <c r="B188" s="1"/>
      <c r="C188" s="32" t="s">
        <v>198</v>
      </c>
      <c r="D188" s="1"/>
      <c r="E188" s="3"/>
      <c r="F188" s="4"/>
      <c r="G188" s="5"/>
      <c r="I188" s="3"/>
      <c r="J188" s="3"/>
      <c r="K188" s="108"/>
      <c r="L188" s="3"/>
      <c r="M188" s="108"/>
      <c r="N188" s="9"/>
    </row>
    <row r="189" spans="1:14" ht="13.95" customHeight="1">
      <c r="A189" s="1"/>
      <c r="B189" s="1"/>
      <c r="C189" s="33"/>
      <c r="D189" s="1"/>
      <c r="E189" s="3"/>
      <c r="F189" s="4"/>
      <c r="G189" s="5"/>
      <c r="I189" s="3"/>
      <c r="J189" s="3"/>
      <c r="K189" s="108"/>
      <c r="L189" s="3"/>
      <c r="M189" s="108"/>
      <c r="N189" s="9"/>
    </row>
    <row r="190" spans="1:14" ht="13.95" customHeight="1">
      <c r="A190" s="1">
        <f>A184+1</f>
        <v>33</v>
      </c>
      <c r="B190" s="1"/>
      <c r="C190" s="33" t="s">
        <v>199</v>
      </c>
      <c r="D190" s="1" t="s">
        <v>1</v>
      </c>
      <c r="E190" s="3">
        <f>SUM(I190:N190)</f>
        <v>0</v>
      </c>
      <c r="F190" s="3">
        <f>F180</f>
        <v>375</v>
      </c>
      <c r="G190" s="5">
        <f t="shared" ref="G190" si="43">+E190*F190</f>
        <v>0</v>
      </c>
      <c r="I190" s="3"/>
      <c r="J190" s="3"/>
      <c r="K190" s="108"/>
      <c r="L190" s="3"/>
      <c r="M190" s="108"/>
      <c r="N190" s="9"/>
    </row>
    <row r="191" spans="1:14" ht="13.95" customHeight="1">
      <c r="A191" s="1"/>
      <c r="B191" s="1"/>
      <c r="C191" s="33"/>
      <c r="D191" s="1"/>
      <c r="E191" s="3"/>
      <c r="F191" s="3"/>
      <c r="G191" s="5"/>
      <c r="I191" s="3"/>
      <c r="J191" s="3"/>
      <c r="K191" s="108"/>
      <c r="L191" s="3"/>
      <c r="M191" s="108"/>
      <c r="N191" s="9"/>
    </row>
    <row r="192" spans="1:14" ht="13.95" customHeight="1">
      <c r="A192" s="1">
        <f>A190+1</f>
        <v>34</v>
      </c>
      <c r="B192" s="1"/>
      <c r="C192" s="33" t="s">
        <v>200</v>
      </c>
      <c r="D192" s="1" t="s">
        <v>1</v>
      </c>
      <c r="E192" s="3">
        <f>SUM(I192:N192)</f>
        <v>0</v>
      </c>
      <c r="F192" s="3">
        <v>395</v>
      </c>
      <c r="G192" s="5">
        <f t="shared" ref="G192" si="44">+E192*F192</f>
        <v>0</v>
      </c>
      <c r="I192" s="3"/>
      <c r="J192" s="3"/>
      <c r="K192" s="108"/>
      <c r="L192" s="3"/>
      <c r="M192" s="108"/>
      <c r="N192" s="9"/>
    </row>
    <row r="193" spans="1:14" ht="13.95" customHeight="1">
      <c r="A193" s="1"/>
      <c r="B193" s="1"/>
      <c r="C193" s="33"/>
      <c r="D193" s="1"/>
      <c r="E193" s="3"/>
      <c r="F193" s="3"/>
      <c r="G193" s="5"/>
      <c r="I193" s="3"/>
      <c r="J193" s="3"/>
      <c r="K193" s="108"/>
      <c r="L193" s="3"/>
      <c r="M193" s="108"/>
      <c r="N193" s="9"/>
    </row>
    <row r="194" spans="1:14" ht="13.95" customHeight="1">
      <c r="A194" s="1">
        <f>A192+1</f>
        <v>35</v>
      </c>
      <c r="B194" s="1"/>
      <c r="C194" s="33" t="s">
        <v>214</v>
      </c>
      <c r="D194" s="1" t="s">
        <v>1</v>
      </c>
      <c r="E194" s="3">
        <f>SUM(I194:N194)</f>
        <v>0</v>
      </c>
      <c r="F194" s="3">
        <v>395</v>
      </c>
      <c r="G194" s="5">
        <f t="shared" ref="G194" si="45">+E194*F194</f>
        <v>0</v>
      </c>
      <c r="I194" s="3"/>
      <c r="J194" s="3"/>
      <c r="K194" s="108"/>
      <c r="L194" s="3"/>
      <c r="M194" s="108"/>
      <c r="N194" s="9"/>
    </row>
    <row r="195" spans="1:14" ht="13.95" customHeight="1">
      <c r="A195" s="1"/>
      <c r="B195" s="1"/>
      <c r="C195" s="33"/>
      <c r="D195" s="1"/>
      <c r="E195" s="3"/>
      <c r="F195" s="3"/>
      <c r="G195" s="5"/>
      <c r="I195" s="3"/>
      <c r="J195" s="3"/>
      <c r="K195" s="108"/>
      <c r="L195" s="3"/>
      <c r="M195" s="108"/>
      <c r="N195" s="9"/>
    </row>
    <row r="196" spans="1:14" ht="13.95" customHeight="1">
      <c r="A196" s="1"/>
      <c r="B196" s="1"/>
      <c r="C196" s="33"/>
      <c r="D196" s="1"/>
      <c r="E196" s="3"/>
      <c r="F196" s="4"/>
      <c r="G196" s="5"/>
      <c r="I196" s="3"/>
      <c r="J196" s="3"/>
      <c r="K196" s="108"/>
      <c r="L196" s="3"/>
      <c r="M196" s="108"/>
      <c r="N196" s="9"/>
    </row>
    <row r="197" spans="1:14" ht="13.95" customHeight="1">
      <c r="A197" s="1"/>
      <c r="B197" s="1"/>
      <c r="C197" s="33"/>
      <c r="D197" s="1"/>
      <c r="E197" s="3"/>
      <c r="F197" s="4"/>
      <c r="G197" s="5"/>
      <c r="I197" s="3"/>
      <c r="J197" s="3"/>
      <c r="K197" s="108"/>
      <c r="L197" s="3"/>
      <c r="M197" s="108"/>
      <c r="N197" s="9"/>
    </row>
    <row r="198" spans="1:14" ht="20.100000000000001" customHeight="1">
      <c r="A198" s="149" t="s">
        <v>66</v>
      </c>
      <c r="B198" s="150"/>
      <c r="C198" s="150"/>
      <c r="D198" s="150"/>
      <c r="E198" s="150"/>
      <c r="F198" s="151"/>
      <c r="G198" s="116">
        <f>SUM(G152:G197)</f>
        <v>3100611</v>
      </c>
      <c r="I198" s="9"/>
      <c r="J198" s="9"/>
      <c r="K198" s="108"/>
      <c r="L198" s="9"/>
      <c r="M198" s="108"/>
      <c r="N198" s="9"/>
    </row>
    <row r="199" spans="1:14" ht="13.95" customHeight="1">
      <c r="A199" s="39"/>
      <c r="B199" s="39"/>
      <c r="C199" s="39"/>
      <c r="D199" s="39"/>
      <c r="E199" s="39"/>
      <c r="F199" s="39"/>
      <c r="G199" s="113"/>
      <c r="I199" s="9"/>
      <c r="J199" s="9"/>
      <c r="K199" s="108"/>
      <c r="L199" s="9"/>
      <c r="M199" s="108"/>
      <c r="N199" s="9"/>
    </row>
    <row r="200" spans="1:14" ht="13.95" customHeight="1">
      <c r="A200" s="39"/>
      <c r="B200" s="39"/>
      <c r="C200" s="39"/>
      <c r="D200" s="39"/>
      <c r="E200" s="39"/>
      <c r="F200" s="39"/>
      <c r="G200" s="113"/>
      <c r="I200" s="9"/>
      <c r="J200" s="9"/>
      <c r="K200" s="108"/>
      <c r="L200" s="9"/>
      <c r="M200" s="108"/>
      <c r="N200" s="9"/>
    </row>
    <row r="201" spans="1:14" ht="22.2" customHeight="1">
      <c r="A201" s="44" t="s">
        <v>8</v>
      </c>
      <c r="B201" s="48" t="s">
        <v>9</v>
      </c>
      <c r="C201" s="44" t="s">
        <v>10</v>
      </c>
      <c r="D201" s="48" t="s">
        <v>11</v>
      </c>
      <c r="E201" s="48" t="s">
        <v>59</v>
      </c>
      <c r="F201" s="49" t="s">
        <v>12</v>
      </c>
      <c r="G201" s="111" t="s">
        <v>13</v>
      </c>
      <c r="I201" s="9"/>
      <c r="J201" s="9"/>
      <c r="K201" s="108"/>
      <c r="L201" s="9"/>
      <c r="M201" s="108"/>
      <c r="N201" s="9"/>
    </row>
    <row r="202" spans="1:14" ht="20.100000000000001" customHeight="1">
      <c r="A202" s="149" t="s">
        <v>67</v>
      </c>
      <c r="B202" s="150"/>
      <c r="C202" s="150"/>
      <c r="D202" s="150"/>
      <c r="E202" s="150"/>
      <c r="F202" s="151"/>
      <c r="G202" s="116">
        <f>+G198</f>
        <v>3100611</v>
      </c>
      <c r="I202" s="9"/>
      <c r="J202" s="9"/>
      <c r="K202" s="108"/>
      <c r="L202" s="9"/>
      <c r="M202" s="108"/>
      <c r="N202" s="9"/>
    </row>
    <row r="203" spans="1:14" ht="13.95" customHeight="1">
      <c r="A203" s="1"/>
      <c r="B203" s="1"/>
      <c r="C203" s="33"/>
      <c r="D203" s="1"/>
      <c r="E203" s="3"/>
      <c r="F203" s="4"/>
      <c r="G203" s="5"/>
      <c r="I203" s="3"/>
      <c r="J203" s="3"/>
      <c r="K203" s="108"/>
      <c r="L203" s="3"/>
      <c r="M203" s="108"/>
      <c r="N203" s="9"/>
    </row>
    <row r="204" spans="1:14" ht="13.95" customHeight="1">
      <c r="A204" s="9"/>
      <c r="B204" s="1" t="s">
        <v>98</v>
      </c>
      <c r="C204" s="34" t="s">
        <v>30</v>
      </c>
      <c r="D204" s="1"/>
      <c r="E204" s="3"/>
      <c r="F204" s="4"/>
      <c r="G204" s="5"/>
      <c r="I204" s="3"/>
      <c r="J204" s="3"/>
      <c r="K204" s="108"/>
      <c r="L204" s="3"/>
      <c r="M204" s="108"/>
      <c r="N204" s="9"/>
    </row>
    <row r="205" spans="1:14" ht="13.95" customHeight="1">
      <c r="A205" s="9"/>
      <c r="B205" s="1"/>
      <c r="C205" s="33"/>
      <c r="D205" s="1"/>
      <c r="E205" s="3"/>
      <c r="F205" s="4"/>
      <c r="G205" s="5"/>
      <c r="I205" s="3"/>
      <c r="J205" s="3"/>
      <c r="K205" s="108"/>
      <c r="L205" s="3"/>
      <c r="M205" s="108"/>
      <c r="N205" s="9"/>
    </row>
    <row r="206" spans="1:14" ht="13.95" customHeight="1">
      <c r="A206" s="9"/>
      <c r="B206" s="1"/>
      <c r="C206" s="33" t="s">
        <v>31</v>
      </c>
      <c r="D206" s="1"/>
      <c r="E206" s="3"/>
      <c r="F206" s="4"/>
      <c r="G206" s="5"/>
      <c r="I206" s="3"/>
      <c r="J206" s="3"/>
      <c r="K206" s="108"/>
      <c r="L206" s="3"/>
      <c r="M206" s="108"/>
      <c r="N206" s="9"/>
    </row>
    <row r="207" spans="1:14" ht="13.95" customHeight="1">
      <c r="A207" s="9"/>
      <c r="B207" s="1"/>
      <c r="C207" s="33"/>
      <c r="D207" s="1"/>
      <c r="E207" s="3"/>
      <c r="F207" s="4"/>
      <c r="G207" s="5"/>
      <c r="I207" s="3"/>
      <c r="J207" s="3"/>
      <c r="K207" s="108"/>
      <c r="L207" s="3"/>
      <c r="M207" s="108"/>
      <c r="N207" s="9"/>
    </row>
    <row r="208" spans="1:14" ht="13.95" customHeight="1">
      <c r="A208" s="9">
        <f>A194+1</f>
        <v>36</v>
      </c>
      <c r="B208" s="1"/>
      <c r="C208" s="33" t="s">
        <v>32</v>
      </c>
      <c r="D208" s="1" t="s">
        <v>51</v>
      </c>
      <c r="E208" s="3">
        <f>SUM(I208:N208)</f>
        <v>3.9</v>
      </c>
      <c r="F208" s="3">
        <v>35000</v>
      </c>
      <c r="G208" s="5">
        <f t="shared" ref="G208" si="46">+E208*F208</f>
        <v>136500</v>
      </c>
      <c r="I208" s="4">
        <v>2</v>
      </c>
      <c r="J208" s="4">
        <v>1.9</v>
      </c>
      <c r="K208" s="108"/>
      <c r="L208" s="4"/>
      <c r="M208" s="108"/>
      <c r="N208" s="9"/>
    </row>
    <row r="209" spans="1:14" ht="13.95" customHeight="1">
      <c r="A209" s="9"/>
      <c r="B209" s="1"/>
      <c r="C209" s="33"/>
      <c r="D209" s="1"/>
      <c r="E209" s="4"/>
      <c r="F209" s="3"/>
      <c r="G209" s="5"/>
      <c r="I209" s="4"/>
      <c r="J209" s="4"/>
      <c r="K209" s="108"/>
      <c r="L209" s="4"/>
      <c r="M209" s="108"/>
      <c r="N209" s="9"/>
    </row>
    <row r="210" spans="1:14" ht="13.95" customHeight="1">
      <c r="A210" s="9"/>
      <c r="B210" s="1"/>
      <c r="C210" s="37" t="s">
        <v>40</v>
      </c>
      <c r="D210" s="1"/>
      <c r="E210" s="4"/>
      <c r="F210" s="3"/>
      <c r="G210" s="5"/>
      <c r="I210" s="4"/>
      <c r="J210" s="4"/>
      <c r="K210" s="108"/>
      <c r="L210" s="4"/>
      <c r="M210" s="108"/>
      <c r="N210" s="9"/>
    </row>
    <row r="211" spans="1:14" ht="13.95" customHeight="1">
      <c r="A211" s="9"/>
      <c r="B211" s="1"/>
      <c r="C211" s="33"/>
      <c r="D211" s="1"/>
      <c r="E211" s="4"/>
      <c r="F211" s="3"/>
      <c r="G211" s="5"/>
      <c r="I211" s="4"/>
      <c r="J211" s="4"/>
      <c r="K211" s="108"/>
      <c r="L211" s="4"/>
      <c r="M211" s="108"/>
      <c r="N211" s="9"/>
    </row>
    <row r="212" spans="1:14" ht="13.95" customHeight="1">
      <c r="A212" s="9">
        <f>A208+1</f>
        <v>37</v>
      </c>
      <c r="B212" s="1"/>
      <c r="C212" s="33" t="s">
        <v>32</v>
      </c>
      <c r="D212" s="1" t="s">
        <v>51</v>
      </c>
      <c r="E212" s="3">
        <f>SUM(I212:N212)</f>
        <v>3.2</v>
      </c>
      <c r="F212" s="3">
        <f>F208</f>
        <v>35000</v>
      </c>
      <c r="G212" s="5">
        <f t="shared" ref="G212" si="47">+E212*F212</f>
        <v>112000</v>
      </c>
      <c r="I212" s="4">
        <v>2</v>
      </c>
      <c r="J212" s="4">
        <v>1.2</v>
      </c>
      <c r="K212" s="108"/>
      <c r="L212" s="4"/>
      <c r="M212" s="108"/>
      <c r="N212" s="9"/>
    </row>
    <row r="213" spans="1:14" ht="13.95" customHeight="1">
      <c r="A213" s="1"/>
      <c r="B213" s="1"/>
      <c r="C213" s="33"/>
      <c r="D213" s="1"/>
      <c r="E213" s="3"/>
      <c r="F213" s="4"/>
      <c r="G213" s="5"/>
      <c r="I213" s="3"/>
      <c r="J213" s="3"/>
      <c r="K213" s="108"/>
      <c r="L213" s="3"/>
      <c r="M213" s="108"/>
      <c r="N213" s="9"/>
    </row>
    <row r="214" spans="1:14" ht="24.6" customHeight="1">
      <c r="A214" s="9"/>
      <c r="B214" s="1" t="s">
        <v>99</v>
      </c>
      <c r="C214" s="34" t="s">
        <v>63</v>
      </c>
      <c r="D214" s="1"/>
      <c r="E214" s="3"/>
      <c r="F214" s="4"/>
      <c r="G214" s="5"/>
      <c r="I214" s="9"/>
      <c r="J214" s="9"/>
      <c r="K214" s="108"/>
      <c r="L214" s="9"/>
      <c r="M214" s="108"/>
      <c r="N214" s="9"/>
    </row>
    <row r="215" spans="1:14" ht="13.95" customHeight="1">
      <c r="A215" s="9"/>
      <c r="B215" s="1"/>
      <c r="C215" s="34"/>
      <c r="D215" s="1"/>
      <c r="E215" s="3"/>
      <c r="F215" s="4"/>
      <c r="G215" s="5"/>
      <c r="I215" s="9"/>
      <c r="J215" s="9"/>
      <c r="K215" s="108"/>
      <c r="L215" s="9"/>
      <c r="M215" s="108"/>
      <c r="N215" s="9"/>
    </row>
    <row r="216" spans="1:14" ht="22.95" customHeight="1">
      <c r="A216" s="9"/>
      <c r="B216" s="1"/>
      <c r="C216" s="34" t="s">
        <v>58</v>
      </c>
      <c r="D216" s="1"/>
      <c r="E216" s="3"/>
      <c r="F216" s="4"/>
      <c r="G216" s="5"/>
      <c r="I216" s="9"/>
      <c r="J216" s="9"/>
      <c r="K216" s="108"/>
      <c r="L216" s="9"/>
      <c r="M216" s="108"/>
      <c r="N216" s="9"/>
    </row>
    <row r="217" spans="1:14" ht="13.95" customHeight="1">
      <c r="A217" s="9"/>
      <c r="B217" s="1"/>
      <c r="C217" s="33"/>
      <c r="D217" s="1"/>
      <c r="E217" s="3"/>
      <c r="F217" s="4"/>
      <c r="G217" s="5"/>
      <c r="I217" s="9"/>
      <c r="J217" s="9"/>
      <c r="K217" s="108"/>
      <c r="L217" s="9"/>
      <c r="M217" s="108"/>
      <c r="N217" s="9"/>
    </row>
    <row r="218" spans="1:14" ht="46.2" customHeight="1">
      <c r="A218" s="9">
        <f>A212+1</f>
        <v>38</v>
      </c>
      <c r="B218" s="1"/>
      <c r="C218" s="33" t="s">
        <v>240</v>
      </c>
      <c r="D218" s="1" t="s">
        <v>6</v>
      </c>
      <c r="E218" s="3">
        <f>SUM(I218:N218)</f>
        <v>928</v>
      </c>
      <c r="F218" s="3">
        <v>275</v>
      </c>
      <c r="G218" s="5">
        <f t="shared" ref="G218" si="48">+E218*F218</f>
        <v>255200</v>
      </c>
      <c r="I218" s="9">
        <v>520</v>
      </c>
      <c r="J218" s="9">
        <v>408</v>
      </c>
      <c r="K218" s="108"/>
      <c r="L218" s="9"/>
      <c r="M218" s="108"/>
      <c r="N218" s="9"/>
    </row>
    <row r="219" spans="1:14" ht="13.95" customHeight="1">
      <c r="A219" s="9"/>
      <c r="B219" s="1"/>
      <c r="C219" s="33"/>
      <c r="D219" s="1"/>
      <c r="E219" s="3"/>
      <c r="F219" s="3"/>
      <c r="G219" s="5"/>
      <c r="I219" s="9"/>
      <c r="J219" s="9"/>
      <c r="K219" s="108"/>
      <c r="L219" s="9"/>
      <c r="M219" s="108"/>
      <c r="N219" s="9"/>
    </row>
    <row r="220" spans="1:14" ht="48" customHeight="1">
      <c r="A220" s="9">
        <f>A218+1</f>
        <v>39</v>
      </c>
      <c r="B220" s="1"/>
      <c r="C220" s="33" t="s">
        <v>227</v>
      </c>
      <c r="D220" s="1" t="s">
        <v>6</v>
      </c>
      <c r="E220" s="3">
        <f>SUM(I220:N220)</f>
        <v>0</v>
      </c>
      <c r="F220" s="3">
        <v>975</v>
      </c>
      <c r="G220" s="5">
        <f t="shared" ref="G220" si="49">+E220*F220</f>
        <v>0</v>
      </c>
      <c r="I220" s="45"/>
      <c r="J220" s="45"/>
      <c r="K220" s="108"/>
      <c r="L220" s="45"/>
      <c r="M220" s="108"/>
      <c r="N220" s="9"/>
    </row>
    <row r="221" spans="1:14" ht="12.6" customHeight="1">
      <c r="A221" s="9"/>
      <c r="B221" s="1"/>
      <c r="C221" s="33"/>
      <c r="D221" s="1"/>
      <c r="E221" s="3"/>
      <c r="F221" s="4"/>
      <c r="G221" s="5"/>
      <c r="I221" s="9"/>
      <c r="J221" s="9"/>
      <c r="K221" s="108"/>
      <c r="L221" s="9"/>
      <c r="M221" s="108"/>
      <c r="N221" s="9"/>
    </row>
    <row r="222" spans="1:14" ht="13.95" customHeight="1">
      <c r="A222" s="1"/>
      <c r="B222" s="1" t="s">
        <v>103</v>
      </c>
      <c r="C222" s="34" t="s">
        <v>7</v>
      </c>
      <c r="D222" s="1"/>
      <c r="E222" s="3"/>
      <c r="F222" s="4"/>
      <c r="G222" s="5"/>
      <c r="I222" s="9"/>
      <c r="J222" s="9"/>
      <c r="K222" s="108"/>
      <c r="L222" s="9"/>
      <c r="M222" s="108"/>
      <c r="N222" s="9"/>
    </row>
    <row r="223" spans="1:14" ht="13.95" customHeight="1">
      <c r="A223" s="1"/>
      <c r="B223" s="1"/>
      <c r="C223" s="33"/>
      <c r="D223" s="1"/>
      <c r="E223" s="3"/>
      <c r="F223" s="4"/>
      <c r="G223" s="5"/>
      <c r="I223" s="9"/>
      <c r="J223" s="9"/>
      <c r="K223" s="108"/>
      <c r="L223" s="9"/>
      <c r="M223" s="108"/>
      <c r="N223" s="9"/>
    </row>
    <row r="224" spans="1:14" ht="13.95" customHeight="1">
      <c r="A224" s="1"/>
      <c r="B224" s="1"/>
      <c r="C224" s="33" t="s">
        <v>68</v>
      </c>
      <c r="D224" s="1"/>
      <c r="E224" s="3"/>
      <c r="F224" s="4"/>
      <c r="G224" s="5"/>
      <c r="I224" s="9"/>
      <c r="J224" s="9"/>
      <c r="K224" s="108"/>
      <c r="L224" s="9"/>
      <c r="M224" s="108"/>
      <c r="N224" s="9"/>
    </row>
    <row r="225" spans="1:14" ht="13.95" customHeight="1">
      <c r="A225" s="1"/>
      <c r="B225" s="1"/>
      <c r="C225" s="33"/>
      <c r="D225" s="1"/>
      <c r="E225" s="3"/>
      <c r="F225" s="4"/>
      <c r="G225" s="5"/>
      <c r="I225" s="9"/>
      <c r="J225" s="9"/>
      <c r="K225" s="108"/>
      <c r="L225" s="9"/>
      <c r="M225" s="108"/>
      <c r="N225" s="9"/>
    </row>
    <row r="226" spans="1:14" ht="22.95" customHeight="1">
      <c r="A226" s="1">
        <f>A220+1</f>
        <v>40</v>
      </c>
      <c r="B226" s="1"/>
      <c r="C226" s="33" t="s">
        <v>197</v>
      </c>
      <c r="D226" s="1" t="s">
        <v>60</v>
      </c>
      <c r="E226" s="3">
        <f>SUM(I226:N226)</f>
        <v>0</v>
      </c>
      <c r="F226" s="13">
        <v>165</v>
      </c>
      <c r="G226" s="5">
        <f t="shared" ref="G226" si="50">+E226*F226</f>
        <v>0</v>
      </c>
      <c r="I226" s="9"/>
      <c r="J226" s="9"/>
      <c r="K226" s="108"/>
      <c r="L226" s="9"/>
      <c r="M226" s="108"/>
      <c r="N226" s="9"/>
    </row>
    <row r="227" spans="1:14" ht="13.95" customHeight="1">
      <c r="A227" s="1"/>
      <c r="B227" s="1"/>
      <c r="C227" s="33"/>
      <c r="D227" s="35"/>
      <c r="E227" s="3"/>
      <c r="F227" s="4"/>
      <c r="G227" s="5"/>
      <c r="I227" s="9"/>
      <c r="J227" s="9"/>
      <c r="K227" s="108"/>
      <c r="L227" s="9"/>
      <c r="M227" s="108"/>
      <c r="N227" s="9"/>
    </row>
    <row r="228" spans="1:14" ht="13.95" customHeight="1">
      <c r="A228" s="1"/>
      <c r="B228" s="1"/>
      <c r="C228" s="46" t="s">
        <v>231</v>
      </c>
      <c r="D228" s="1"/>
      <c r="E228" s="3"/>
      <c r="F228" s="4"/>
      <c r="G228" s="5"/>
      <c r="I228" s="9"/>
      <c r="J228" s="9"/>
      <c r="K228" s="108"/>
      <c r="L228" s="9"/>
      <c r="M228" s="108"/>
      <c r="N228" s="9"/>
    </row>
    <row r="229" spans="1:14" ht="13.95" customHeight="1">
      <c r="A229" s="1"/>
      <c r="B229" s="1"/>
      <c r="C229" s="47"/>
      <c r="D229" s="35"/>
      <c r="E229" s="3"/>
      <c r="F229" s="4"/>
      <c r="G229" s="5"/>
      <c r="I229" s="9"/>
      <c r="J229" s="9"/>
      <c r="K229" s="108"/>
      <c r="L229" s="9"/>
      <c r="M229" s="108"/>
      <c r="N229" s="9"/>
    </row>
    <row r="230" spans="1:14" ht="48.6" customHeight="1">
      <c r="A230" s="1">
        <f>A226+1</f>
        <v>41</v>
      </c>
      <c r="B230" s="1"/>
      <c r="C230" s="55" t="s">
        <v>75</v>
      </c>
      <c r="D230" s="1" t="s">
        <v>51</v>
      </c>
      <c r="E230" s="3">
        <f>SUM(I230:N230)</f>
        <v>0</v>
      </c>
      <c r="F230" s="3">
        <v>1185</v>
      </c>
      <c r="G230" s="5">
        <f t="shared" ref="G230" si="51">+E230*F230</f>
        <v>0</v>
      </c>
      <c r="I230" s="9"/>
      <c r="J230" s="9"/>
      <c r="K230" s="108"/>
      <c r="L230" s="9"/>
      <c r="M230" s="108"/>
      <c r="N230" s="9"/>
    </row>
    <row r="231" spans="1:14">
      <c r="A231" s="1"/>
      <c r="B231" s="1"/>
      <c r="C231" s="55"/>
      <c r="D231" s="35"/>
      <c r="E231" s="3"/>
      <c r="F231" s="3"/>
      <c r="G231" s="5"/>
      <c r="I231" s="9"/>
      <c r="J231" s="9"/>
      <c r="K231" s="108"/>
      <c r="L231" s="9"/>
      <c r="M231" s="108"/>
      <c r="N231" s="9"/>
    </row>
    <row r="232" spans="1:14">
      <c r="A232" s="1"/>
      <c r="B232" s="1"/>
      <c r="C232" s="55"/>
      <c r="D232" s="35"/>
      <c r="E232" s="3"/>
      <c r="F232" s="3"/>
      <c r="G232" s="5"/>
      <c r="I232" s="9"/>
      <c r="J232" s="9"/>
      <c r="K232" s="108"/>
      <c r="L232" s="9"/>
      <c r="M232" s="108"/>
      <c r="N232" s="9"/>
    </row>
    <row r="233" spans="1:14">
      <c r="A233" s="1"/>
      <c r="B233" s="1"/>
      <c r="C233" s="55"/>
      <c r="D233" s="35"/>
      <c r="E233" s="3"/>
      <c r="F233" s="3"/>
      <c r="G233" s="5"/>
      <c r="I233" s="9"/>
      <c r="J233" s="9"/>
      <c r="K233" s="108"/>
      <c r="L233" s="9"/>
      <c r="M233" s="108"/>
      <c r="N233" s="9"/>
    </row>
    <row r="234" spans="1:14">
      <c r="A234" s="1"/>
      <c r="B234" s="1"/>
      <c r="C234" s="55"/>
      <c r="D234" s="35"/>
      <c r="E234" s="3"/>
      <c r="F234" s="3"/>
      <c r="G234" s="5"/>
      <c r="I234" s="9"/>
      <c r="J234" s="9"/>
      <c r="K234" s="108"/>
      <c r="L234" s="9"/>
      <c r="M234" s="108"/>
      <c r="N234" s="9"/>
    </row>
    <row r="235" spans="1:14">
      <c r="A235" s="1"/>
      <c r="B235" s="1"/>
      <c r="C235" s="55"/>
      <c r="D235" s="35"/>
      <c r="E235" s="3"/>
      <c r="F235" s="3"/>
      <c r="G235" s="5"/>
      <c r="I235" s="9"/>
      <c r="J235" s="9"/>
      <c r="K235" s="108"/>
      <c r="L235" s="9"/>
      <c r="M235" s="108"/>
      <c r="N235" s="9"/>
    </row>
    <row r="236" spans="1:14">
      <c r="A236" s="1"/>
      <c r="B236" s="1"/>
      <c r="C236" s="55"/>
      <c r="D236" s="35"/>
      <c r="E236" s="3"/>
      <c r="F236" s="3"/>
      <c r="G236" s="5"/>
      <c r="I236" s="9"/>
      <c r="J236" s="9"/>
      <c r="K236" s="108"/>
      <c r="L236" s="9"/>
      <c r="M236" s="108"/>
      <c r="N236" s="9"/>
    </row>
    <row r="237" spans="1:14" ht="13.95" customHeight="1">
      <c r="A237" s="1"/>
      <c r="B237" s="1"/>
      <c r="C237" s="55"/>
      <c r="D237" s="35"/>
      <c r="E237" s="3"/>
      <c r="F237" s="4"/>
      <c r="G237" s="5"/>
      <c r="I237" s="9"/>
      <c r="J237" s="9"/>
      <c r="K237" s="108"/>
      <c r="L237" s="9"/>
      <c r="M237" s="108"/>
      <c r="N237" s="9"/>
    </row>
    <row r="238" spans="1:14" ht="13.95" customHeight="1">
      <c r="A238" s="1"/>
      <c r="B238" s="1"/>
      <c r="C238" s="55"/>
      <c r="D238" s="35"/>
      <c r="E238" s="3"/>
      <c r="F238" s="4"/>
      <c r="G238" s="5"/>
      <c r="I238" s="9"/>
      <c r="J238" s="9"/>
      <c r="K238" s="108"/>
      <c r="L238" s="9"/>
      <c r="M238" s="108"/>
      <c r="N238" s="9"/>
    </row>
    <row r="239" spans="1:14" ht="13.95" customHeight="1">
      <c r="A239" s="1"/>
      <c r="B239" s="1"/>
      <c r="C239" s="55"/>
      <c r="D239" s="35"/>
      <c r="E239" s="3"/>
      <c r="F239" s="4"/>
      <c r="G239" s="5"/>
      <c r="I239" s="9"/>
      <c r="J239" s="9"/>
      <c r="K239" s="108"/>
      <c r="L239" s="9"/>
      <c r="M239" s="108"/>
      <c r="N239" s="9"/>
    </row>
    <row r="240" spans="1:14" ht="13.95" customHeight="1">
      <c r="A240" s="1"/>
      <c r="B240" s="1"/>
      <c r="C240" s="55"/>
      <c r="D240" s="35"/>
      <c r="E240" s="3"/>
      <c r="F240" s="4"/>
      <c r="G240" s="5"/>
      <c r="I240" s="9"/>
      <c r="J240" s="9"/>
      <c r="K240" s="108"/>
      <c r="L240" s="9"/>
      <c r="M240" s="108"/>
      <c r="N240" s="9"/>
    </row>
    <row r="241" spans="1:14" ht="13.95" customHeight="1">
      <c r="A241" s="1"/>
      <c r="B241" s="1"/>
      <c r="C241" s="55"/>
      <c r="D241" s="35"/>
      <c r="E241" s="3"/>
      <c r="F241" s="4"/>
      <c r="G241" s="5"/>
      <c r="I241" s="9"/>
      <c r="J241" s="9"/>
      <c r="K241" s="108"/>
      <c r="L241" s="9"/>
      <c r="M241" s="108"/>
      <c r="N241" s="9"/>
    </row>
    <row r="242" spans="1:14" ht="20.100000000000001" customHeight="1">
      <c r="A242" s="149" t="s">
        <v>66</v>
      </c>
      <c r="B242" s="150"/>
      <c r="C242" s="150"/>
      <c r="D242" s="150"/>
      <c r="E242" s="150"/>
      <c r="F242" s="151"/>
      <c r="G242" s="116">
        <f>SUM(G202:G241)</f>
        <v>3604311</v>
      </c>
      <c r="I242" s="9"/>
      <c r="J242" s="9"/>
      <c r="K242" s="108"/>
      <c r="L242" s="9"/>
      <c r="M242" s="108"/>
      <c r="N242" s="9"/>
    </row>
    <row r="243" spans="1:14" ht="13.95" customHeight="1">
      <c r="A243" s="39"/>
      <c r="B243" s="39"/>
      <c r="C243" s="39"/>
      <c r="D243" s="39"/>
      <c r="E243" s="39"/>
      <c r="F243" s="39"/>
      <c r="G243" s="113"/>
      <c r="I243" s="9"/>
      <c r="J243" s="9"/>
      <c r="K243" s="108"/>
      <c r="L243" s="9"/>
      <c r="M243" s="108"/>
      <c r="N243" s="9"/>
    </row>
    <row r="244" spans="1:14" ht="13.95" customHeight="1">
      <c r="A244" s="39"/>
      <c r="B244" s="39"/>
      <c r="C244" s="39"/>
      <c r="D244" s="39"/>
      <c r="E244" s="39"/>
      <c r="F244" s="39"/>
      <c r="G244" s="113"/>
      <c r="I244" s="9"/>
      <c r="J244" s="9"/>
      <c r="K244" s="108"/>
      <c r="L244" s="9"/>
      <c r="M244" s="108"/>
      <c r="N244" s="9"/>
    </row>
    <row r="245" spans="1:14" ht="22.2" customHeight="1">
      <c r="A245" s="44" t="s">
        <v>8</v>
      </c>
      <c r="B245" s="48" t="s">
        <v>9</v>
      </c>
      <c r="C245" s="44" t="s">
        <v>10</v>
      </c>
      <c r="D245" s="48" t="s">
        <v>11</v>
      </c>
      <c r="E245" s="48" t="s">
        <v>59</v>
      </c>
      <c r="F245" s="49" t="s">
        <v>12</v>
      </c>
      <c r="G245" s="111" t="s">
        <v>13</v>
      </c>
      <c r="I245" s="9"/>
      <c r="J245" s="9"/>
      <c r="K245" s="108"/>
      <c r="L245" s="9"/>
      <c r="M245" s="108"/>
      <c r="N245" s="9"/>
    </row>
    <row r="246" spans="1:14" ht="20.100000000000001" customHeight="1">
      <c r="A246" s="149" t="s">
        <v>67</v>
      </c>
      <c r="B246" s="150"/>
      <c r="C246" s="150"/>
      <c r="D246" s="150"/>
      <c r="E246" s="150"/>
      <c r="F246" s="151"/>
      <c r="G246" s="116">
        <f>+G242</f>
        <v>3604311</v>
      </c>
      <c r="I246" s="9"/>
      <c r="J246" s="9"/>
      <c r="K246" s="108"/>
      <c r="L246" s="9"/>
      <c r="M246" s="108"/>
      <c r="N246" s="9"/>
    </row>
    <row r="247" spans="1:14" ht="13.95" customHeight="1">
      <c r="A247" s="1"/>
      <c r="B247" s="1"/>
      <c r="C247" s="55"/>
      <c r="D247" s="35"/>
      <c r="E247" s="3"/>
      <c r="F247" s="4"/>
      <c r="G247" s="5"/>
      <c r="I247" s="9"/>
      <c r="J247" s="9"/>
      <c r="K247" s="108"/>
      <c r="L247" s="9"/>
      <c r="M247" s="108"/>
      <c r="N247" s="9"/>
    </row>
    <row r="248" spans="1:14" ht="13.95" customHeight="1">
      <c r="A248" s="1"/>
      <c r="B248" s="1"/>
      <c r="C248" s="56" t="s">
        <v>230</v>
      </c>
      <c r="D248" s="9"/>
      <c r="E248" s="9"/>
      <c r="F248" s="122"/>
      <c r="G248" s="5"/>
      <c r="I248" s="9"/>
      <c r="J248" s="9"/>
      <c r="K248" s="108"/>
      <c r="L248" s="9"/>
      <c r="M248" s="108"/>
      <c r="N248" s="9"/>
    </row>
    <row r="249" spans="1:14" ht="13.95" customHeight="1">
      <c r="A249" s="1"/>
      <c r="B249" s="1"/>
      <c r="C249" s="57"/>
      <c r="D249" s="9"/>
      <c r="E249" s="9"/>
      <c r="F249" s="122"/>
      <c r="G249" s="5"/>
      <c r="I249" s="9"/>
      <c r="J249" s="9"/>
      <c r="K249" s="108"/>
      <c r="L249" s="9"/>
      <c r="M249" s="108"/>
      <c r="N249" s="9"/>
    </row>
    <row r="250" spans="1:14" ht="48" customHeight="1">
      <c r="A250" s="1"/>
      <c r="B250" s="1"/>
      <c r="C250" s="33" t="s">
        <v>242</v>
      </c>
      <c r="D250" s="57"/>
      <c r="E250" s="57"/>
      <c r="F250" s="57"/>
      <c r="G250" s="5"/>
      <c r="I250" s="9"/>
      <c r="J250" s="9"/>
      <c r="K250" s="108"/>
      <c r="L250" s="9"/>
      <c r="M250" s="108"/>
      <c r="N250" s="9"/>
    </row>
    <row r="251" spans="1:14" ht="13.95" customHeight="1">
      <c r="A251" s="1"/>
      <c r="B251" s="1"/>
      <c r="C251" s="33"/>
      <c r="D251" s="9"/>
      <c r="E251" s="9"/>
      <c r="F251" s="122"/>
      <c r="G251" s="5"/>
      <c r="I251" s="9"/>
      <c r="J251" s="9"/>
      <c r="K251" s="108"/>
      <c r="L251" s="9"/>
      <c r="M251" s="108"/>
      <c r="N251" s="9"/>
    </row>
    <row r="252" spans="1:14" ht="25.95" customHeight="1">
      <c r="A252" s="1"/>
      <c r="B252" s="1"/>
      <c r="C252" s="33" t="s">
        <v>232</v>
      </c>
      <c r="D252" s="9"/>
      <c r="E252" s="9"/>
      <c r="F252" s="122"/>
      <c r="G252" s="5"/>
      <c r="I252" s="9"/>
      <c r="J252" s="9"/>
      <c r="K252" s="108"/>
      <c r="L252" s="9"/>
      <c r="M252" s="108"/>
      <c r="N252" s="9"/>
    </row>
    <row r="253" spans="1:14" ht="13.95" customHeight="1">
      <c r="A253" s="1"/>
      <c r="B253" s="1"/>
      <c r="C253" s="33"/>
      <c r="D253" s="9"/>
      <c r="E253" s="9"/>
      <c r="F253" s="122"/>
      <c r="G253" s="5"/>
      <c r="I253" s="9"/>
      <c r="J253" s="9"/>
      <c r="K253" s="108"/>
      <c r="L253" s="9"/>
      <c r="M253" s="108"/>
      <c r="N253" s="9"/>
    </row>
    <row r="254" spans="1:14" ht="38.4" customHeight="1">
      <c r="A254" s="1">
        <f>A230+1</f>
        <v>42</v>
      </c>
      <c r="B254" s="1"/>
      <c r="C254" s="33" t="s">
        <v>233</v>
      </c>
      <c r="D254" s="9" t="s">
        <v>1</v>
      </c>
      <c r="E254" s="3">
        <f>SUM(I254:N254)</f>
        <v>0</v>
      </c>
      <c r="F254" s="144">
        <v>775</v>
      </c>
      <c r="G254" s="5">
        <f t="shared" ref="G254" si="52">+E254*F254</f>
        <v>0</v>
      </c>
      <c r="I254" s="9"/>
      <c r="J254" s="9"/>
      <c r="K254" s="108"/>
      <c r="L254" s="9"/>
      <c r="M254" s="108"/>
      <c r="N254" s="9"/>
    </row>
    <row r="255" spans="1:14" ht="13.95" customHeight="1">
      <c r="A255" s="1"/>
      <c r="B255" s="1"/>
      <c r="C255" s="33"/>
      <c r="D255" s="9"/>
      <c r="E255" s="9"/>
      <c r="F255" s="144"/>
      <c r="G255" s="5"/>
      <c r="I255" s="9"/>
      <c r="J255" s="9"/>
      <c r="K255" s="108"/>
      <c r="L255" s="9"/>
      <c r="M255" s="108"/>
      <c r="N255" s="9"/>
    </row>
    <row r="256" spans="1:14" ht="25.95" customHeight="1">
      <c r="A256" s="1">
        <f>A254+1</f>
        <v>43</v>
      </c>
      <c r="B256" s="1"/>
      <c r="C256" s="33" t="s">
        <v>228</v>
      </c>
      <c r="D256" s="9" t="s">
        <v>6</v>
      </c>
      <c r="E256" s="3">
        <f>SUM(I256:N256)</f>
        <v>0</v>
      </c>
      <c r="F256" s="144">
        <v>275</v>
      </c>
      <c r="G256" s="5">
        <f t="shared" ref="G256" si="53">+E256*F256</f>
        <v>0</v>
      </c>
      <c r="I256" s="9"/>
      <c r="J256" s="9"/>
      <c r="K256" s="108"/>
      <c r="L256" s="9"/>
      <c r="M256" s="108"/>
      <c r="N256" s="9"/>
    </row>
    <row r="257" spans="1:14" ht="13.95" customHeight="1">
      <c r="A257" s="1"/>
      <c r="B257" s="1"/>
      <c r="C257" s="33"/>
      <c r="D257" s="9"/>
      <c r="E257" s="9"/>
      <c r="F257" s="144"/>
      <c r="G257" s="5"/>
      <c r="I257" s="9"/>
      <c r="J257" s="9"/>
      <c r="K257" s="108"/>
      <c r="L257" s="9"/>
      <c r="M257" s="108"/>
      <c r="N257" s="9"/>
    </row>
    <row r="258" spans="1:14" ht="13.95" customHeight="1">
      <c r="A258" s="1">
        <f>A256+1</f>
        <v>44</v>
      </c>
      <c r="B258" s="1"/>
      <c r="C258" s="33" t="s">
        <v>229</v>
      </c>
      <c r="D258" s="9" t="s">
        <v>6</v>
      </c>
      <c r="E258" s="3">
        <f>SUM(I258:N258)</f>
        <v>0</v>
      </c>
      <c r="F258" s="144">
        <v>650</v>
      </c>
      <c r="G258" s="5">
        <f t="shared" ref="G258" si="54">+E258*F258</f>
        <v>0</v>
      </c>
      <c r="I258" s="9"/>
      <c r="J258" s="9"/>
      <c r="K258" s="108"/>
      <c r="L258" s="9"/>
      <c r="M258" s="108"/>
      <c r="N258" s="9"/>
    </row>
    <row r="259" spans="1:14" ht="13.95" customHeight="1">
      <c r="A259" s="1"/>
      <c r="B259" s="1"/>
      <c r="C259" s="17"/>
      <c r="D259" s="35"/>
      <c r="E259" s="3"/>
      <c r="F259" s="14"/>
      <c r="G259" s="5"/>
      <c r="I259" s="9"/>
      <c r="J259" s="9"/>
      <c r="K259" s="108"/>
      <c r="L259" s="9"/>
      <c r="M259" s="108"/>
      <c r="N259" s="9"/>
    </row>
    <row r="260" spans="1:14">
      <c r="A260" s="16">
        <f>+A258+1</f>
        <v>45</v>
      </c>
      <c r="B260" s="16"/>
      <c r="C260" s="47" t="s">
        <v>241</v>
      </c>
      <c r="D260" s="58" t="s">
        <v>1</v>
      </c>
      <c r="E260" s="3">
        <f>SUM(I260:N260)</f>
        <v>0</v>
      </c>
      <c r="F260" s="13">
        <v>425</v>
      </c>
      <c r="G260" s="15">
        <f t="shared" ref="G260" si="55">+E260*F260</f>
        <v>0</v>
      </c>
      <c r="I260" s="9"/>
      <c r="J260" s="9"/>
      <c r="K260" s="108"/>
      <c r="L260" s="9"/>
      <c r="M260" s="108"/>
      <c r="N260" s="9"/>
    </row>
    <row r="261" spans="1:14" ht="13.95" customHeight="1">
      <c r="A261" s="1"/>
      <c r="B261" s="1"/>
      <c r="C261" s="17"/>
      <c r="D261" s="35"/>
      <c r="E261" s="3"/>
      <c r="F261" s="4"/>
      <c r="G261" s="5"/>
      <c r="I261" s="9"/>
      <c r="J261" s="9"/>
      <c r="K261" s="108"/>
      <c r="L261" s="9"/>
      <c r="M261" s="108"/>
      <c r="N261" s="9"/>
    </row>
    <row r="262" spans="1:14" ht="22.2" customHeight="1">
      <c r="A262" s="1"/>
      <c r="B262" s="51" t="s">
        <v>105</v>
      </c>
      <c r="C262" s="11" t="s">
        <v>204</v>
      </c>
      <c r="D262" s="40"/>
      <c r="E262" s="3"/>
      <c r="F262" s="4"/>
      <c r="G262" s="5"/>
      <c r="I262" s="9"/>
      <c r="J262" s="9"/>
      <c r="K262" s="108"/>
      <c r="L262" s="9"/>
      <c r="M262" s="108"/>
      <c r="N262" s="9"/>
    </row>
    <row r="263" spans="1:14" ht="13.95" customHeight="1">
      <c r="A263" s="1"/>
      <c r="B263" s="51"/>
      <c r="C263" s="6"/>
      <c r="D263" s="9"/>
      <c r="E263" s="3"/>
      <c r="F263" s="4"/>
      <c r="G263" s="5"/>
      <c r="I263" s="9"/>
      <c r="J263" s="9"/>
      <c r="K263" s="108"/>
      <c r="L263" s="9"/>
      <c r="M263" s="108"/>
      <c r="N263" s="9"/>
    </row>
    <row r="264" spans="1:14" ht="13.95" customHeight="1">
      <c r="A264" s="1"/>
      <c r="B264" s="51" t="s">
        <v>92</v>
      </c>
      <c r="C264" s="52" t="s">
        <v>205</v>
      </c>
      <c r="D264" s="9"/>
      <c r="E264" s="3"/>
      <c r="F264" s="4"/>
      <c r="G264" s="5"/>
      <c r="I264" s="9"/>
      <c r="J264" s="9"/>
      <c r="K264" s="108"/>
      <c r="L264" s="9"/>
      <c r="M264" s="108"/>
      <c r="N264" s="9"/>
    </row>
    <row r="265" spans="1:14" ht="13.95" customHeight="1">
      <c r="A265" s="1"/>
      <c r="B265" s="51"/>
      <c r="C265" s="6"/>
      <c r="D265" s="9"/>
      <c r="E265" s="3"/>
      <c r="F265" s="4"/>
      <c r="G265" s="5"/>
      <c r="I265" s="9"/>
      <c r="J265" s="9"/>
      <c r="K265" s="108"/>
      <c r="L265" s="9"/>
      <c r="M265" s="108"/>
      <c r="N265" s="9"/>
    </row>
    <row r="266" spans="1:14" ht="24" customHeight="1">
      <c r="A266" s="1"/>
      <c r="B266" s="51" t="s">
        <v>206</v>
      </c>
      <c r="C266" s="21" t="s">
        <v>207</v>
      </c>
      <c r="D266" s="9"/>
      <c r="E266" s="3"/>
      <c r="F266" s="4"/>
      <c r="G266" s="5"/>
      <c r="I266" s="9"/>
      <c r="J266" s="9"/>
      <c r="K266" s="108"/>
      <c r="L266" s="9"/>
      <c r="M266" s="108"/>
      <c r="N266" s="9"/>
    </row>
    <row r="267" spans="1:14" ht="13.95" customHeight="1">
      <c r="A267" s="1"/>
      <c r="B267" s="51"/>
      <c r="C267" s="6"/>
      <c r="D267" s="9"/>
      <c r="E267" s="3"/>
      <c r="F267" s="4"/>
      <c r="G267" s="5"/>
      <c r="I267" s="9"/>
      <c r="J267" s="9"/>
      <c r="K267" s="108"/>
      <c r="L267" s="9"/>
      <c r="M267" s="108"/>
      <c r="N267" s="9"/>
    </row>
    <row r="268" spans="1:14" ht="13.95" customHeight="1">
      <c r="A268" s="1">
        <f>A260+1</f>
        <v>46</v>
      </c>
      <c r="B268" s="51" t="s">
        <v>208</v>
      </c>
      <c r="C268" s="6" t="s">
        <v>21</v>
      </c>
      <c r="D268" s="9" t="s">
        <v>1</v>
      </c>
      <c r="E268" s="3">
        <f>SUM(I268:N268)</f>
        <v>0</v>
      </c>
      <c r="F268" s="13">
        <v>1950</v>
      </c>
      <c r="G268" s="5">
        <f t="shared" ref="G268" si="56">+E268*F268</f>
        <v>0</v>
      </c>
      <c r="I268" s="9"/>
      <c r="J268" s="9"/>
      <c r="K268" s="108"/>
      <c r="L268" s="9"/>
      <c r="M268" s="108"/>
      <c r="N268" s="9"/>
    </row>
    <row r="269" spans="1:14" ht="13.95" customHeight="1">
      <c r="A269" s="1"/>
      <c r="B269" s="51"/>
      <c r="C269" s="6"/>
      <c r="D269" s="9"/>
      <c r="E269" s="3"/>
      <c r="F269" s="13"/>
      <c r="G269" s="5"/>
      <c r="I269" s="9"/>
      <c r="J269" s="9"/>
      <c r="K269" s="108"/>
      <c r="L269" s="9"/>
      <c r="M269" s="108"/>
      <c r="N269" s="9"/>
    </row>
    <row r="270" spans="1:14" ht="12.6" customHeight="1">
      <c r="A270" s="1">
        <f>A268+1</f>
        <v>47</v>
      </c>
      <c r="B270" s="51" t="s">
        <v>209</v>
      </c>
      <c r="C270" s="18" t="s">
        <v>210</v>
      </c>
      <c r="D270" s="9" t="s">
        <v>6</v>
      </c>
      <c r="E270" s="3">
        <f>SUM(I270:N270)</f>
        <v>0</v>
      </c>
      <c r="F270" s="13">
        <v>350</v>
      </c>
      <c r="G270" s="5">
        <f t="shared" ref="G270" si="57">+E270*F270</f>
        <v>0</v>
      </c>
      <c r="I270" s="9"/>
      <c r="J270" s="9"/>
      <c r="K270" s="108"/>
      <c r="L270" s="9"/>
      <c r="M270" s="108"/>
      <c r="N270" s="9"/>
    </row>
    <row r="271" spans="1:14" ht="12.6" customHeight="1">
      <c r="A271" s="1"/>
      <c r="B271" s="1"/>
      <c r="C271" s="33"/>
      <c r="D271" s="35"/>
      <c r="E271" s="3"/>
      <c r="F271" s="13"/>
      <c r="G271" s="5"/>
      <c r="I271" s="9"/>
      <c r="J271" s="9"/>
      <c r="K271" s="108"/>
      <c r="L271" s="9"/>
      <c r="M271" s="108"/>
      <c r="N271" s="9"/>
    </row>
    <row r="272" spans="1:14" ht="12.6" customHeight="1">
      <c r="A272" s="1"/>
      <c r="B272" s="1"/>
      <c r="C272" s="123" t="s">
        <v>236</v>
      </c>
      <c r="D272" s="35"/>
      <c r="E272" s="3"/>
      <c r="F272" s="13"/>
      <c r="G272" s="5"/>
      <c r="I272" s="9"/>
      <c r="J272" s="9"/>
      <c r="K272" s="108"/>
      <c r="L272" s="9"/>
      <c r="M272" s="108"/>
      <c r="N272" s="9"/>
    </row>
    <row r="273" spans="1:14" ht="12.6" customHeight="1">
      <c r="A273" s="1"/>
      <c r="B273" s="1"/>
      <c r="C273" s="6"/>
      <c r="D273" s="35"/>
      <c r="E273" s="3"/>
      <c r="F273" s="13"/>
      <c r="G273" s="5"/>
      <c r="I273" s="9"/>
      <c r="J273" s="9"/>
      <c r="K273" s="108"/>
      <c r="L273" s="9"/>
      <c r="M273" s="108"/>
      <c r="N273" s="9"/>
    </row>
    <row r="274" spans="1:14" ht="12.6" customHeight="1">
      <c r="A274" s="1"/>
      <c r="B274" s="1"/>
      <c r="C274" s="124" t="s">
        <v>234</v>
      </c>
      <c r="D274" s="35"/>
      <c r="E274" s="3"/>
      <c r="F274" s="13"/>
      <c r="G274" s="5"/>
      <c r="I274" s="9"/>
      <c r="J274" s="9"/>
      <c r="K274" s="108"/>
      <c r="L274" s="9"/>
      <c r="M274" s="108"/>
      <c r="N274" s="9"/>
    </row>
    <row r="275" spans="1:14" ht="12.6" customHeight="1">
      <c r="A275" s="1"/>
      <c r="B275" s="1"/>
      <c r="C275" s="33"/>
      <c r="D275" s="35"/>
      <c r="E275" s="3"/>
      <c r="F275" s="13"/>
      <c r="G275" s="5"/>
      <c r="I275" s="9"/>
      <c r="J275" s="9"/>
      <c r="K275" s="108"/>
      <c r="L275" s="9"/>
      <c r="M275" s="108"/>
      <c r="N275" s="9"/>
    </row>
    <row r="276" spans="1:14" ht="38.4" customHeight="1">
      <c r="A276" s="1">
        <f>A270+1</f>
        <v>48</v>
      </c>
      <c r="B276" s="1"/>
      <c r="C276" s="125" t="s">
        <v>235</v>
      </c>
      <c r="D276" s="1" t="s">
        <v>60</v>
      </c>
      <c r="E276" s="3">
        <f>SUM(I276:N276)</f>
        <v>0</v>
      </c>
      <c r="F276" s="13">
        <v>3750</v>
      </c>
      <c r="G276" s="5">
        <f t="shared" ref="G276" si="58">+E276*F276</f>
        <v>0</v>
      </c>
      <c r="I276" s="9"/>
      <c r="J276" s="9"/>
      <c r="K276" s="108"/>
      <c r="L276" s="9"/>
      <c r="M276" s="108"/>
      <c r="N276" s="9"/>
    </row>
    <row r="277" spans="1:14" ht="12.6" customHeight="1">
      <c r="A277" s="1"/>
      <c r="B277" s="1"/>
      <c r="C277" s="33"/>
      <c r="D277" s="35"/>
      <c r="E277" s="3"/>
      <c r="F277" s="13"/>
      <c r="G277" s="5"/>
      <c r="I277" s="9"/>
      <c r="J277" s="9"/>
      <c r="K277" s="108"/>
      <c r="L277" s="9"/>
      <c r="M277" s="108"/>
      <c r="N277" s="9"/>
    </row>
    <row r="278" spans="1:14" ht="13.95" customHeight="1">
      <c r="A278" s="1"/>
      <c r="B278" s="1"/>
      <c r="C278" s="34" t="s">
        <v>212</v>
      </c>
      <c r="D278" s="1" t="s">
        <v>64</v>
      </c>
      <c r="E278" s="3"/>
      <c r="F278" s="14"/>
      <c r="G278" s="5"/>
      <c r="I278" s="9"/>
      <c r="J278" s="9"/>
      <c r="K278" s="108"/>
      <c r="L278" s="9"/>
      <c r="M278" s="108"/>
      <c r="N278" s="9"/>
    </row>
    <row r="279" spans="1:14" ht="13.95" customHeight="1">
      <c r="A279" s="1"/>
      <c r="B279" s="1"/>
      <c r="C279" s="33" t="s">
        <v>64</v>
      </c>
      <c r="D279" s="1" t="s">
        <v>64</v>
      </c>
      <c r="E279" s="3"/>
      <c r="F279" s="4"/>
      <c r="G279" s="5"/>
      <c r="I279" s="9"/>
      <c r="J279" s="9"/>
      <c r="K279" s="108"/>
      <c r="L279" s="9"/>
      <c r="M279" s="108"/>
      <c r="N279" s="9"/>
    </row>
    <row r="280" spans="1:14" ht="22.2" customHeight="1">
      <c r="A280" s="1">
        <f>A276+1</f>
        <v>49</v>
      </c>
      <c r="B280" s="1"/>
      <c r="C280" s="33" t="s">
        <v>217</v>
      </c>
      <c r="D280" s="1" t="s">
        <v>60</v>
      </c>
      <c r="E280" s="3">
        <f>SUM(I280:N280)</f>
        <v>0</v>
      </c>
      <c r="F280" s="3">
        <v>885</v>
      </c>
      <c r="G280" s="5">
        <f t="shared" ref="G280" si="59">+E280*F280</f>
        <v>0</v>
      </c>
      <c r="I280" s="9"/>
      <c r="J280" s="9"/>
      <c r="K280" s="108"/>
      <c r="L280" s="9"/>
      <c r="M280" s="108"/>
      <c r="N280" s="9"/>
    </row>
    <row r="281" spans="1:14">
      <c r="A281" s="1"/>
      <c r="B281" s="1"/>
      <c r="C281" s="33"/>
      <c r="D281" s="35"/>
      <c r="E281" s="3"/>
      <c r="F281" s="3"/>
      <c r="G281" s="5"/>
      <c r="I281" s="9"/>
      <c r="J281" s="9"/>
      <c r="K281" s="108"/>
      <c r="L281" s="9"/>
      <c r="M281" s="108"/>
      <c r="N281" s="9"/>
    </row>
    <row r="282" spans="1:14" ht="13.95" customHeight="1">
      <c r="A282" s="1"/>
      <c r="B282" s="1"/>
      <c r="C282" s="33"/>
      <c r="D282" s="35"/>
      <c r="E282" s="3"/>
      <c r="F282" s="4"/>
      <c r="G282" s="5"/>
      <c r="I282" s="9"/>
      <c r="J282" s="9"/>
      <c r="K282" s="108"/>
      <c r="L282" s="9"/>
      <c r="M282" s="108"/>
      <c r="N282" s="9"/>
    </row>
    <row r="283" spans="1:14" ht="13.95" customHeight="1">
      <c r="A283" s="1"/>
      <c r="B283" s="1"/>
      <c r="C283" s="33"/>
      <c r="D283" s="35"/>
      <c r="E283" s="3"/>
      <c r="F283" s="4"/>
      <c r="G283" s="5"/>
      <c r="I283" s="9"/>
      <c r="J283" s="9"/>
      <c r="K283" s="108"/>
      <c r="L283" s="9"/>
      <c r="M283" s="108"/>
      <c r="N283" s="9"/>
    </row>
    <row r="284" spans="1:14" ht="13.95" customHeight="1">
      <c r="A284" s="1"/>
      <c r="B284" s="1"/>
      <c r="C284" s="33"/>
      <c r="D284" s="35"/>
      <c r="E284" s="3"/>
      <c r="F284" s="4"/>
      <c r="G284" s="5"/>
      <c r="I284" s="9"/>
      <c r="J284" s="9"/>
      <c r="K284" s="108"/>
      <c r="L284" s="9"/>
      <c r="M284" s="108"/>
      <c r="N284" s="9"/>
    </row>
    <row r="285" spans="1:14" ht="20.100000000000001" customHeight="1">
      <c r="A285" s="149" t="s">
        <v>66</v>
      </c>
      <c r="B285" s="150"/>
      <c r="C285" s="150"/>
      <c r="D285" s="150"/>
      <c r="E285" s="150"/>
      <c r="F285" s="151"/>
      <c r="G285" s="116">
        <f>SUM(G246:G284)</f>
        <v>3604311</v>
      </c>
      <c r="I285" s="9"/>
      <c r="J285" s="9"/>
      <c r="K285" s="108"/>
      <c r="L285" s="9"/>
      <c r="M285" s="108"/>
      <c r="N285" s="9"/>
    </row>
    <row r="286" spans="1:14" ht="13.95" customHeight="1">
      <c r="A286" s="39"/>
      <c r="B286" s="39"/>
      <c r="C286" s="39"/>
      <c r="D286" s="39"/>
      <c r="E286" s="39"/>
      <c r="F286" s="39"/>
      <c r="G286" s="113"/>
      <c r="I286" s="9"/>
      <c r="J286" s="9"/>
      <c r="K286" s="108"/>
      <c r="L286" s="9"/>
      <c r="M286" s="108"/>
      <c r="N286" s="9"/>
    </row>
    <row r="287" spans="1:14" ht="13.95" customHeight="1">
      <c r="A287" s="39"/>
      <c r="B287" s="39"/>
      <c r="C287" s="39"/>
      <c r="D287" s="39"/>
      <c r="E287" s="39"/>
      <c r="F287" s="39"/>
      <c r="G287" s="113"/>
      <c r="I287" s="9"/>
      <c r="J287" s="9"/>
      <c r="K287" s="108"/>
      <c r="L287" s="9"/>
      <c r="M287" s="108"/>
      <c r="N287" s="9"/>
    </row>
    <row r="288" spans="1:14" ht="22.2" customHeight="1">
      <c r="A288" s="44" t="s">
        <v>8</v>
      </c>
      <c r="B288" s="48" t="s">
        <v>9</v>
      </c>
      <c r="C288" s="44" t="s">
        <v>10</v>
      </c>
      <c r="D288" s="48" t="s">
        <v>11</v>
      </c>
      <c r="E288" s="48" t="s">
        <v>59</v>
      </c>
      <c r="F288" s="49" t="s">
        <v>12</v>
      </c>
      <c r="G288" s="111" t="s">
        <v>13</v>
      </c>
      <c r="I288" s="9"/>
      <c r="J288" s="9"/>
      <c r="K288" s="108"/>
      <c r="L288" s="9"/>
      <c r="M288" s="108"/>
      <c r="N288" s="9"/>
    </row>
    <row r="289" spans="1:14" ht="20.100000000000001" customHeight="1">
      <c r="A289" s="149" t="s">
        <v>67</v>
      </c>
      <c r="B289" s="150"/>
      <c r="C289" s="150"/>
      <c r="D289" s="150"/>
      <c r="E289" s="150"/>
      <c r="F289" s="151"/>
      <c r="G289" s="116">
        <f>+G285</f>
        <v>3604311</v>
      </c>
      <c r="I289" s="9"/>
      <c r="J289" s="9"/>
      <c r="K289" s="108"/>
      <c r="L289" s="9"/>
      <c r="M289" s="108"/>
      <c r="N289" s="9"/>
    </row>
    <row r="290" spans="1:14" ht="13.95" customHeight="1">
      <c r="A290" s="1"/>
      <c r="B290" s="1"/>
      <c r="C290" s="33"/>
      <c r="D290" s="35"/>
      <c r="E290" s="3"/>
      <c r="F290" s="4"/>
      <c r="G290" s="5"/>
      <c r="I290" s="9"/>
      <c r="J290" s="9"/>
      <c r="K290" s="108"/>
      <c r="L290" s="9"/>
      <c r="M290" s="108"/>
      <c r="N290" s="9"/>
    </row>
    <row r="291" spans="1:14" ht="13.95" customHeight="1">
      <c r="A291" s="16"/>
      <c r="B291" s="76" t="s">
        <v>167</v>
      </c>
      <c r="C291" s="74" t="s">
        <v>168</v>
      </c>
      <c r="D291" s="93"/>
      <c r="E291" s="94"/>
      <c r="F291" s="14"/>
      <c r="G291" s="15"/>
      <c r="I291" s="9"/>
      <c r="J291" s="9"/>
      <c r="K291" s="108"/>
      <c r="L291" s="9"/>
      <c r="M291" s="108"/>
      <c r="N291" s="9"/>
    </row>
    <row r="292" spans="1:14" ht="13.95" customHeight="1">
      <c r="A292" s="16"/>
      <c r="B292" s="12"/>
      <c r="C292" s="75"/>
      <c r="D292" s="93"/>
      <c r="E292" s="94"/>
      <c r="F292" s="14"/>
      <c r="G292" s="15"/>
      <c r="I292" s="9"/>
      <c r="J292" s="9"/>
      <c r="K292" s="108"/>
      <c r="L292" s="9"/>
      <c r="M292" s="108"/>
      <c r="N292" s="9"/>
    </row>
    <row r="293" spans="1:14" ht="13.95" customHeight="1">
      <c r="A293" s="16"/>
      <c r="B293" s="12" t="s">
        <v>193</v>
      </c>
      <c r="C293" s="70" t="s">
        <v>164</v>
      </c>
      <c r="D293" s="12"/>
      <c r="E293" s="94"/>
      <c r="F293" s="14"/>
      <c r="G293" s="15"/>
      <c r="I293" s="9"/>
      <c r="J293" s="9"/>
      <c r="K293" s="108"/>
      <c r="L293" s="9"/>
      <c r="M293" s="108"/>
      <c r="N293" s="9"/>
    </row>
    <row r="294" spans="1:14" ht="13.95" customHeight="1">
      <c r="A294" s="16"/>
      <c r="B294" s="73"/>
      <c r="C294" s="62"/>
      <c r="D294" s="12"/>
      <c r="E294" s="94"/>
      <c r="F294" s="14"/>
      <c r="G294" s="15"/>
      <c r="I294" s="9"/>
      <c r="J294" s="9"/>
      <c r="K294" s="108"/>
      <c r="L294" s="9"/>
      <c r="M294" s="108"/>
      <c r="N294" s="9"/>
    </row>
    <row r="295" spans="1:14" ht="13.95" customHeight="1">
      <c r="A295" s="16">
        <v>50</v>
      </c>
      <c r="B295" s="73"/>
      <c r="C295" s="75" t="s">
        <v>112</v>
      </c>
      <c r="D295" s="12" t="s">
        <v>60</v>
      </c>
      <c r="E295" s="3">
        <f>SUM(I295:N295)</f>
        <v>0</v>
      </c>
      <c r="F295" s="13">
        <v>890</v>
      </c>
      <c r="G295" s="15">
        <f>+E295*F295</f>
        <v>0</v>
      </c>
      <c r="I295" s="9"/>
      <c r="J295" s="9"/>
      <c r="K295" s="108"/>
      <c r="L295" s="9"/>
      <c r="M295" s="108"/>
      <c r="N295" s="9"/>
    </row>
    <row r="296" spans="1:14" ht="13.95" customHeight="1">
      <c r="A296" s="16"/>
      <c r="B296" s="73"/>
      <c r="C296" s="62"/>
      <c r="D296" s="12"/>
      <c r="E296" s="94"/>
      <c r="F296" s="14"/>
      <c r="G296" s="15"/>
      <c r="I296" s="9"/>
      <c r="J296" s="9"/>
      <c r="K296" s="108"/>
      <c r="L296" s="9"/>
      <c r="M296" s="108"/>
      <c r="N296" s="9"/>
    </row>
    <row r="297" spans="1:14" ht="13.95" customHeight="1">
      <c r="A297" s="16"/>
      <c r="B297" s="12" t="s">
        <v>195</v>
      </c>
      <c r="C297" s="70" t="s">
        <v>194</v>
      </c>
      <c r="D297" s="12"/>
      <c r="E297" s="94"/>
      <c r="F297" s="14"/>
      <c r="G297" s="15"/>
      <c r="I297" s="9"/>
      <c r="J297" s="9"/>
      <c r="K297" s="108"/>
      <c r="L297" s="9"/>
      <c r="M297" s="108"/>
      <c r="N297" s="9"/>
    </row>
    <row r="298" spans="1:14" ht="13.95" customHeight="1">
      <c r="A298" s="16"/>
      <c r="B298" s="73"/>
      <c r="C298" s="62"/>
      <c r="D298" s="12"/>
      <c r="E298" s="94"/>
      <c r="F298" s="14"/>
      <c r="G298" s="15"/>
      <c r="I298" s="9"/>
      <c r="J298" s="9"/>
      <c r="K298" s="108"/>
      <c r="L298" s="9"/>
      <c r="M298" s="108"/>
      <c r="N298" s="9"/>
    </row>
    <row r="299" spans="1:14" ht="13.95" customHeight="1">
      <c r="A299" s="16">
        <v>51</v>
      </c>
      <c r="B299" s="73"/>
      <c r="C299" s="75" t="s">
        <v>165</v>
      </c>
      <c r="D299" s="12" t="s">
        <v>60</v>
      </c>
      <c r="E299" s="3">
        <f>SUM(I299:N299)</f>
        <v>0</v>
      </c>
      <c r="F299" s="14">
        <v>325</v>
      </c>
      <c r="G299" s="15">
        <f t="shared" ref="G299" si="60">+E299*F299</f>
        <v>0</v>
      </c>
      <c r="I299" s="9"/>
      <c r="J299" s="9"/>
      <c r="K299" s="108"/>
      <c r="L299" s="9"/>
      <c r="M299" s="108"/>
      <c r="N299" s="9"/>
    </row>
    <row r="300" spans="1:14" ht="13.95" customHeight="1">
      <c r="A300" s="16"/>
      <c r="B300" s="12"/>
      <c r="C300" s="75"/>
      <c r="D300" s="93"/>
      <c r="E300" s="94"/>
      <c r="F300" s="14"/>
      <c r="G300" s="15"/>
      <c r="I300" s="9"/>
      <c r="J300" s="9"/>
      <c r="K300" s="108"/>
      <c r="L300" s="9"/>
      <c r="M300" s="108"/>
      <c r="N300" s="9"/>
    </row>
    <row r="301" spans="1:14" ht="24">
      <c r="A301" s="16"/>
      <c r="B301" s="76" t="s">
        <v>169</v>
      </c>
      <c r="C301" s="46" t="s">
        <v>216</v>
      </c>
      <c r="D301" s="12"/>
      <c r="E301" s="12"/>
      <c r="F301" s="145"/>
      <c r="G301" s="15"/>
      <c r="I301" s="9"/>
      <c r="J301" s="9"/>
      <c r="K301" s="108"/>
      <c r="L301" s="9"/>
      <c r="M301" s="108"/>
      <c r="N301" s="9"/>
    </row>
    <row r="302" spans="1:14" ht="13.95" customHeight="1">
      <c r="A302" s="16"/>
      <c r="B302" s="76"/>
      <c r="C302" s="75"/>
      <c r="D302" s="12"/>
      <c r="E302" s="12"/>
      <c r="F302" s="145"/>
      <c r="G302" s="15"/>
      <c r="I302" s="9"/>
      <c r="J302" s="9"/>
      <c r="K302" s="108"/>
      <c r="L302" s="9"/>
      <c r="M302" s="108"/>
      <c r="N302" s="9"/>
    </row>
    <row r="303" spans="1:14" ht="13.95" customHeight="1">
      <c r="A303" s="16"/>
      <c r="B303" s="76" t="s">
        <v>169</v>
      </c>
      <c r="C303" s="75" t="s">
        <v>170</v>
      </c>
      <c r="D303" s="12"/>
      <c r="E303" s="12"/>
      <c r="F303" s="145"/>
      <c r="G303" s="15"/>
      <c r="I303" s="9"/>
      <c r="J303" s="9"/>
      <c r="K303" s="108"/>
      <c r="L303" s="9"/>
      <c r="M303" s="108"/>
      <c r="N303" s="9"/>
    </row>
    <row r="304" spans="1:14" ht="13.95" customHeight="1">
      <c r="A304" s="16"/>
      <c r="B304" s="76"/>
      <c r="C304" s="75"/>
      <c r="D304" s="12"/>
      <c r="E304" s="12"/>
      <c r="F304" s="145"/>
      <c r="G304" s="15"/>
      <c r="I304" s="9"/>
      <c r="J304" s="9"/>
      <c r="K304" s="108"/>
      <c r="L304" s="9"/>
      <c r="M304" s="108"/>
      <c r="N304" s="9"/>
    </row>
    <row r="305" spans="1:15" ht="13.95" customHeight="1">
      <c r="A305" s="16">
        <v>52</v>
      </c>
      <c r="B305" s="76" t="s">
        <v>171</v>
      </c>
      <c r="C305" s="75" t="s">
        <v>172</v>
      </c>
      <c r="D305" s="12" t="s">
        <v>60</v>
      </c>
      <c r="E305" s="3">
        <f>SUM(I305:N305)</f>
        <v>0</v>
      </c>
      <c r="F305" s="94">
        <v>275</v>
      </c>
      <c r="G305" s="15">
        <f t="shared" ref="G305:G313" si="61">+E305*F305</f>
        <v>0</v>
      </c>
      <c r="I305" s="9"/>
      <c r="J305" s="9"/>
      <c r="K305" s="108"/>
      <c r="L305" s="9"/>
      <c r="M305" s="108"/>
      <c r="N305" s="9"/>
    </row>
    <row r="306" spans="1:15" ht="13.95" customHeight="1">
      <c r="A306" s="16"/>
      <c r="B306" s="12"/>
      <c r="C306" s="75"/>
      <c r="D306" s="93"/>
      <c r="E306" s="94"/>
      <c r="F306" s="14"/>
      <c r="G306" s="15"/>
      <c r="I306" s="9"/>
      <c r="J306" s="9"/>
      <c r="K306" s="108"/>
      <c r="L306" s="9"/>
      <c r="M306" s="108"/>
      <c r="N306" s="9"/>
    </row>
    <row r="307" spans="1:15" ht="13.95" customHeight="1">
      <c r="A307" s="16"/>
      <c r="B307" s="12" t="s">
        <v>102</v>
      </c>
      <c r="C307" s="74" t="s">
        <v>166</v>
      </c>
      <c r="D307" s="12"/>
      <c r="E307" s="94"/>
      <c r="F307" s="14"/>
      <c r="G307" s="15"/>
      <c r="I307" s="9"/>
      <c r="J307" s="9"/>
      <c r="K307" s="108"/>
      <c r="L307" s="9"/>
      <c r="M307" s="108"/>
      <c r="N307" s="9"/>
    </row>
    <row r="308" spans="1:15" ht="13.95" customHeight="1">
      <c r="A308" s="16"/>
      <c r="B308" s="12"/>
      <c r="C308" s="95"/>
      <c r="D308" s="12"/>
      <c r="E308" s="94"/>
      <c r="F308" s="14"/>
      <c r="G308" s="15"/>
      <c r="I308" s="9"/>
      <c r="J308" s="9"/>
      <c r="K308" s="108"/>
      <c r="L308" s="103"/>
      <c r="M308" s="108"/>
      <c r="N308" s="9"/>
    </row>
    <row r="309" spans="1:15" ht="13.95" customHeight="1">
      <c r="A309" s="16"/>
      <c r="B309" s="12"/>
      <c r="C309" s="75" t="s">
        <v>78</v>
      </c>
      <c r="D309" s="12"/>
      <c r="E309" s="94"/>
      <c r="F309" s="14"/>
      <c r="G309" s="15"/>
      <c r="I309" s="103"/>
      <c r="J309" s="103"/>
      <c r="K309" s="134"/>
      <c r="L309" s="103"/>
      <c r="M309" s="134"/>
      <c r="N309" s="9"/>
    </row>
    <row r="310" spans="1:15" ht="13.95" customHeight="1">
      <c r="A310" s="16"/>
      <c r="B310" s="12"/>
      <c r="C310" s="75"/>
      <c r="D310" s="12"/>
      <c r="E310" s="94"/>
      <c r="F310" s="14"/>
      <c r="G310" s="15"/>
      <c r="I310" s="103"/>
      <c r="J310" s="103"/>
      <c r="K310" s="134"/>
      <c r="L310" s="103"/>
      <c r="M310" s="134"/>
      <c r="N310" s="9"/>
    </row>
    <row r="311" spans="1:15" ht="36">
      <c r="A311" s="16">
        <v>53</v>
      </c>
      <c r="B311" s="12"/>
      <c r="C311" s="47" t="s">
        <v>203</v>
      </c>
      <c r="D311" s="12" t="s">
        <v>6</v>
      </c>
      <c r="E311" s="3">
        <f>SUM(I311:N311)</f>
        <v>0</v>
      </c>
      <c r="F311" s="13">
        <v>16000</v>
      </c>
      <c r="G311" s="15">
        <f t="shared" si="61"/>
        <v>0</v>
      </c>
      <c r="I311" s="103"/>
      <c r="J311" s="103"/>
      <c r="K311" s="134"/>
      <c r="L311" s="103"/>
      <c r="M311" s="134"/>
      <c r="N311" s="103"/>
      <c r="O311" s="41"/>
    </row>
    <row r="312" spans="1:15" ht="13.95" customHeight="1">
      <c r="A312" s="16"/>
      <c r="B312" s="12"/>
      <c r="C312" s="75"/>
      <c r="D312" s="93"/>
      <c r="E312" s="94"/>
      <c r="F312" s="13"/>
      <c r="G312" s="15"/>
      <c r="I312" s="103"/>
      <c r="J312" s="103"/>
      <c r="K312" s="134"/>
      <c r="L312" s="103"/>
      <c r="M312" s="134"/>
      <c r="N312" s="103"/>
      <c r="O312" s="41"/>
    </row>
    <row r="313" spans="1:15" ht="36">
      <c r="A313" s="16">
        <v>54</v>
      </c>
      <c r="B313" s="12"/>
      <c r="C313" s="47" t="s">
        <v>286</v>
      </c>
      <c r="D313" s="12" t="s">
        <v>6</v>
      </c>
      <c r="E313" s="3">
        <f>SUM(I313:N313)</f>
        <v>0</v>
      </c>
      <c r="F313" s="13">
        <v>65000</v>
      </c>
      <c r="G313" s="15">
        <f t="shared" si="61"/>
        <v>0</v>
      </c>
      <c r="I313" s="103"/>
      <c r="J313" s="103"/>
      <c r="K313" s="134"/>
      <c r="L313" s="103"/>
      <c r="M313" s="134"/>
      <c r="N313" s="103"/>
      <c r="O313" s="41"/>
    </row>
    <row r="314" spans="1:15" ht="13.95" customHeight="1">
      <c r="A314" s="16"/>
      <c r="B314" s="12"/>
      <c r="C314" s="75"/>
      <c r="D314" s="93"/>
      <c r="E314" s="3"/>
      <c r="F314" s="13"/>
      <c r="G314" s="15"/>
      <c r="I314" s="103"/>
      <c r="J314" s="103"/>
      <c r="K314" s="134"/>
      <c r="L314" s="103"/>
      <c r="M314" s="134"/>
      <c r="N314" s="103"/>
      <c r="O314" s="41"/>
    </row>
    <row r="315" spans="1:15" ht="13.95" customHeight="1">
      <c r="A315" s="16"/>
      <c r="B315" s="12"/>
      <c r="C315" s="75"/>
      <c r="D315" s="93"/>
      <c r="E315" s="3"/>
      <c r="F315" s="13"/>
      <c r="G315" s="15"/>
      <c r="I315" s="103"/>
      <c r="J315" s="103"/>
      <c r="K315" s="134"/>
      <c r="L315" s="103"/>
      <c r="M315" s="134"/>
      <c r="N315" s="103"/>
      <c r="O315" s="41"/>
    </row>
    <row r="316" spans="1:15" ht="13.95" customHeight="1">
      <c r="A316" s="16"/>
      <c r="B316" s="12"/>
      <c r="C316" s="75"/>
      <c r="D316" s="93"/>
      <c r="E316" s="3"/>
      <c r="F316" s="13"/>
      <c r="G316" s="15"/>
      <c r="I316" s="103"/>
      <c r="J316" s="103"/>
      <c r="K316" s="134"/>
      <c r="L316" s="103"/>
      <c r="M316" s="134"/>
      <c r="N316" s="103"/>
      <c r="O316" s="41"/>
    </row>
    <row r="317" spans="1:15" ht="13.95" customHeight="1">
      <c r="A317" s="16"/>
      <c r="B317" s="12"/>
      <c r="C317" s="75"/>
      <c r="D317" s="93"/>
      <c r="E317" s="3"/>
      <c r="F317" s="13"/>
      <c r="G317" s="15"/>
      <c r="I317" s="103"/>
      <c r="J317" s="103"/>
      <c r="K317" s="134"/>
      <c r="L317" s="103"/>
      <c r="M317" s="134"/>
      <c r="N317" s="103"/>
      <c r="O317" s="41"/>
    </row>
    <row r="318" spans="1:15" ht="13.95" customHeight="1">
      <c r="A318" s="16"/>
      <c r="B318" s="12"/>
      <c r="C318" s="75"/>
      <c r="D318" s="93"/>
      <c r="E318" s="3"/>
      <c r="F318" s="13"/>
      <c r="G318" s="15"/>
      <c r="I318" s="103"/>
      <c r="J318" s="103"/>
      <c r="K318" s="134"/>
      <c r="L318" s="103"/>
      <c r="M318" s="134"/>
      <c r="N318" s="103"/>
      <c r="O318" s="41"/>
    </row>
    <row r="319" spans="1:15" ht="13.95" customHeight="1">
      <c r="A319" s="16"/>
      <c r="B319" s="12"/>
      <c r="C319" s="75"/>
      <c r="D319" s="93"/>
      <c r="E319" s="3"/>
      <c r="F319" s="13"/>
      <c r="G319" s="15"/>
      <c r="I319" s="103"/>
      <c r="J319" s="103"/>
      <c r="K319" s="134"/>
      <c r="L319" s="103"/>
      <c r="M319" s="134"/>
      <c r="N319" s="103"/>
      <c r="O319" s="41"/>
    </row>
    <row r="320" spans="1:15" ht="13.95" customHeight="1">
      <c r="A320" s="16"/>
      <c r="B320" s="12"/>
      <c r="C320" s="75"/>
      <c r="D320" s="93"/>
      <c r="E320" s="3"/>
      <c r="F320" s="13"/>
      <c r="G320" s="15"/>
      <c r="I320" s="103"/>
      <c r="J320" s="103"/>
      <c r="K320" s="103"/>
      <c r="L320" s="103"/>
      <c r="M320" s="134"/>
      <c r="N320" s="103"/>
      <c r="O320" s="41"/>
    </row>
    <row r="321" spans="1:15" ht="13.95" customHeight="1">
      <c r="A321" s="16"/>
      <c r="B321" s="12"/>
      <c r="C321" s="75"/>
      <c r="D321" s="93"/>
      <c r="E321" s="3"/>
      <c r="F321" s="13"/>
      <c r="G321" s="15"/>
      <c r="I321" s="103"/>
      <c r="J321" s="103"/>
      <c r="K321" s="103"/>
      <c r="L321" s="103"/>
      <c r="M321" s="134"/>
      <c r="N321" s="103"/>
      <c r="O321" s="41"/>
    </row>
    <row r="322" spans="1:15" ht="13.95" customHeight="1">
      <c r="A322" s="16"/>
      <c r="B322" s="12"/>
      <c r="C322" s="75"/>
      <c r="D322" s="93"/>
      <c r="E322" s="3"/>
      <c r="F322" s="13"/>
      <c r="G322" s="15"/>
      <c r="I322" s="103"/>
      <c r="J322" s="103"/>
      <c r="K322" s="103"/>
      <c r="L322" s="103"/>
      <c r="M322" s="134"/>
      <c r="N322" s="103"/>
      <c r="O322" s="41"/>
    </row>
    <row r="323" spans="1:15" ht="13.95" customHeight="1">
      <c r="A323" s="16"/>
      <c r="B323" s="12"/>
      <c r="C323" s="75"/>
      <c r="D323" s="93"/>
      <c r="E323" s="3"/>
      <c r="F323" s="13"/>
      <c r="G323" s="15"/>
      <c r="I323" s="103"/>
      <c r="J323" s="103"/>
      <c r="K323" s="103"/>
      <c r="L323" s="103"/>
      <c r="M323" s="134"/>
      <c r="N323" s="103"/>
      <c r="O323" s="41"/>
    </row>
    <row r="324" spans="1:15" ht="13.95" customHeight="1">
      <c r="A324" s="16"/>
      <c r="B324" s="12"/>
      <c r="C324" s="75"/>
      <c r="D324" s="93"/>
      <c r="E324" s="3"/>
      <c r="F324" s="13"/>
      <c r="G324" s="15"/>
      <c r="I324" s="103"/>
      <c r="J324" s="103"/>
      <c r="K324" s="103"/>
      <c r="L324" s="103"/>
      <c r="M324" s="134"/>
      <c r="N324" s="103"/>
      <c r="O324" s="41"/>
    </row>
    <row r="325" spans="1:15" ht="13.95" customHeight="1">
      <c r="A325" s="16"/>
      <c r="B325" s="12"/>
      <c r="C325" s="75"/>
      <c r="D325" s="93"/>
      <c r="E325" s="3"/>
      <c r="F325" s="13"/>
      <c r="G325" s="15"/>
      <c r="I325" s="103"/>
      <c r="J325" s="103"/>
      <c r="K325" s="103"/>
      <c r="L325" s="103"/>
      <c r="M325" s="134"/>
      <c r="N325" s="103"/>
      <c r="O325" s="41"/>
    </row>
    <row r="326" spans="1:15" ht="13.95" customHeight="1">
      <c r="A326" s="16"/>
      <c r="B326" s="12"/>
      <c r="C326" s="75"/>
      <c r="D326" s="93"/>
      <c r="E326" s="3"/>
      <c r="F326" s="13"/>
      <c r="G326" s="15"/>
      <c r="I326" s="103"/>
      <c r="J326" s="103"/>
      <c r="K326" s="103"/>
      <c r="L326" s="103"/>
      <c r="M326" s="134"/>
      <c r="N326" s="103"/>
      <c r="O326" s="41"/>
    </row>
    <row r="327" spans="1:15" ht="13.95" customHeight="1">
      <c r="A327" s="16"/>
      <c r="B327" s="12"/>
      <c r="C327" s="75"/>
      <c r="D327" s="93"/>
      <c r="E327" s="3"/>
      <c r="F327" s="13"/>
      <c r="G327" s="15"/>
      <c r="I327" s="103"/>
      <c r="J327" s="103"/>
      <c r="K327" s="103"/>
      <c r="L327" s="103"/>
      <c r="M327" s="134"/>
      <c r="N327" s="103"/>
      <c r="O327" s="41"/>
    </row>
    <row r="328" spans="1:15" ht="13.95" customHeight="1">
      <c r="A328" s="16"/>
      <c r="B328" s="12"/>
      <c r="C328" s="75"/>
      <c r="D328" s="93"/>
      <c r="E328" s="3"/>
      <c r="F328" s="13"/>
      <c r="G328" s="15"/>
      <c r="I328" s="103"/>
      <c r="J328" s="103"/>
      <c r="K328" s="103"/>
      <c r="L328" s="103"/>
      <c r="M328" s="134"/>
      <c r="N328" s="103"/>
      <c r="O328" s="41"/>
    </row>
    <row r="329" spans="1:15" ht="13.95" customHeight="1">
      <c r="A329" s="16"/>
      <c r="B329" s="12"/>
      <c r="C329" s="75"/>
      <c r="D329" s="93"/>
      <c r="E329" s="3"/>
      <c r="F329" s="13"/>
      <c r="G329" s="15"/>
      <c r="I329" s="103"/>
      <c r="J329" s="103"/>
      <c r="K329" s="103"/>
      <c r="L329" s="103"/>
      <c r="M329" s="134"/>
      <c r="N329" s="103"/>
      <c r="O329" s="41"/>
    </row>
    <row r="330" spans="1:15" ht="13.95" customHeight="1">
      <c r="A330" s="16"/>
      <c r="B330" s="12"/>
      <c r="C330" s="75"/>
      <c r="D330" s="93"/>
      <c r="E330" s="3"/>
      <c r="F330" s="13"/>
      <c r="G330" s="15"/>
      <c r="I330" s="103"/>
      <c r="J330" s="103"/>
      <c r="K330" s="103"/>
      <c r="L330" s="103"/>
      <c r="M330" s="134"/>
      <c r="N330" s="103"/>
      <c r="O330" s="41"/>
    </row>
    <row r="331" spans="1:15" ht="13.95" customHeight="1">
      <c r="A331" s="16"/>
      <c r="B331" s="16"/>
      <c r="C331" s="47"/>
      <c r="D331" s="58"/>
      <c r="E331" s="13"/>
      <c r="F331" s="14"/>
      <c r="G331" s="15"/>
      <c r="I331" s="105"/>
      <c r="J331" s="105"/>
      <c r="K331" s="105"/>
      <c r="L331" s="105"/>
      <c r="M331" s="135"/>
      <c r="N331" s="53"/>
      <c r="O331" s="41"/>
    </row>
    <row r="332" spans="1:15">
      <c r="A332" s="16"/>
      <c r="B332" s="16"/>
      <c r="C332" s="47"/>
      <c r="D332" s="58"/>
      <c r="E332" s="13"/>
      <c r="F332" s="14"/>
      <c r="G332" s="15"/>
    </row>
    <row r="333" spans="1:15">
      <c r="A333" s="16"/>
      <c r="B333" s="16"/>
      <c r="C333" s="47"/>
      <c r="D333" s="58"/>
      <c r="E333" s="13"/>
      <c r="F333" s="14"/>
      <c r="G333" s="15"/>
    </row>
    <row r="334" spans="1:15">
      <c r="A334" s="16"/>
      <c r="B334" s="16"/>
      <c r="C334" s="47"/>
      <c r="D334" s="58"/>
      <c r="E334" s="13"/>
      <c r="F334" s="14"/>
      <c r="G334" s="15"/>
    </row>
    <row r="335" spans="1:15" ht="20.399999999999999" customHeight="1">
      <c r="A335" s="156" t="s">
        <v>161</v>
      </c>
      <c r="B335" s="157"/>
      <c r="C335" s="157"/>
      <c r="D335" s="157"/>
      <c r="E335" s="157"/>
      <c r="F335" s="158"/>
      <c r="G335" s="78">
        <f>SUM(G289:G334)</f>
        <v>3604311</v>
      </c>
    </row>
  </sheetData>
  <mergeCells count="13">
    <mergeCell ref="A152:F152"/>
    <mergeCell ref="A48:F48"/>
    <mergeCell ref="A52:F52"/>
    <mergeCell ref="A96:F96"/>
    <mergeCell ref="A100:F100"/>
    <mergeCell ref="A148:F148"/>
    <mergeCell ref="A335:F335"/>
    <mergeCell ref="A198:F198"/>
    <mergeCell ref="A202:F202"/>
    <mergeCell ref="A242:F242"/>
    <mergeCell ref="A246:F246"/>
    <mergeCell ref="A285:F285"/>
    <mergeCell ref="A289:F289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F64AF-A7F9-4397-98BA-C15B1DEBD5C3}">
  <dimension ref="A1:I335"/>
  <sheetViews>
    <sheetView showGridLines="0" view="pageBreakPreview" topLeftCell="A2" zoomScaleNormal="100" zoomScaleSheetLayoutView="100" workbookViewId="0">
      <selection activeCell="F11" sqref="F11"/>
    </sheetView>
  </sheetViews>
  <sheetFormatPr defaultColWidth="13.109375" defaultRowHeight="12"/>
  <cols>
    <col min="1" max="1" width="4.88671875" style="22" customWidth="1"/>
    <col min="2" max="2" width="8.33203125" style="20" customWidth="1"/>
    <col min="3" max="3" width="40.6640625" style="21" customWidth="1"/>
    <col min="4" max="4" width="5.109375" style="22" customWidth="1"/>
    <col min="5" max="5" width="7.6640625" style="22" customWidth="1"/>
    <col min="6" max="6" width="8.6640625" style="23" customWidth="1"/>
    <col min="7" max="7" width="11.6640625" style="24" customWidth="1"/>
    <col min="8" max="8" width="4.33203125" style="6" customWidth="1"/>
    <col min="9" max="16384" width="13.109375" style="6"/>
  </cols>
  <sheetData>
    <row r="1" spans="1:7" ht="20.399999999999999" hidden="1" customHeight="1">
      <c r="A1" s="19" t="s">
        <v>80</v>
      </c>
    </row>
    <row r="2" spans="1:7" ht="15" customHeight="1">
      <c r="A2" s="142" t="str">
        <f>Summary!A2</f>
        <v>NAFASI WATER - ARNOT WASTE TREATMENT PLANT</v>
      </c>
      <c r="G2" s="25" t="str">
        <f>Summary!C2</f>
        <v>Revision T1</v>
      </c>
    </row>
    <row r="3" spans="1:7" ht="15" customHeight="1">
      <c r="A3" s="19" t="str">
        <f>Summary!A3</f>
        <v>PILING AND CIVIL WORK</v>
      </c>
      <c r="G3" s="26"/>
    </row>
    <row r="4" spans="1:7" ht="15" customHeight="1">
      <c r="A4" s="19" t="s">
        <v>307</v>
      </c>
      <c r="G4" s="143">
        <f>Summary!C4</f>
        <v>45183</v>
      </c>
    </row>
    <row r="5" spans="1:7" ht="15" customHeight="1">
      <c r="A5" s="27"/>
      <c r="B5" s="28"/>
      <c r="C5" s="28"/>
      <c r="E5" s="29"/>
      <c r="G5" s="30"/>
    </row>
    <row r="6" spans="1:7" s="42" customFormat="1" ht="37.200000000000003" customHeight="1">
      <c r="A6" s="44" t="s">
        <v>8</v>
      </c>
      <c r="B6" s="48" t="s">
        <v>9</v>
      </c>
      <c r="C6" s="44" t="s">
        <v>10</v>
      </c>
      <c r="D6" s="48" t="s">
        <v>11</v>
      </c>
      <c r="E6" s="48" t="s">
        <v>59</v>
      </c>
      <c r="F6" s="49" t="s">
        <v>12</v>
      </c>
      <c r="G6" s="49" t="s">
        <v>13</v>
      </c>
    </row>
    <row r="7" spans="1:7" s="42" customFormat="1" ht="4.95" customHeight="1">
      <c r="A7" s="2"/>
      <c r="B7" s="40"/>
      <c r="C7" s="50"/>
      <c r="D7" s="40"/>
      <c r="E7" s="40"/>
      <c r="F7" s="54"/>
      <c r="G7" s="54"/>
    </row>
    <row r="8" spans="1:7" ht="19.2" customHeight="1">
      <c r="A8" s="1"/>
      <c r="B8" s="2"/>
      <c r="C8" s="11" t="s">
        <v>308</v>
      </c>
      <c r="D8" s="1"/>
      <c r="E8" s="1"/>
      <c r="F8" s="4"/>
      <c r="G8" s="5"/>
    </row>
    <row r="9" spans="1:7" ht="10.95" customHeight="1">
      <c r="A9" s="1"/>
      <c r="B9" s="2"/>
      <c r="C9" s="11"/>
      <c r="D9" s="1"/>
      <c r="E9" s="1"/>
      <c r="F9" s="4"/>
      <c r="G9" s="5"/>
    </row>
    <row r="10" spans="1:7">
      <c r="A10" s="1">
        <v>1</v>
      </c>
      <c r="B10" s="1"/>
      <c r="C10" s="32" t="s">
        <v>310</v>
      </c>
      <c r="D10" s="9" t="s">
        <v>60</v>
      </c>
      <c r="E10" s="3">
        <v>36</v>
      </c>
      <c r="F10" s="4">
        <v>12000</v>
      </c>
      <c r="G10" s="5">
        <f t="shared" ref="G10" si="0">+E10*F10</f>
        <v>432000</v>
      </c>
    </row>
    <row r="11" spans="1:7" ht="24">
      <c r="A11" s="1"/>
      <c r="B11" s="1"/>
      <c r="C11" s="33" t="s">
        <v>309</v>
      </c>
      <c r="D11" s="1"/>
      <c r="E11" s="3" t="str">
        <f>IF(SUM(H11:H11)&gt;0,SUM(H11:H11),"")</f>
        <v/>
      </c>
      <c r="F11" s="4"/>
      <c r="G11" s="5"/>
    </row>
    <row r="12" spans="1:7" ht="13.95" customHeight="1">
      <c r="A12" s="16"/>
      <c r="B12" s="76"/>
      <c r="C12" s="74"/>
      <c r="D12" s="93"/>
      <c r="E12" s="94"/>
      <c r="F12" s="14"/>
      <c r="G12" s="15"/>
    </row>
    <row r="13" spans="1:7" ht="13.95" customHeight="1">
      <c r="A13" s="16"/>
      <c r="B13" s="12"/>
      <c r="C13" s="75"/>
      <c r="D13" s="93"/>
      <c r="E13" s="94"/>
      <c r="F13" s="14"/>
      <c r="G13" s="15"/>
    </row>
    <row r="14" spans="1:7">
      <c r="A14" s="16"/>
      <c r="B14" s="12"/>
      <c r="C14" s="70"/>
      <c r="D14" s="12"/>
      <c r="E14" s="94"/>
      <c r="F14" s="14"/>
      <c r="G14" s="15"/>
    </row>
    <row r="15" spans="1:7" ht="13.95" customHeight="1">
      <c r="A15" s="16"/>
      <c r="B15" s="73"/>
      <c r="C15" s="62"/>
      <c r="D15" s="12"/>
      <c r="E15" s="94"/>
      <c r="F15" s="14"/>
      <c r="G15" s="15"/>
    </row>
    <row r="16" spans="1:7" ht="13.95" customHeight="1">
      <c r="A16" s="16"/>
      <c r="B16" s="73"/>
      <c r="C16" s="75"/>
      <c r="D16" s="12"/>
      <c r="E16" s="3"/>
      <c r="F16" s="13"/>
      <c r="G16" s="15"/>
    </row>
    <row r="17" spans="1:7">
      <c r="A17" s="16"/>
      <c r="B17" s="73"/>
      <c r="C17" s="62"/>
      <c r="D17" s="12"/>
      <c r="E17" s="94"/>
      <c r="F17" s="14"/>
      <c r="G17" s="15"/>
    </row>
    <row r="18" spans="1:7" ht="10.95" customHeight="1">
      <c r="A18" s="16"/>
      <c r="B18" s="12"/>
      <c r="C18" s="70"/>
      <c r="D18" s="12"/>
      <c r="E18" s="94"/>
      <c r="F18" s="14"/>
      <c r="G18" s="15"/>
    </row>
    <row r="19" spans="1:7" ht="13.2" customHeight="1">
      <c r="A19" s="16"/>
      <c r="B19" s="73"/>
      <c r="C19" s="62"/>
      <c r="D19" s="12"/>
      <c r="E19" s="94"/>
      <c r="F19" s="14"/>
      <c r="G19" s="15"/>
    </row>
    <row r="20" spans="1:7" ht="13.2" customHeight="1">
      <c r="A20" s="16"/>
      <c r="B20" s="73"/>
      <c r="C20" s="75"/>
      <c r="D20" s="12"/>
      <c r="E20" s="3"/>
      <c r="F20" s="14"/>
      <c r="G20" s="15"/>
    </row>
    <row r="21" spans="1:7" ht="13.2" customHeight="1">
      <c r="A21" s="16"/>
      <c r="B21" s="12"/>
      <c r="C21" s="75"/>
      <c r="D21" s="93"/>
      <c r="E21" s="94"/>
      <c r="F21" s="14"/>
      <c r="G21" s="15"/>
    </row>
    <row r="22" spans="1:7" ht="13.2" customHeight="1">
      <c r="A22" s="16"/>
      <c r="B22" s="76"/>
      <c r="C22" s="46"/>
      <c r="D22" s="12"/>
      <c r="E22" s="12"/>
      <c r="F22" s="145"/>
      <c r="G22" s="15"/>
    </row>
    <row r="23" spans="1:7" ht="13.2" customHeight="1">
      <c r="A23" s="16"/>
      <c r="B23" s="76"/>
      <c r="C23" s="75"/>
      <c r="D23" s="12"/>
      <c r="E23" s="12"/>
      <c r="F23" s="145"/>
      <c r="G23" s="15"/>
    </row>
    <row r="24" spans="1:7" ht="13.2" customHeight="1">
      <c r="A24" s="16"/>
      <c r="B24" s="76"/>
      <c r="C24" s="75"/>
      <c r="D24" s="12"/>
      <c r="E24" s="12"/>
      <c r="F24" s="145"/>
      <c r="G24" s="15"/>
    </row>
    <row r="25" spans="1:7" ht="13.2" customHeight="1">
      <c r="A25" s="16"/>
      <c r="B25" s="76"/>
      <c r="C25" s="75"/>
      <c r="D25" s="12"/>
      <c r="E25" s="12"/>
      <c r="F25" s="145"/>
      <c r="G25" s="15"/>
    </row>
    <row r="26" spans="1:7" ht="13.2" customHeight="1">
      <c r="A26" s="16"/>
      <c r="B26" s="76"/>
      <c r="C26" s="75"/>
      <c r="D26" s="12"/>
      <c r="E26" s="3"/>
      <c r="F26" s="94"/>
      <c r="G26" s="15"/>
    </row>
    <row r="27" spans="1:7" ht="12.6" customHeight="1">
      <c r="A27" s="16"/>
      <c r="B27" s="12"/>
      <c r="C27" s="75"/>
      <c r="D27" s="93"/>
      <c r="E27" s="94"/>
      <c r="F27" s="14"/>
      <c r="G27" s="15"/>
    </row>
    <row r="28" spans="1:7" ht="12.6" customHeight="1">
      <c r="A28" s="16"/>
      <c r="B28" s="12"/>
      <c r="C28" s="74"/>
      <c r="D28" s="12"/>
      <c r="E28" s="94"/>
      <c r="F28" s="14"/>
      <c r="G28" s="15"/>
    </row>
    <row r="29" spans="1:7" ht="12.6" customHeight="1">
      <c r="A29" s="16"/>
      <c r="B29" s="12"/>
      <c r="C29" s="75"/>
      <c r="D29" s="93"/>
      <c r="E29" s="3"/>
      <c r="F29" s="13"/>
      <c r="G29" s="15"/>
    </row>
    <row r="30" spans="1:7" ht="12.6" customHeight="1">
      <c r="A30" s="16"/>
      <c r="B30" s="12"/>
      <c r="C30" s="75"/>
      <c r="D30" s="93"/>
      <c r="E30" s="3"/>
      <c r="F30" s="13"/>
      <c r="G30" s="15"/>
    </row>
    <row r="31" spans="1:7" ht="12.6" customHeight="1">
      <c r="A31" s="16"/>
      <c r="B31" s="12"/>
      <c r="C31" s="75"/>
      <c r="D31" s="93"/>
      <c r="E31" s="3"/>
      <c r="F31" s="13"/>
      <c r="G31" s="15"/>
    </row>
    <row r="32" spans="1:7" ht="12.6" customHeight="1">
      <c r="A32" s="16"/>
      <c r="B32" s="12"/>
      <c r="C32" s="75"/>
      <c r="D32" s="93"/>
      <c r="E32" s="3"/>
      <c r="F32" s="13"/>
      <c r="G32" s="15"/>
    </row>
    <row r="33" spans="1:7" ht="12.6" customHeight="1">
      <c r="A33" s="16"/>
      <c r="B33" s="12"/>
      <c r="C33" s="75"/>
      <c r="D33" s="93"/>
      <c r="E33" s="3"/>
      <c r="F33" s="13"/>
      <c r="G33" s="15"/>
    </row>
    <row r="34" spans="1:7" ht="13.2" customHeight="1">
      <c r="A34" s="16"/>
      <c r="B34" s="12"/>
      <c r="C34" s="75"/>
      <c r="D34" s="93"/>
      <c r="E34" s="3"/>
      <c r="F34" s="13"/>
      <c r="G34" s="15"/>
    </row>
    <row r="35" spans="1:7" ht="13.2" customHeight="1">
      <c r="A35" s="16"/>
      <c r="B35" s="12"/>
      <c r="C35" s="75"/>
      <c r="D35" s="93"/>
      <c r="E35" s="3"/>
      <c r="F35" s="13"/>
      <c r="G35" s="15"/>
    </row>
    <row r="36" spans="1:7" ht="13.2" customHeight="1">
      <c r="A36" s="16"/>
      <c r="B36" s="12"/>
      <c r="C36" s="75"/>
      <c r="D36" s="93"/>
      <c r="E36" s="3"/>
      <c r="F36" s="13"/>
      <c r="G36" s="15"/>
    </row>
    <row r="37" spans="1:7" ht="13.2" customHeight="1">
      <c r="A37" s="16"/>
      <c r="B37" s="12"/>
      <c r="C37" s="75"/>
      <c r="D37" s="93"/>
      <c r="E37" s="3"/>
      <c r="F37" s="13"/>
      <c r="G37" s="15"/>
    </row>
    <row r="38" spans="1:7" ht="13.2" customHeight="1">
      <c r="A38" s="16"/>
      <c r="B38" s="12"/>
      <c r="C38" s="75"/>
      <c r="D38" s="93"/>
      <c r="E38" s="3"/>
      <c r="F38" s="13"/>
      <c r="G38" s="15"/>
    </row>
    <row r="39" spans="1:7" ht="13.2" customHeight="1">
      <c r="A39" s="16"/>
      <c r="B39" s="12"/>
      <c r="C39" s="75"/>
      <c r="D39" s="93"/>
      <c r="E39" s="3"/>
      <c r="F39" s="13"/>
      <c r="G39" s="15"/>
    </row>
    <row r="40" spans="1:7" ht="13.2" customHeight="1">
      <c r="A40" s="16"/>
      <c r="B40" s="12"/>
      <c r="C40" s="75"/>
      <c r="D40" s="93"/>
      <c r="E40" s="3"/>
      <c r="F40" s="13"/>
      <c r="G40" s="15"/>
    </row>
    <row r="41" spans="1:7" ht="13.2" customHeight="1">
      <c r="A41" s="16"/>
      <c r="B41" s="12"/>
      <c r="C41" s="75"/>
      <c r="D41" s="93"/>
      <c r="E41" s="3"/>
      <c r="F41" s="13"/>
      <c r="G41" s="15"/>
    </row>
    <row r="42" spans="1:7" ht="13.2" customHeight="1">
      <c r="A42" s="16"/>
      <c r="B42" s="12"/>
      <c r="C42" s="75"/>
      <c r="D42" s="93"/>
      <c r="E42" s="3"/>
      <c r="F42" s="13"/>
      <c r="G42" s="15"/>
    </row>
    <row r="43" spans="1:7">
      <c r="A43" s="16"/>
      <c r="B43" s="12"/>
      <c r="C43" s="75"/>
      <c r="D43" s="93"/>
      <c r="E43" s="3"/>
      <c r="F43" s="13"/>
      <c r="G43" s="15"/>
    </row>
    <row r="44" spans="1:7" ht="13.95" customHeight="1">
      <c r="A44" s="16"/>
      <c r="B44" s="12"/>
      <c r="C44" s="75"/>
      <c r="D44" s="93"/>
      <c r="E44" s="3"/>
      <c r="F44" s="13"/>
      <c r="G44" s="15"/>
    </row>
    <row r="45" spans="1:7" ht="50.4" customHeight="1">
      <c r="A45" s="16"/>
      <c r="B45" s="12"/>
      <c r="C45" s="75"/>
      <c r="D45" s="93"/>
      <c r="E45" s="3"/>
      <c r="F45" s="13"/>
      <c r="G45" s="15"/>
    </row>
    <row r="46" spans="1:7">
      <c r="A46" s="16"/>
      <c r="B46" s="16"/>
      <c r="C46" s="47"/>
      <c r="D46" s="58"/>
      <c r="E46" s="13"/>
      <c r="F46" s="14"/>
      <c r="G46" s="15"/>
    </row>
    <row r="47" spans="1:7" ht="13.95" customHeight="1">
      <c r="A47" s="16"/>
      <c r="B47" s="16"/>
      <c r="C47" s="47"/>
      <c r="D47" s="58"/>
      <c r="E47" s="13"/>
      <c r="F47" s="14"/>
      <c r="G47" s="15"/>
    </row>
    <row r="48" spans="1:7" ht="20.100000000000001" customHeight="1">
      <c r="A48" s="16"/>
      <c r="B48" s="16"/>
      <c r="C48" s="47"/>
      <c r="D48" s="58"/>
      <c r="E48" s="13"/>
      <c r="F48" s="14"/>
      <c r="G48" s="15"/>
    </row>
    <row r="49" spans="1:7">
      <c r="A49" s="16"/>
      <c r="B49" s="16"/>
      <c r="C49" s="47"/>
      <c r="D49" s="58"/>
      <c r="E49" s="13"/>
      <c r="F49" s="14"/>
      <c r="G49" s="15"/>
    </row>
    <row r="50" spans="1:7" ht="13.95" customHeight="1">
      <c r="A50" s="156" t="s">
        <v>161</v>
      </c>
      <c r="B50" s="157"/>
      <c r="C50" s="157"/>
      <c r="D50" s="157"/>
      <c r="E50" s="157"/>
      <c r="F50" s="158"/>
      <c r="G50" s="78">
        <f>G10</f>
        <v>432000</v>
      </c>
    </row>
    <row r="51" spans="1:7" ht="24" customHeight="1"/>
    <row r="52" spans="1:7" ht="20.100000000000001" customHeight="1"/>
    <row r="53" spans="1:7" ht="9" customHeight="1"/>
    <row r="54" spans="1:7" ht="13.95" customHeight="1"/>
    <row r="55" spans="1:7" ht="13.95" customHeight="1"/>
    <row r="56" spans="1:7" ht="13.95" customHeight="1"/>
    <row r="57" spans="1:7" ht="13.95" customHeight="1"/>
    <row r="58" spans="1:7" ht="22.95" customHeight="1"/>
    <row r="59" spans="1:7" ht="13.95" customHeight="1"/>
    <row r="60" spans="1:7" ht="13.95" customHeight="1"/>
    <row r="61" spans="1:7" ht="9.75" customHeight="1"/>
    <row r="62" spans="1:7" ht="13.95" customHeight="1"/>
    <row r="63" spans="1:7" ht="9" customHeight="1"/>
    <row r="64" spans="1:7" ht="28.95" customHeight="1"/>
    <row r="65" ht="13.95" customHeight="1"/>
    <row r="66" ht="22.2" customHeight="1"/>
    <row r="67" ht="13.95" customHeight="1"/>
    <row r="68" ht="13.95" customHeight="1"/>
    <row r="69" ht="13.95" customHeight="1"/>
    <row r="70" ht="23.4" customHeight="1"/>
    <row r="71" ht="13.95" customHeight="1"/>
    <row r="72" ht="33.6" customHeight="1"/>
    <row r="73" ht="13.95" customHeight="1"/>
    <row r="74" ht="21.6" customHeight="1"/>
    <row r="75" ht="13.95" customHeight="1"/>
    <row r="76" ht="13.95" customHeight="1"/>
    <row r="77" ht="13.95" customHeight="1"/>
    <row r="78" ht="13.95" customHeight="1"/>
    <row r="79" ht="13.95" customHeight="1"/>
    <row r="80" ht="13.95" customHeight="1"/>
    <row r="81" ht="13.95" customHeight="1"/>
    <row r="82" ht="13.95" customHeight="1"/>
    <row r="83" ht="13.95" customHeight="1"/>
    <row r="84" ht="19.95" customHeight="1"/>
    <row r="85" ht="13.95" customHeight="1"/>
    <row r="86" ht="13.95" customHeight="1"/>
    <row r="87" ht="13.95" customHeight="1"/>
    <row r="88" ht="13.95" customHeight="1"/>
    <row r="89" ht="13.95" customHeight="1"/>
    <row r="90" ht="13.95" customHeight="1"/>
    <row r="91" ht="13.95" customHeight="1"/>
    <row r="92" ht="13.95" customHeight="1"/>
    <row r="93" ht="13.95" customHeight="1"/>
    <row r="94" ht="13.95" customHeight="1"/>
    <row r="95" ht="13.95" customHeight="1"/>
    <row r="96" ht="20.100000000000001" customHeight="1"/>
    <row r="97" ht="13.95" customHeight="1"/>
    <row r="98" ht="13.95" customHeight="1"/>
    <row r="99" ht="22.2" customHeight="1"/>
    <row r="100" ht="20.100000000000001" customHeight="1"/>
    <row r="101" ht="13.95" customHeight="1"/>
    <row r="102" ht="13.95" customHeight="1"/>
    <row r="103" ht="13.95" customHeight="1"/>
    <row r="104" ht="13.95" customHeight="1"/>
    <row r="105" ht="13.95" customHeight="1"/>
    <row r="106" ht="13.95" customHeight="1"/>
    <row r="107" ht="13.95" customHeight="1"/>
    <row r="108" ht="13.95" customHeight="1"/>
    <row r="109" ht="13.95" customHeight="1"/>
    <row r="110" ht="13.95" customHeight="1"/>
    <row r="111" ht="13.95" customHeight="1"/>
    <row r="112" ht="24" customHeight="1"/>
    <row r="113" ht="13.95" customHeight="1"/>
    <row r="114" ht="13.95" customHeight="1"/>
    <row r="115" ht="13.95" customHeight="1"/>
    <row r="116" ht="13.95" customHeight="1"/>
    <row r="117" ht="13.95" customHeight="1"/>
    <row r="118" ht="13.95" customHeight="1"/>
    <row r="119" ht="13.95" customHeight="1"/>
    <row r="120" ht="13.95" customHeight="1"/>
    <row r="121" ht="13.95" customHeight="1"/>
    <row r="122" ht="13.95" customHeight="1"/>
    <row r="123" ht="13.95" customHeight="1"/>
    <row r="124" ht="13.95" customHeight="1"/>
    <row r="125" ht="13.95" customHeight="1"/>
    <row r="126" ht="13.95" customHeight="1"/>
    <row r="127" ht="13.95" customHeight="1"/>
    <row r="128" ht="13.95" customHeight="1"/>
    <row r="129" ht="13.95" customHeight="1"/>
    <row r="130" ht="13.95" customHeight="1"/>
    <row r="131" ht="13.95" customHeight="1"/>
    <row r="132" ht="13.95" customHeight="1"/>
    <row r="133" ht="13.95" customHeight="1"/>
    <row r="134" ht="13.95" customHeight="1"/>
    <row r="135" ht="13.95" customHeight="1"/>
    <row r="136" ht="13.95" customHeight="1"/>
    <row r="137" ht="13.95" customHeight="1"/>
    <row r="138" ht="13.95" customHeight="1"/>
    <row r="139" ht="13.95" customHeight="1"/>
    <row r="140" ht="13.95" customHeight="1"/>
    <row r="141" ht="13.95" customHeight="1"/>
    <row r="142" ht="13.95" customHeight="1"/>
    <row r="143" ht="13.95" customHeight="1"/>
    <row r="144" ht="13.95" customHeight="1"/>
    <row r="145" ht="13.95" customHeight="1"/>
    <row r="146" ht="13.95" customHeight="1"/>
    <row r="147" ht="13.95" customHeight="1"/>
    <row r="148" ht="20.100000000000001" customHeight="1"/>
    <row r="149" ht="13.95" customHeight="1"/>
    <row r="150" ht="13.95" customHeight="1"/>
    <row r="151" ht="22.2" customHeight="1"/>
    <row r="152" ht="20.100000000000001" customHeight="1"/>
    <row r="153" ht="13.95" customHeight="1"/>
    <row r="154" ht="13.95" customHeight="1"/>
    <row r="155" ht="13.95" customHeight="1"/>
    <row r="156" ht="13.95" customHeight="1"/>
    <row r="157" ht="13.95" customHeight="1"/>
    <row r="158" ht="13.95" customHeight="1"/>
    <row r="159" ht="13.95" customHeight="1"/>
    <row r="160" ht="13.95" customHeight="1"/>
    <row r="161" ht="13.95" customHeight="1"/>
    <row r="162" ht="13.95" customHeight="1"/>
    <row r="163" ht="13.95" customHeight="1"/>
    <row r="164" ht="13.95" customHeight="1"/>
    <row r="165" ht="13.95" customHeight="1"/>
    <row r="166" ht="13.95" customHeight="1"/>
    <row r="167" ht="13.95" customHeight="1"/>
    <row r="168" ht="13.95" customHeight="1"/>
    <row r="169" ht="13.95" customHeight="1"/>
    <row r="170" ht="13.95" customHeight="1"/>
    <row r="171" ht="13.95" customHeight="1"/>
    <row r="172" ht="13.95" customHeight="1"/>
    <row r="173" ht="13.95" customHeight="1"/>
    <row r="174" ht="13.95" customHeight="1"/>
    <row r="175" ht="13.95" customHeight="1"/>
    <row r="176" ht="13.95" customHeight="1"/>
    <row r="177" ht="13.95" customHeight="1"/>
    <row r="178" ht="13.95" customHeight="1"/>
    <row r="179" ht="13.95" customHeight="1"/>
    <row r="180" ht="27" customHeight="1"/>
    <row r="181" ht="13.95" customHeight="1"/>
    <row r="182" ht="24.6" customHeight="1"/>
    <row r="183" ht="13.95" customHeight="1"/>
    <row r="184" ht="23.4" customHeight="1"/>
    <row r="185" ht="13.95" customHeight="1"/>
    <row r="186" ht="13.95" customHeight="1"/>
    <row r="187" ht="13.95" customHeight="1"/>
    <row r="188" ht="13.95" customHeight="1"/>
    <row r="189" ht="13.95" customHeight="1"/>
    <row r="190" ht="13.95" customHeight="1"/>
    <row r="191" ht="13.95" customHeight="1"/>
    <row r="192" ht="13.95" customHeight="1"/>
    <row r="193" ht="13.95" customHeight="1"/>
    <row r="194" ht="13.95" customHeight="1"/>
    <row r="195" ht="13.95" customHeight="1"/>
    <row r="196" ht="13.95" customHeight="1"/>
    <row r="197" ht="13.95" customHeight="1"/>
    <row r="198" ht="20.100000000000001" customHeight="1"/>
    <row r="199" ht="13.95" customHeight="1"/>
    <row r="200" ht="13.95" customHeight="1"/>
    <row r="201" ht="22.2" customHeight="1"/>
    <row r="202" ht="20.100000000000001" customHeight="1"/>
    <row r="203" ht="13.95" customHeight="1"/>
    <row r="204" ht="13.95" customHeight="1"/>
    <row r="205" ht="13.95" customHeight="1"/>
    <row r="206" ht="13.95" customHeight="1"/>
    <row r="207" ht="13.95" customHeight="1"/>
    <row r="208" ht="13.95" customHeight="1"/>
    <row r="209" ht="13.95" customHeight="1"/>
    <row r="210" ht="13.95" customHeight="1"/>
    <row r="211" ht="13.95" customHeight="1"/>
    <row r="212" ht="13.95" customHeight="1"/>
    <row r="213" ht="13.95" customHeight="1"/>
    <row r="214" ht="24.6" customHeight="1"/>
    <row r="215" ht="13.95" customHeight="1"/>
    <row r="216" ht="22.95" customHeight="1"/>
    <row r="217" ht="13.95" customHeight="1"/>
    <row r="218" ht="46.2" customHeight="1"/>
    <row r="219" ht="13.95" customHeight="1"/>
    <row r="220" ht="48" customHeight="1"/>
    <row r="221" ht="12.6" customHeight="1"/>
    <row r="222" ht="13.95" customHeight="1"/>
    <row r="223" ht="13.95" customHeight="1"/>
    <row r="224" ht="13.95" customHeight="1"/>
    <row r="225" ht="13.95" customHeight="1"/>
    <row r="226" ht="22.95" customHeight="1"/>
    <row r="227" ht="13.95" customHeight="1"/>
    <row r="228" ht="13.95" customHeight="1"/>
    <row r="229" ht="13.95" customHeight="1"/>
    <row r="230" ht="48.6" customHeight="1"/>
    <row r="237" ht="13.95" customHeight="1"/>
    <row r="238" ht="13.95" customHeight="1"/>
    <row r="239" ht="13.95" customHeight="1"/>
    <row r="240" ht="13.95" customHeight="1"/>
    <row r="241" ht="13.95" customHeight="1"/>
    <row r="242" ht="20.100000000000001" customHeight="1"/>
    <row r="243" ht="13.95" customHeight="1"/>
    <row r="244" ht="13.95" customHeight="1"/>
    <row r="245" ht="22.2" customHeight="1"/>
    <row r="246" ht="20.100000000000001" customHeight="1"/>
    <row r="247" ht="13.95" customHeight="1"/>
    <row r="248" ht="13.95" customHeight="1"/>
    <row r="249" ht="13.95" customHeight="1"/>
    <row r="250" ht="48" customHeight="1"/>
    <row r="251" ht="13.95" customHeight="1"/>
    <row r="252" ht="25.95" customHeight="1"/>
    <row r="253" ht="13.95" customHeight="1"/>
    <row r="254" ht="38.4" customHeight="1"/>
    <row r="255" ht="13.95" customHeight="1"/>
    <row r="256" ht="25.95" customHeight="1"/>
    <row r="257" ht="13.95" customHeight="1"/>
    <row r="258" ht="13.95" customHeight="1"/>
    <row r="259" ht="13.95" customHeight="1"/>
    <row r="261" ht="13.95" customHeight="1"/>
    <row r="262" ht="22.2" customHeight="1"/>
    <row r="263" ht="13.95" customHeight="1"/>
    <row r="264" ht="13.95" customHeight="1"/>
    <row r="265" ht="13.95" customHeight="1"/>
    <row r="266" ht="24" customHeight="1"/>
    <row r="267" ht="13.95" customHeight="1"/>
    <row r="268" ht="13.95" customHeight="1"/>
    <row r="269" ht="13.95" customHeight="1"/>
    <row r="270" ht="12.6" customHeight="1"/>
    <row r="271" ht="12.6" customHeight="1"/>
    <row r="272" ht="12.6" customHeight="1"/>
    <row r="273" ht="12.6" customHeight="1"/>
    <row r="274" ht="12.6" customHeight="1"/>
    <row r="275" ht="12.6" customHeight="1"/>
    <row r="276" ht="38.4" customHeight="1"/>
    <row r="277" ht="12.6" customHeight="1"/>
    <row r="278" ht="13.95" customHeight="1"/>
    <row r="279" ht="13.95" customHeight="1"/>
    <row r="280" ht="22.2" customHeight="1"/>
    <row r="282" ht="13.95" customHeight="1"/>
    <row r="283" ht="13.95" customHeight="1"/>
    <row r="284" ht="13.95" customHeight="1"/>
    <row r="285" ht="20.100000000000001" customHeight="1"/>
    <row r="286" ht="13.95" customHeight="1"/>
    <row r="287" ht="13.95" customHeight="1"/>
    <row r="288" ht="22.2" customHeight="1"/>
    <row r="289" ht="20.100000000000001" customHeight="1"/>
    <row r="290" ht="13.95" customHeight="1"/>
    <row r="291" ht="13.95" customHeight="1"/>
    <row r="292" ht="13.95" customHeight="1"/>
    <row r="293" ht="13.95" customHeight="1"/>
    <row r="294" ht="13.95" customHeight="1"/>
    <row r="295" ht="13.95" customHeight="1"/>
    <row r="296" ht="13.95" customHeight="1"/>
    <row r="297" ht="13.95" customHeight="1"/>
    <row r="298" ht="13.95" customHeight="1"/>
    <row r="299" ht="13.95" customHeight="1"/>
    <row r="300" ht="13.95" customHeight="1"/>
    <row r="302" ht="13.95" customHeight="1"/>
    <row r="303" ht="13.95" customHeight="1"/>
    <row r="304" ht="13.95" customHeight="1"/>
    <row r="305" spans="9:9" ht="13.95" customHeight="1"/>
    <row r="306" spans="9:9" ht="13.95" customHeight="1"/>
    <row r="307" spans="9:9" ht="13.95" customHeight="1"/>
    <row r="308" spans="9:9" ht="13.95" customHeight="1"/>
    <row r="309" spans="9:9" ht="13.95" customHeight="1"/>
    <row r="310" spans="9:9" ht="13.95" customHeight="1"/>
    <row r="311" spans="9:9">
      <c r="I311" s="41"/>
    </row>
    <row r="312" spans="9:9" ht="13.95" customHeight="1">
      <c r="I312" s="41"/>
    </row>
    <row r="313" spans="9:9">
      <c r="I313" s="41"/>
    </row>
    <row r="314" spans="9:9" ht="13.95" customHeight="1">
      <c r="I314" s="41"/>
    </row>
    <row r="315" spans="9:9" ht="13.95" customHeight="1">
      <c r="I315" s="41"/>
    </row>
    <row r="316" spans="9:9" ht="13.95" customHeight="1">
      <c r="I316" s="41"/>
    </row>
    <row r="317" spans="9:9" ht="13.95" customHeight="1">
      <c r="I317" s="41"/>
    </row>
    <row r="318" spans="9:9" ht="13.95" customHeight="1">
      <c r="I318" s="41"/>
    </row>
    <row r="319" spans="9:9" ht="13.95" customHeight="1">
      <c r="I319" s="41"/>
    </row>
    <row r="320" spans="9:9" ht="13.95" customHeight="1">
      <c r="I320" s="41"/>
    </row>
    <row r="321" spans="9:9" ht="13.95" customHeight="1">
      <c r="I321" s="41"/>
    </row>
    <row r="322" spans="9:9" ht="13.95" customHeight="1">
      <c r="I322" s="41"/>
    </row>
    <row r="323" spans="9:9" ht="13.95" customHeight="1">
      <c r="I323" s="41"/>
    </row>
    <row r="324" spans="9:9" ht="13.95" customHeight="1">
      <c r="I324" s="41"/>
    </row>
    <row r="325" spans="9:9" ht="13.95" customHeight="1">
      <c r="I325" s="41"/>
    </row>
    <row r="326" spans="9:9" ht="13.95" customHeight="1">
      <c r="I326" s="41"/>
    </row>
    <row r="327" spans="9:9" ht="13.95" customHeight="1">
      <c r="I327" s="41"/>
    </row>
    <row r="328" spans="9:9" ht="13.95" customHeight="1">
      <c r="I328" s="41"/>
    </row>
    <row r="329" spans="9:9" ht="13.95" customHeight="1">
      <c r="I329" s="41"/>
    </row>
    <row r="330" spans="9:9" ht="13.95" customHeight="1">
      <c r="I330" s="41"/>
    </row>
    <row r="331" spans="9:9" ht="13.95" customHeight="1">
      <c r="I331" s="41"/>
    </row>
    <row r="335" spans="9:9" ht="20.399999999999999" customHeight="1"/>
  </sheetData>
  <mergeCells count="1">
    <mergeCell ref="A50:F50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A6137-D2DF-4882-A9F4-E80614004C43}">
  <dimension ref="A1:O335"/>
  <sheetViews>
    <sheetView showGridLines="0" view="pageBreakPreview" topLeftCell="A2" zoomScaleNormal="100" zoomScaleSheetLayoutView="100" workbookViewId="0">
      <selection activeCell="I2" sqref="I1:O1048576"/>
    </sheetView>
  </sheetViews>
  <sheetFormatPr defaultColWidth="13.109375" defaultRowHeight="12"/>
  <cols>
    <col min="1" max="1" width="4.88671875" style="22" customWidth="1"/>
    <col min="2" max="2" width="8.33203125" style="20" customWidth="1"/>
    <col min="3" max="3" width="40.6640625" style="21" customWidth="1"/>
    <col min="4" max="4" width="5.109375" style="22" customWidth="1"/>
    <col min="5" max="5" width="7.6640625" style="22" customWidth="1"/>
    <col min="6" max="6" width="8.6640625" style="23" customWidth="1"/>
    <col min="7" max="7" width="11.6640625" style="24" customWidth="1"/>
    <col min="8" max="8" width="4.33203125" style="6" customWidth="1"/>
    <col min="9" max="9" width="11.33203125" style="22" hidden="1" customWidth="1"/>
    <col min="10" max="10" width="11.109375" style="22" hidden="1" customWidth="1"/>
    <col min="11" max="11" width="10.88671875" style="22" hidden="1" customWidth="1"/>
    <col min="12" max="12" width="11.6640625" style="22" hidden="1" customWidth="1"/>
    <col min="13" max="13" width="13.109375" style="106" hidden="1" customWidth="1"/>
    <col min="14" max="14" width="0" style="22" hidden="1" customWidth="1"/>
    <col min="15" max="15" width="0" style="6" hidden="1" customWidth="1"/>
    <col min="16" max="16384" width="13.109375" style="6"/>
  </cols>
  <sheetData>
    <row r="1" spans="1:14" ht="20.399999999999999" hidden="1" customHeight="1">
      <c r="A1" s="19" t="s">
        <v>80</v>
      </c>
    </row>
    <row r="2" spans="1:14" ht="15" customHeight="1">
      <c r="A2" s="142" t="str">
        <f>Summary!A2</f>
        <v>NAFASI WATER - ARNOT WASTE TREATMENT PLANT</v>
      </c>
      <c r="G2" s="25" t="str">
        <f>Summary!C2</f>
        <v>Revision T1</v>
      </c>
    </row>
    <row r="3" spans="1:14" ht="15" customHeight="1">
      <c r="A3" s="19" t="str">
        <f>Summary!A3</f>
        <v>PILING AND CIVIL WORK</v>
      </c>
      <c r="G3" s="26"/>
    </row>
    <row r="4" spans="1:14" ht="15" customHeight="1">
      <c r="A4" s="19" t="s">
        <v>311</v>
      </c>
      <c r="G4" s="143">
        <f>Summary!C4</f>
        <v>45183</v>
      </c>
    </row>
    <row r="5" spans="1:14" ht="15" customHeight="1">
      <c r="A5" s="27"/>
      <c r="B5" s="28"/>
      <c r="C5" s="28"/>
      <c r="E5" s="29"/>
      <c r="G5" s="30"/>
    </row>
    <row r="6" spans="1:14" s="42" customFormat="1" ht="37.200000000000003" customHeight="1">
      <c r="A6" s="44" t="s">
        <v>8</v>
      </c>
      <c r="B6" s="48" t="s">
        <v>9</v>
      </c>
      <c r="C6" s="44" t="s">
        <v>10</v>
      </c>
      <c r="D6" s="48" t="s">
        <v>11</v>
      </c>
      <c r="E6" s="48" t="s">
        <v>59</v>
      </c>
      <c r="F6" s="49" t="s">
        <v>12</v>
      </c>
      <c r="G6" s="49" t="s">
        <v>13</v>
      </c>
      <c r="I6" s="100"/>
      <c r="J6" s="100"/>
      <c r="K6" s="100"/>
      <c r="L6" s="100"/>
      <c r="M6" s="100"/>
      <c r="N6" s="48"/>
    </row>
    <row r="7" spans="1:14" s="42" customFormat="1" ht="4.95" customHeight="1">
      <c r="A7" s="2"/>
      <c r="B7" s="40"/>
      <c r="C7" s="50"/>
      <c r="D7" s="40"/>
      <c r="E7" s="40"/>
      <c r="F7" s="54"/>
      <c r="G7" s="54"/>
      <c r="I7" s="40"/>
      <c r="J7" s="40"/>
      <c r="K7" s="107"/>
      <c r="L7" s="40"/>
      <c r="M7" s="107"/>
      <c r="N7" s="109"/>
    </row>
    <row r="8" spans="1:14" ht="19.2" customHeight="1">
      <c r="A8" s="1"/>
      <c r="B8" s="2"/>
      <c r="C8" s="11" t="s">
        <v>312</v>
      </c>
      <c r="D8" s="1"/>
      <c r="E8" s="1"/>
      <c r="F8" s="4"/>
      <c r="G8" s="5"/>
      <c r="I8" s="9"/>
      <c r="J8" s="9"/>
      <c r="K8" s="108"/>
      <c r="L8" s="9"/>
      <c r="M8" s="108"/>
      <c r="N8" s="9"/>
    </row>
    <row r="9" spans="1:14" ht="10.95" customHeight="1">
      <c r="A9" s="1"/>
      <c r="B9" s="2"/>
      <c r="C9" s="11"/>
      <c r="D9" s="1"/>
      <c r="E9" s="1"/>
      <c r="F9" s="4"/>
      <c r="G9" s="5"/>
      <c r="I9" s="9"/>
      <c r="J9" s="9"/>
      <c r="K9" s="108"/>
      <c r="L9" s="9"/>
      <c r="M9" s="108"/>
      <c r="N9" s="9"/>
    </row>
    <row r="10" spans="1:14">
      <c r="A10" s="1">
        <v>1</v>
      </c>
      <c r="B10" s="1"/>
      <c r="C10" s="32" t="s">
        <v>310</v>
      </c>
      <c r="D10" s="9" t="s">
        <v>60</v>
      </c>
      <c r="E10" s="3">
        <v>177</v>
      </c>
      <c r="F10" s="4">
        <v>18000</v>
      </c>
      <c r="G10" s="5">
        <f t="shared" ref="G10" si="0">+E10*F10</f>
        <v>3186000</v>
      </c>
      <c r="I10" s="9"/>
      <c r="J10" s="9"/>
      <c r="K10" s="108"/>
      <c r="L10" s="9"/>
      <c r="M10" s="108"/>
      <c r="N10" s="9"/>
    </row>
    <row r="11" spans="1:14" ht="24">
      <c r="A11" s="1"/>
      <c r="B11" s="1"/>
      <c r="C11" s="33" t="s">
        <v>309</v>
      </c>
      <c r="D11" s="1"/>
      <c r="E11" s="3" t="str">
        <f>IF(SUM(H11:M11)&gt;0,SUM(H11:M11),"")</f>
        <v/>
      </c>
      <c r="F11" s="4"/>
      <c r="G11" s="5"/>
      <c r="I11" s="9"/>
      <c r="J11" s="9"/>
      <c r="K11" s="108"/>
      <c r="L11" s="9"/>
      <c r="M11" s="108"/>
      <c r="N11" s="9"/>
    </row>
    <row r="12" spans="1:14" ht="13.95" customHeight="1">
      <c r="A12" s="16"/>
      <c r="B12" s="76"/>
      <c r="C12" s="74"/>
      <c r="D12" s="93"/>
      <c r="E12" s="94"/>
      <c r="F12" s="14"/>
      <c r="G12" s="15"/>
      <c r="I12" s="9"/>
      <c r="J12" s="9"/>
      <c r="K12" s="108"/>
      <c r="L12" s="9"/>
      <c r="M12" s="108"/>
      <c r="N12" s="9"/>
    </row>
    <row r="13" spans="1:14" ht="13.95" customHeight="1">
      <c r="A13" s="16"/>
      <c r="B13" s="12"/>
      <c r="C13" s="75"/>
      <c r="D13" s="93"/>
      <c r="E13" s="94"/>
      <c r="F13" s="14"/>
      <c r="G13" s="15"/>
      <c r="I13" s="9"/>
      <c r="J13" s="9"/>
      <c r="K13" s="108"/>
      <c r="L13" s="9"/>
      <c r="M13" s="108"/>
      <c r="N13" s="9"/>
    </row>
    <row r="14" spans="1:14">
      <c r="A14" s="16"/>
      <c r="B14" s="12"/>
      <c r="C14" s="70"/>
      <c r="D14" s="12"/>
      <c r="E14" s="94"/>
      <c r="F14" s="14"/>
      <c r="G14" s="15"/>
      <c r="I14" s="137"/>
      <c r="J14" s="137"/>
      <c r="K14" s="137"/>
      <c r="L14" s="137"/>
      <c r="M14" s="137"/>
      <c r="N14" s="137"/>
    </row>
    <row r="15" spans="1:14" ht="13.95" customHeight="1">
      <c r="A15" s="16"/>
      <c r="B15" s="73"/>
      <c r="C15" s="62"/>
      <c r="D15" s="12"/>
      <c r="E15" s="94"/>
      <c r="F15" s="14"/>
      <c r="G15" s="15"/>
      <c r="I15" s="13"/>
      <c r="J15" s="13"/>
      <c r="K15" s="13"/>
      <c r="L15" s="13"/>
      <c r="M15" s="13"/>
      <c r="N15" s="13"/>
    </row>
    <row r="16" spans="1:14" ht="13.95" customHeight="1">
      <c r="A16" s="16"/>
      <c r="B16" s="73"/>
      <c r="C16" s="75"/>
      <c r="D16" s="12"/>
      <c r="E16" s="3"/>
      <c r="F16" s="13"/>
      <c r="G16" s="15"/>
      <c r="I16" s="13"/>
      <c r="J16" s="13"/>
      <c r="K16" s="13"/>
      <c r="L16" s="13"/>
      <c r="M16" s="13"/>
      <c r="N16" s="13"/>
    </row>
    <row r="17" spans="1:14">
      <c r="A17" s="16"/>
      <c r="B17" s="73"/>
      <c r="C17" s="62"/>
      <c r="D17" s="12"/>
      <c r="E17" s="94"/>
      <c r="F17" s="14"/>
      <c r="G17" s="15"/>
      <c r="I17" s="13"/>
      <c r="J17" s="13"/>
      <c r="K17" s="13"/>
      <c r="L17" s="13"/>
      <c r="M17" s="13"/>
      <c r="N17" s="13"/>
    </row>
    <row r="18" spans="1:14" ht="10.95" customHeight="1">
      <c r="A18" s="16"/>
      <c r="B18" s="12"/>
      <c r="C18" s="70"/>
      <c r="D18" s="12"/>
      <c r="E18" s="94"/>
      <c r="F18" s="14"/>
      <c r="G18" s="15"/>
      <c r="I18" s="13"/>
      <c r="J18" s="13"/>
      <c r="K18" s="13"/>
      <c r="L18" s="13"/>
      <c r="M18" s="13"/>
      <c r="N18" s="13"/>
    </row>
    <row r="19" spans="1:14" ht="13.2" customHeight="1">
      <c r="A19" s="16"/>
      <c r="B19" s="73"/>
      <c r="C19" s="62"/>
      <c r="D19" s="12"/>
      <c r="E19" s="94"/>
      <c r="F19" s="14"/>
      <c r="G19" s="15"/>
      <c r="I19" s="138"/>
      <c r="J19" s="138"/>
      <c r="K19" s="138"/>
      <c r="L19" s="138"/>
      <c r="M19" s="138"/>
      <c r="N19" s="138"/>
    </row>
    <row r="20" spans="1:14" ht="13.2" customHeight="1">
      <c r="A20" s="16"/>
      <c r="B20" s="73"/>
      <c r="C20" s="75"/>
      <c r="D20" s="12"/>
      <c r="E20" s="3"/>
      <c r="F20" s="14"/>
      <c r="G20" s="15"/>
      <c r="I20" s="138"/>
      <c r="J20" s="138"/>
      <c r="K20" s="138"/>
      <c r="L20" s="138"/>
      <c r="M20" s="138"/>
      <c r="N20" s="138"/>
    </row>
    <row r="21" spans="1:14" ht="13.2" customHeight="1">
      <c r="A21" s="16"/>
      <c r="B21" s="12"/>
      <c r="C21" s="75"/>
      <c r="D21" s="93"/>
      <c r="E21" s="94"/>
      <c r="F21" s="14"/>
      <c r="G21" s="15"/>
      <c r="I21" s="138"/>
      <c r="J21" s="138"/>
      <c r="K21" s="138"/>
      <c r="L21" s="138"/>
      <c r="M21" s="138"/>
      <c r="N21" s="138"/>
    </row>
    <row r="22" spans="1:14" ht="13.2" customHeight="1">
      <c r="A22" s="16"/>
      <c r="B22" s="76"/>
      <c r="C22" s="46"/>
      <c r="D22" s="12"/>
      <c r="E22" s="12"/>
      <c r="F22" s="145"/>
      <c r="G22" s="15"/>
      <c r="I22" s="138"/>
      <c r="J22" s="138"/>
      <c r="K22" s="138"/>
      <c r="L22" s="138"/>
      <c r="M22" s="138"/>
      <c r="N22" s="138"/>
    </row>
    <row r="23" spans="1:14" ht="13.2" customHeight="1">
      <c r="A23" s="16"/>
      <c r="B23" s="76"/>
      <c r="C23" s="75"/>
      <c r="D23" s="12"/>
      <c r="E23" s="12"/>
      <c r="F23" s="145"/>
      <c r="G23" s="15"/>
      <c r="I23" s="138"/>
      <c r="J23" s="138"/>
      <c r="K23" s="138"/>
      <c r="L23" s="138"/>
      <c r="M23" s="138"/>
      <c r="N23" s="138"/>
    </row>
    <row r="24" spans="1:14" ht="13.2" customHeight="1">
      <c r="A24" s="16"/>
      <c r="B24" s="76"/>
      <c r="C24" s="75"/>
      <c r="D24" s="12"/>
      <c r="E24" s="12"/>
      <c r="F24" s="145"/>
      <c r="G24" s="15"/>
      <c r="I24" s="138"/>
      <c r="J24" s="138"/>
      <c r="K24" s="138"/>
      <c r="L24" s="138"/>
      <c r="M24" s="138"/>
      <c r="N24" s="138"/>
    </row>
    <row r="25" spans="1:14" ht="13.2" customHeight="1">
      <c r="A25" s="16"/>
      <c r="B25" s="76"/>
      <c r="C25" s="75"/>
      <c r="D25" s="12"/>
      <c r="E25" s="12"/>
      <c r="F25" s="145"/>
      <c r="G25" s="15"/>
      <c r="I25" s="138"/>
      <c r="J25" s="138"/>
      <c r="K25" s="138"/>
      <c r="L25" s="138"/>
      <c r="M25" s="138"/>
      <c r="N25" s="138"/>
    </row>
    <row r="26" spans="1:14" ht="13.2" customHeight="1">
      <c r="A26" s="16"/>
      <c r="B26" s="76"/>
      <c r="C26" s="75"/>
      <c r="D26" s="12"/>
      <c r="E26" s="3"/>
      <c r="F26" s="94"/>
      <c r="G26" s="15"/>
      <c r="I26" s="138"/>
      <c r="J26" s="138"/>
      <c r="K26" s="138"/>
      <c r="L26" s="138"/>
      <c r="M26" s="138"/>
      <c r="N26" s="138"/>
    </row>
    <row r="27" spans="1:14" ht="12.6" customHeight="1">
      <c r="A27" s="16"/>
      <c r="B27" s="12"/>
      <c r="C27" s="75"/>
      <c r="D27" s="93"/>
      <c r="E27" s="94"/>
      <c r="F27" s="14"/>
      <c r="G27" s="15"/>
      <c r="I27" s="138"/>
      <c r="J27" s="138"/>
      <c r="K27" s="138"/>
      <c r="L27" s="138"/>
      <c r="M27" s="138"/>
      <c r="N27" s="138"/>
    </row>
    <row r="28" spans="1:14" ht="12.6" customHeight="1">
      <c r="A28" s="16"/>
      <c r="B28" s="12"/>
      <c r="C28" s="74"/>
      <c r="D28" s="12"/>
      <c r="E28" s="94"/>
      <c r="F28" s="14"/>
      <c r="G28" s="15"/>
      <c r="I28" s="138"/>
      <c r="J28" s="138"/>
      <c r="K28" s="138"/>
      <c r="L28" s="138"/>
      <c r="M28" s="138"/>
      <c r="N28" s="138"/>
    </row>
    <row r="29" spans="1:14" ht="12.6" customHeight="1">
      <c r="A29" s="16"/>
      <c r="B29" s="12"/>
      <c r="C29" s="75"/>
      <c r="D29" s="93"/>
      <c r="E29" s="3"/>
      <c r="F29" s="13"/>
      <c r="G29" s="15"/>
      <c r="I29" s="139"/>
      <c r="J29" s="139"/>
      <c r="K29" s="139"/>
      <c r="L29" s="139"/>
      <c r="M29" s="139"/>
      <c r="N29" s="139"/>
    </row>
    <row r="30" spans="1:14" ht="12.6" customHeight="1">
      <c r="A30" s="16"/>
      <c r="B30" s="12"/>
      <c r="C30" s="75"/>
      <c r="D30" s="93"/>
      <c r="E30" s="3"/>
      <c r="F30" s="13"/>
      <c r="G30" s="15"/>
      <c r="I30" s="138"/>
      <c r="J30" s="138"/>
      <c r="K30" s="138"/>
      <c r="L30" s="138"/>
      <c r="M30" s="138"/>
      <c r="N30" s="138"/>
    </row>
    <row r="31" spans="1:14" ht="12.6" customHeight="1">
      <c r="A31" s="16"/>
      <c r="B31" s="12"/>
      <c r="C31" s="75"/>
      <c r="D31" s="93"/>
      <c r="E31" s="3"/>
      <c r="F31" s="13"/>
      <c r="G31" s="15"/>
      <c r="I31" s="139"/>
      <c r="J31" s="139"/>
      <c r="K31" s="139"/>
      <c r="L31" s="139"/>
      <c r="M31" s="139"/>
      <c r="N31" s="139"/>
    </row>
    <row r="32" spans="1:14" ht="12.6" customHeight="1">
      <c r="A32" s="16"/>
      <c r="B32" s="12"/>
      <c r="C32" s="75"/>
      <c r="D32" s="93"/>
      <c r="E32" s="3"/>
      <c r="F32" s="13"/>
      <c r="G32" s="15"/>
      <c r="I32" s="138"/>
      <c r="J32" s="138"/>
      <c r="K32" s="138"/>
      <c r="L32" s="138"/>
      <c r="M32" s="138"/>
      <c r="N32" s="138"/>
    </row>
    <row r="33" spans="1:14" ht="12.6" customHeight="1">
      <c r="A33" s="16"/>
      <c r="B33" s="12"/>
      <c r="C33" s="75"/>
      <c r="D33" s="93"/>
      <c r="E33" s="3"/>
      <c r="F33" s="13"/>
      <c r="G33" s="15"/>
      <c r="I33" s="138"/>
      <c r="J33" s="138"/>
      <c r="K33" s="138"/>
      <c r="L33" s="138"/>
      <c r="M33" s="138"/>
      <c r="N33" s="138"/>
    </row>
    <row r="34" spans="1:14" ht="13.2" customHeight="1">
      <c r="A34" s="16"/>
      <c r="B34" s="12"/>
      <c r="C34" s="75"/>
      <c r="D34" s="93"/>
      <c r="E34" s="3"/>
      <c r="F34" s="13"/>
      <c r="G34" s="15"/>
      <c r="I34" s="138"/>
      <c r="J34" s="138"/>
      <c r="K34" s="138"/>
      <c r="L34" s="138"/>
      <c r="M34" s="138"/>
      <c r="N34" s="138"/>
    </row>
    <row r="35" spans="1:14" ht="13.2" customHeight="1">
      <c r="A35" s="16"/>
      <c r="B35" s="12"/>
      <c r="C35" s="75"/>
      <c r="D35" s="93"/>
      <c r="E35" s="3"/>
      <c r="F35" s="13"/>
      <c r="G35" s="15"/>
      <c r="I35" s="138"/>
      <c r="J35" s="138"/>
      <c r="K35" s="138"/>
      <c r="L35" s="138"/>
      <c r="M35" s="138"/>
      <c r="N35" s="138"/>
    </row>
    <row r="36" spans="1:14" ht="13.2" customHeight="1">
      <c r="A36" s="16"/>
      <c r="B36" s="12"/>
      <c r="C36" s="75"/>
      <c r="D36" s="93"/>
      <c r="E36" s="3"/>
      <c r="F36" s="13"/>
      <c r="G36" s="15"/>
      <c r="I36" s="138"/>
      <c r="J36" s="138"/>
      <c r="K36" s="138"/>
      <c r="L36" s="138"/>
      <c r="M36" s="138"/>
      <c r="N36" s="138"/>
    </row>
    <row r="37" spans="1:14" ht="13.2" customHeight="1">
      <c r="A37" s="16"/>
      <c r="B37" s="12"/>
      <c r="C37" s="75"/>
      <c r="D37" s="93"/>
      <c r="E37" s="3"/>
      <c r="F37" s="13"/>
      <c r="G37" s="15"/>
      <c r="I37" s="139"/>
      <c r="J37" s="139"/>
      <c r="K37" s="139"/>
      <c r="L37" s="139"/>
      <c r="M37" s="139"/>
      <c r="N37" s="139"/>
    </row>
    <row r="38" spans="1:14" ht="13.2" customHeight="1">
      <c r="A38" s="16"/>
      <c r="B38" s="12"/>
      <c r="C38" s="75"/>
      <c r="D38" s="93"/>
      <c r="E38" s="3"/>
      <c r="F38" s="13"/>
      <c r="G38" s="15"/>
      <c r="I38" s="138"/>
      <c r="J38" s="138"/>
      <c r="K38" s="138"/>
      <c r="L38" s="138"/>
      <c r="M38" s="138"/>
      <c r="N38" s="138"/>
    </row>
    <row r="39" spans="1:14" ht="13.2" customHeight="1">
      <c r="A39" s="16"/>
      <c r="B39" s="12"/>
      <c r="C39" s="75"/>
      <c r="D39" s="93"/>
      <c r="E39" s="3"/>
      <c r="F39" s="13"/>
      <c r="G39" s="15"/>
      <c r="I39" s="138"/>
      <c r="J39" s="138"/>
      <c r="K39" s="138"/>
      <c r="L39" s="138"/>
      <c r="M39" s="138"/>
      <c r="N39" s="138"/>
    </row>
    <row r="40" spans="1:14" ht="13.2" customHeight="1">
      <c r="A40" s="16"/>
      <c r="B40" s="12"/>
      <c r="C40" s="75"/>
      <c r="D40" s="93"/>
      <c r="E40" s="3"/>
      <c r="F40" s="13"/>
      <c r="G40" s="15"/>
      <c r="I40" s="138"/>
      <c r="J40" s="138"/>
      <c r="K40" s="138"/>
      <c r="L40" s="138"/>
      <c r="M40" s="138"/>
      <c r="N40" s="138"/>
    </row>
    <row r="41" spans="1:14" ht="13.2" customHeight="1">
      <c r="A41" s="16"/>
      <c r="B41" s="12"/>
      <c r="C41" s="75"/>
      <c r="D41" s="93"/>
      <c r="E41" s="3"/>
      <c r="F41" s="13"/>
      <c r="G41" s="15"/>
      <c r="I41" s="138"/>
      <c r="J41" s="138"/>
      <c r="K41" s="138"/>
      <c r="L41" s="138"/>
      <c r="M41" s="138"/>
      <c r="N41" s="138"/>
    </row>
    <row r="42" spans="1:14" ht="13.2" customHeight="1">
      <c r="A42" s="16"/>
      <c r="B42" s="12"/>
      <c r="C42" s="75"/>
      <c r="D42" s="93"/>
      <c r="E42" s="3"/>
      <c r="F42" s="13"/>
      <c r="G42" s="15"/>
      <c r="I42" s="1"/>
      <c r="J42" s="1"/>
      <c r="K42" s="108"/>
      <c r="L42" s="1"/>
      <c r="M42" s="108"/>
      <c r="N42" s="9"/>
    </row>
    <row r="43" spans="1:14">
      <c r="A43" s="16"/>
      <c r="B43" s="12"/>
      <c r="C43" s="75"/>
      <c r="D43" s="93"/>
      <c r="E43" s="3"/>
      <c r="F43" s="13"/>
      <c r="G43" s="15"/>
      <c r="I43" s="3"/>
      <c r="J43" s="3"/>
      <c r="K43" s="108"/>
      <c r="L43" s="3"/>
      <c r="M43" s="108"/>
      <c r="N43" s="9"/>
    </row>
    <row r="44" spans="1:14" ht="13.95" customHeight="1">
      <c r="A44" s="16"/>
      <c r="B44" s="12"/>
      <c r="C44" s="75"/>
      <c r="D44" s="93"/>
      <c r="E44" s="3"/>
      <c r="F44" s="13"/>
      <c r="G44" s="15"/>
      <c r="I44" s="3"/>
      <c r="J44" s="3"/>
      <c r="K44" s="108"/>
      <c r="L44" s="3"/>
      <c r="M44" s="108"/>
      <c r="N44" s="9"/>
    </row>
    <row r="45" spans="1:14" ht="50.4" customHeight="1">
      <c r="A45" s="16"/>
      <c r="B45" s="12"/>
      <c r="C45" s="75"/>
      <c r="D45" s="93"/>
      <c r="E45" s="3"/>
      <c r="F45" s="13"/>
      <c r="G45" s="15"/>
      <c r="I45" s="9"/>
      <c r="J45" s="9"/>
      <c r="K45" s="108"/>
      <c r="L45" s="9"/>
      <c r="M45" s="108"/>
      <c r="N45" s="9"/>
    </row>
    <row r="46" spans="1:14">
      <c r="A46" s="16"/>
      <c r="B46" s="16"/>
      <c r="C46" s="47"/>
      <c r="D46" s="58"/>
      <c r="E46" s="13"/>
      <c r="F46" s="14"/>
      <c r="G46" s="15"/>
      <c r="I46" s="9"/>
      <c r="J46" s="9"/>
      <c r="K46" s="108"/>
      <c r="L46" s="9"/>
      <c r="M46" s="108"/>
      <c r="N46" s="9"/>
    </row>
    <row r="47" spans="1:14" ht="13.95" customHeight="1">
      <c r="A47" s="16"/>
      <c r="B47" s="16"/>
      <c r="C47" s="47"/>
      <c r="D47" s="58"/>
      <c r="E47" s="13"/>
      <c r="F47" s="14"/>
      <c r="G47" s="15"/>
      <c r="I47" s="9"/>
      <c r="J47" s="9"/>
      <c r="K47" s="108"/>
      <c r="L47" s="9"/>
      <c r="M47" s="108"/>
      <c r="N47" s="9"/>
    </row>
    <row r="48" spans="1:14" ht="20.100000000000001" customHeight="1">
      <c r="A48" s="16"/>
      <c r="B48" s="16"/>
      <c r="C48" s="47"/>
      <c r="D48" s="58"/>
      <c r="E48" s="13"/>
      <c r="F48" s="14"/>
      <c r="G48" s="15"/>
      <c r="I48" s="9"/>
      <c r="J48" s="9"/>
      <c r="K48" s="108"/>
      <c r="L48" s="9"/>
      <c r="M48" s="108"/>
      <c r="N48" s="9"/>
    </row>
    <row r="49" spans="1:14">
      <c r="A49" s="16"/>
      <c r="B49" s="16"/>
      <c r="C49" s="47"/>
      <c r="D49" s="58"/>
      <c r="E49" s="13"/>
      <c r="F49" s="14"/>
      <c r="G49" s="15"/>
      <c r="I49" s="9"/>
      <c r="J49" s="9"/>
      <c r="K49" s="108"/>
      <c r="L49" s="9"/>
      <c r="M49" s="108"/>
      <c r="N49" s="9"/>
    </row>
    <row r="50" spans="1:14" ht="13.95" customHeight="1">
      <c r="A50" s="156" t="s">
        <v>161</v>
      </c>
      <c r="B50" s="157"/>
      <c r="C50" s="157"/>
      <c r="D50" s="157"/>
      <c r="E50" s="157"/>
      <c r="F50" s="158"/>
      <c r="G50" s="78">
        <f>G10</f>
        <v>3186000</v>
      </c>
      <c r="I50" s="9"/>
      <c r="J50" s="9"/>
      <c r="K50" s="108"/>
      <c r="L50" s="9"/>
      <c r="M50" s="108"/>
      <c r="N50" s="9"/>
    </row>
    <row r="51" spans="1:14" ht="24" customHeight="1">
      <c r="I51" s="9"/>
      <c r="J51" s="9"/>
      <c r="K51" s="108"/>
      <c r="L51" s="9"/>
      <c r="M51" s="108"/>
      <c r="N51" s="9"/>
    </row>
    <row r="52" spans="1:14" ht="20.100000000000001" customHeight="1">
      <c r="I52" s="9"/>
      <c r="J52" s="9"/>
      <c r="K52" s="108"/>
      <c r="L52" s="9"/>
      <c r="M52" s="108"/>
      <c r="N52" s="9"/>
    </row>
    <row r="53" spans="1:14" ht="9" customHeight="1">
      <c r="I53" s="3"/>
      <c r="J53" s="3"/>
      <c r="K53" s="108"/>
      <c r="L53" s="3"/>
      <c r="M53" s="108"/>
      <c r="N53" s="9"/>
    </row>
    <row r="54" spans="1:14" ht="13.95" customHeight="1">
      <c r="I54" s="3"/>
      <c r="J54" s="3"/>
      <c r="K54" s="108"/>
      <c r="L54" s="3"/>
      <c r="M54" s="108"/>
      <c r="N54" s="9"/>
    </row>
    <row r="55" spans="1:14" ht="13.95" customHeight="1">
      <c r="I55" s="3"/>
      <c r="J55" s="3"/>
      <c r="K55" s="108"/>
      <c r="L55" s="3"/>
      <c r="M55" s="108"/>
      <c r="N55" s="9"/>
    </row>
    <row r="56" spans="1:14" ht="13.95" customHeight="1">
      <c r="I56" s="3"/>
      <c r="J56" s="3"/>
      <c r="K56" s="108"/>
      <c r="L56" s="3"/>
      <c r="M56" s="108"/>
      <c r="N56" s="9"/>
    </row>
    <row r="57" spans="1:14" ht="13.95" customHeight="1">
      <c r="I57" s="3"/>
      <c r="J57" s="3"/>
      <c r="K57" s="108"/>
      <c r="L57" s="3"/>
      <c r="M57" s="108"/>
      <c r="N57" s="9"/>
    </row>
    <row r="58" spans="1:14" ht="22.95" customHeight="1">
      <c r="I58" s="3"/>
      <c r="J58" s="3"/>
      <c r="K58" s="108"/>
      <c r="L58" s="3"/>
      <c r="M58" s="108"/>
      <c r="N58" s="9"/>
    </row>
    <row r="59" spans="1:14" ht="13.95" customHeight="1">
      <c r="I59" s="3"/>
      <c r="J59" s="3"/>
      <c r="K59" s="108"/>
      <c r="L59" s="3"/>
      <c r="M59" s="108"/>
      <c r="N59" s="9"/>
    </row>
    <row r="60" spans="1:14" ht="13.95" customHeight="1">
      <c r="I60" s="3"/>
      <c r="J60" s="3"/>
      <c r="K60" s="108"/>
      <c r="L60" s="3"/>
      <c r="M60" s="108"/>
      <c r="N60" s="9"/>
    </row>
    <row r="61" spans="1:14" ht="9.75" customHeight="1">
      <c r="I61" s="3"/>
      <c r="J61" s="3"/>
      <c r="K61" s="108"/>
      <c r="L61" s="3"/>
      <c r="M61" s="108"/>
      <c r="N61" s="9"/>
    </row>
    <row r="62" spans="1:14" ht="13.95" customHeight="1">
      <c r="I62" s="3"/>
      <c r="J62" s="3"/>
      <c r="K62" s="108"/>
      <c r="L62" s="3"/>
      <c r="M62" s="108"/>
      <c r="N62" s="9"/>
    </row>
    <row r="63" spans="1:14" ht="9" customHeight="1">
      <c r="I63" s="3"/>
      <c r="J63" s="3"/>
      <c r="K63" s="108"/>
      <c r="L63" s="3"/>
      <c r="M63" s="108"/>
      <c r="N63" s="9"/>
    </row>
    <row r="64" spans="1:14" ht="28.95" customHeight="1">
      <c r="I64" s="3"/>
      <c r="J64" s="3"/>
      <c r="K64" s="108"/>
      <c r="L64" s="3"/>
      <c r="M64" s="108"/>
      <c r="N64" s="9"/>
    </row>
    <row r="65" spans="9:14" ht="13.95" customHeight="1">
      <c r="I65" s="3"/>
      <c r="J65" s="3"/>
      <c r="K65" s="108"/>
      <c r="L65" s="3"/>
      <c r="M65" s="108"/>
      <c r="N65" s="9"/>
    </row>
    <row r="66" spans="9:14" ht="22.2" customHeight="1">
      <c r="I66" s="3"/>
      <c r="J66" s="3"/>
      <c r="K66" s="108"/>
      <c r="L66" s="3"/>
      <c r="M66" s="108"/>
      <c r="N66" s="9"/>
    </row>
    <row r="67" spans="9:14" ht="13.95" customHeight="1">
      <c r="I67" s="3"/>
      <c r="J67" s="3"/>
      <c r="K67" s="108"/>
      <c r="L67" s="3"/>
      <c r="M67" s="108"/>
      <c r="N67" s="9"/>
    </row>
    <row r="68" spans="9:14" ht="13.95" customHeight="1">
      <c r="I68" s="3"/>
      <c r="J68" s="3"/>
      <c r="K68" s="108"/>
      <c r="L68" s="3"/>
      <c r="M68" s="108"/>
      <c r="N68" s="9"/>
    </row>
    <row r="69" spans="9:14" ht="13.95" customHeight="1">
      <c r="I69" s="3"/>
      <c r="J69" s="3"/>
      <c r="K69" s="108"/>
      <c r="L69" s="3"/>
      <c r="M69" s="108"/>
      <c r="N69" s="9"/>
    </row>
    <row r="70" spans="9:14" ht="23.4" customHeight="1">
      <c r="I70" s="3"/>
      <c r="J70" s="3"/>
      <c r="K70" s="108"/>
      <c r="L70" s="3"/>
      <c r="M70" s="108"/>
      <c r="N70" s="9"/>
    </row>
    <row r="71" spans="9:14" ht="13.95" customHeight="1">
      <c r="I71" s="3"/>
      <c r="J71" s="3"/>
      <c r="K71" s="108"/>
      <c r="L71" s="3"/>
      <c r="M71" s="108"/>
      <c r="N71" s="9"/>
    </row>
    <row r="72" spans="9:14" ht="33.6" customHeight="1">
      <c r="I72" s="3"/>
      <c r="J72" s="3"/>
      <c r="K72" s="108"/>
      <c r="L72" s="3"/>
      <c r="M72" s="108"/>
      <c r="N72" s="9"/>
    </row>
    <row r="73" spans="9:14" ht="13.95" customHeight="1">
      <c r="I73" s="3"/>
      <c r="J73" s="3"/>
      <c r="K73" s="108"/>
      <c r="L73" s="3"/>
      <c r="M73" s="108"/>
      <c r="N73" s="9"/>
    </row>
    <row r="74" spans="9:14" ht="21.6" customHeight="1">
      <c r="I74" s="3"/>
      <c r="J74" s="3"/>
      <c r="K74" s="108"/>
      <c r="L74" s="3"/>
      <c r="M74" s="108"/>
      <c r="N74" s="9"/>
    </row>
    <row r="75" spans="9:14" ht="13.95" customHeight="1">
      <c r="I75" s="3"/>
      <c r="J75" s="3"/>
      <c r="K75" s="108"/>
      <c r="L75" s="3"/>
      <c r="M75" s="108"/>
      <c r="N75" s="9"/>
    </row>
    <row r="76" spans="9:14" ht="13.95" customHeight="1">
      <c r="I76" s="3"/>
      <c r="J76" s="3"/>
      <c r="K76" s="108"/>
      <c r="L76" s="3"/>
      <c r="M76" s="108"/>
      <c r="N76" s="9"/>
    </row>
    <row r="77" spans="9:14" ht="13.95" customHeight="1">
      <c r="I77" s="3"/>
      <c r="J77" s="3"/>
      <c r="K77" s="108"/>
      <c r="L77" s="3"/>
      <c r="M77" s="108"/>
      <c r="N77" s="9"/>
    </row>
    <row r="78" spans="9:14" ht="13.95" customHeight="1">
      <c r="I78" s="3"/>
      <c r="J78" s="3"/>
      <c r="K78" s="108"/>
      <c r="L78" s="3"/>
      <c r="M78" s="108"/>
      <c r="N78" s="9"/>
    </row>
    <row r="79" spans="9:14" ht="13.95" customHeight="1">
      <c r="I79" s="3"/>
      <c r="J79" s="3"/>
      <c r="K79" s="108"/>
      <c r="L79" s="3"/>
      <c r="M79" s="108"/>
      <c r="N79" s="9"/>
    </row>
    <row r="80" spans="9:14" ht="13.95" customHeight="1">
      <c r="I80" s="3"/>
      <c r="J80" s="3"/>
      <c r="K80" s="108"/>
      <c r="L80" s="3"/>
      <c r="M80" s="108"/>
      <c r="N80" s="9"/>
    </row>
    <row r="81" spans="9:14" ht="13.95" customHeight="1">
      <c r="I81" s="3"/>
      <c r="J81" s="3"/>
      <c r="K81" s="108"/>
      <c r="L81" s="3"/>
      <c r="M81" s="108"/>
      <c r="N81" s="9"/>
    </row>
    <row r="82" spans="9:14" ht="13.95" customHeight="1">
      <c r="I82" s="3"/>
      <c r="J82" s="3"/>
      <c r="K82" s="108"/>
      <c r="L82" s="3"/>
      <c r="M82" s="108"/>
      <c r="N82" s="9"/>
    </row>
    <row r="83" spans="9:14" ht="13.95" customHeight="1">
      <c r="I83" s="3"/>
      <c r="J83" s="3"/>
      <c r="K83" s="108"/>
      <c r="L83" s="3"/>
      <c r="M83" s="108"/>
      <c r="N83" s="9"/>
    </row>
    <row r="84" spans="9:14" ht="19.95" customHeight="1">
      <c r="I84" s="3"/>
      <c r="J84" s="3"/>
      <c r="K84" s="108"/>
      <c r="L84" s="3"/>
      <c r="M84" s="108"/>
      <c r="N84" s="9"/>
    </row>
    <row r="85" spans="9:14" ht="13.95" customHeight="1">
      <c r="I85" s="3"/>
      <c r="J85" s="3"/>
      <c r="K85" s="108"/>
      <c r="L85" s="3"/>
      <c r="M85" s="108"/>
      <c r="N85" s="9"/>
    </row>
    <row r="86" spans="9:14" ht="13.95" customHeight="1">
      <c r="I86" s="3"/>
      <c r="J86" s="3"/>
      <c r="K86" s="108"/>
      <c r="L86" s="3"/>
      <c r="M86" s="108"/>
      <c r="N86" s="9"/>
    </row>
    <row r="87" spans="9:14" ht="13.95" customHeight="1">
      <c r="I87" s="3"/>
      <c r="J87" s="3"/>
      <c r="K87" s="108"/>
      <c r="L87" s="3"/>
      <c r="M87" s="108"/>
      <c r="N87" s="9"/>
    </row>
    <row r="88" spans="9:14" ht="13.95" customHeight="1">
      <c r="I88" s="3"/>
      <c r="J88" s="3"/>
      <c r="K88" s="108"/>
      <c r="L88" s="3"/>
      <c r="M88" s="108"/>
      <c r="N88" s="9"/>
    </row>
    <row r="89" spans="9:14" ht="13.95" customHeight="1">
      <c r="I89" s="3"/>
      <c r="J89" s="3"/>
      <c r="K89" s="108"/>
      <c r="L89" s="3"/>
      <c r="M89" s="108"/>
      <c r="N89" s="9"/>
    </row>
    <row r="90" spans="9:14" ht="13.95" customHeight="1">
      <c r="I90" s="3"/>
      <c r="J90" s="3"/>
      <c r="K90" s="108"/>
      <c r="L90" s="3"/>
      <c r="M90" s="108"/>
      <c r="N90" s="9"/>
    </row>
    <row r="91" spans="9:14" ht="13.95" customHeight="1">
      <c r="I91" s="3"/>
      <c r="J91" s="3"/>
      <c r="K91" s="108"/>
      <c r="L91" s="3"/>
      <c r="M91" s="108"/>
      <c r="N91" s="9"/>
    </row>
    <row r="92" spans="9:14" ht="13.95" customHeight="1">
      <c r="I92" s="3"/>
      <c r="J92" s="3"/>
      <c r="K92" s="108"/>
      <c r="L92" s="3"/>
      <c r="M92" s="108"/>
      <c r="N92" s="9"/>
    </row>
    <row r="93" spans="9:14" ht="13.95" customHeight="1">
      <c r="I93" s="3"/>
      <c r="J93" s="3"/>
      <c r="K93" s="108"/>
      <c r="L93" s="3"/>
      <c r="M93" s="108"/>
      <c r="N93" s="9"/>
    </row>
    <row r="94" spans="9:14" ht="13.95" customHeight="1">
      <c r="I94" s="3"/>
      <c r="J94" s="3"/>
      <c r="K94" s="108"/>
      <c r="L94" s="3"/>
      <c r="M94" s="108"/>
      <c r="N94" s="9"/>
    </row>
    <row r="95" spans="9:14" ht="13.95" customHeight="1">
      <c r="I95" s="3"/>
      <c r="J95" s="3"/>
      <c r="K95" s="108"/>
      <c r="L95" s="3"/>
      <c r="M95" s="108"/>
      <c r="N95" s="9"/>
    </row>
    <row r="96" spans="9:14" ht="20.100000000000001" customHeight="1">
      <c r="I96" s="9"/>
      <c r="J96" s="9"/>
      <c r="K96" s="108"/>
      <c r="L96" s="9"/>
      <c r="M96" s="108"/>
      <c r="N96" s="9"/>
    </row>
    <row r="97" spans="9:14" ht="13.95" customHeight="1">
      <c r="I97" s="9"/>
      <c r="J97" s="9"/>
      <c r="K97" s="108"/>
      <c r="L97" s="9"/>
      <c r="M97" s="108"/>
      <c r="N97" s="9"/>
    </row>
    <row r="98" spans="9:14" ht="13.95" customHeight="1">
      <c r="I98" s="9"/>
      <c r="J98" s="9"/>
      <c r="K98" s="108"/>
      <c r="L98" s="9"/>
      <c r="M98" s="108"/>
      <c r="N98" s="9"/>
    </row>
    <row r="99" spans="9:14" ht="22.2" customHeight="1">
      <c r="I99" s="9"/>
      <c r="J99" s="9"/>
      <c r="K99" s="108"/>
      <c r="L99" s="9"/>
      <c r="M99" s="108"/>
      <c r="N99" s="9"/>
    </row>
    <row r="100" spans="9:14" ht="20.100000000000001" customHeight="1">
      <c r="I100" s="9"/>
      <c r="J100" s="9"/>
      <c r="K100" s="108"/>
      <c r="L100" s="9"/>
      <c r="M100" s="108"/>
      <c r="N100" s="9"/>
    </row>
    <row r="101" spans="9:14" ht="13.95" customHeight="1">
      <c r="I101" s="9"/>
      <c r="J101" s="9"/>
      <c r="K101" s="108"/>
      <c r="L101" s="9"/>
      <c r="M101" s="108"/>
      <c r="N101" s="9"/>
    </row>
    <row r="102" spans="9:14" ht="13.95" customHeight="1">
      <c r="I102" s="3"/>
      <c r="J102" s="3"/>
      <c r="K102" s="108"/>
      <c r="L102" s="3"/>
      <c r="M102" s="108"/>
      <c r="N102" s="9"/>
    </row>
    <row r="103" spans="9:14" ht="13.95" customHeight="1">
      <c r="I103" s="3"/>
      <c r="J103" s="3"/>
      <c r="K103" s="108"/>
      <c r="L103" s="3"/>
      <c r="M103" s="108"/>
      <c r="N103" s="9"/>
    </row>
    <row r="104" spans="9:14" ht="13.95" customHeight="1">
      <c r="I104" s="3"/>
      <c r="J104" s="3"/>
      <c r="K104" s="108"/>
      <c r="L104" s="3"/>
      <c r="M104" s="108"/>
      <c r="N104" s="9"/>
    </row>
    <row r="105" spans="9:14" ht="13.95" customHeight="1">
      <c r="I105" s="9"/>
      <c r="J105" s="9"/>
      <c r="K105" s="108"/>
      <c r="L105" s="9"/>
      <c r="M105" s="108"/>
      <c r="N105" s="9"/>
    </row>
    <row r="106" spans="9:14" ht="13.95" customHeight="1">
      <c r="I106" s="9"/>
      <c r="J106" s="9"/>
      <c r="K106" s="108"/>
      <c r="L106" s="9"/>
      <c r="M106" s="108"/>
      <c r="N106" s="9"/>
    </row>
    <row r="107" spans="9:14" ht="13.95" customHeight="1">
      <c r="I107" s="9"/>
      <c r="J107" s="9"/>
      <c r="K107" s="108"/>
      <c r="L107" s="9"/>
      <c r="M107" s="108"/>
      <c r="N107" s="9"/>
    </row>
    <row r="108" spans="9:14" ht="13.95" customHeight="1">
      <c r="I108" s="3"/>
      <c r="J108" s="3"/>
      <c r="K108" s="108"/>
      <c r="L108" s="3"/>
      <c r="M108" s="108"/>
      <c r="N108" s="9"/>
    </row>
    <row r="109" spans="9:14" ht="13.95" customHeight="1">
      <c r="I109" s="3"/>
      <c r="J109" s="3"/>
      <c r="K109" s="108"/>
      <c r="L109" s="3"/>
      <c r="M109" s="108"/>
      <c r="N109" s="9"/>
    </row>
    <row r="110" spans="9:14" ht="13.95" customHeight="1">
      <c r="I110" s="3"/>
      <c r="J110" s="3"/>
      <c r="K110" s="108"/>
      <c r="L110" s="3"/>
      <c r="M110" s="108"/>
      <c r="N110" s="9"/>
    </row>
    <row r="111" spans="9:14" ht="13.95" customHeight="1">
      <c r="I111" s="3"/>
      <c r="J111" s="3"/>
      <c r="K111" s="108"/>
      <c r="L111" s="3"/>
      <c r="M111" s="108"/>
      <c r="N111" s="9"/>
    </row>
    <row r="112" spans="9:14" ht="24" customHeight="1">
      <c r="I112" s="3"/>
      <c r="J112" s="3"/>
      <c r="K112" s="108"/>
      <c r="L112" s="3"/>
      <c r="M112" s="108"/>
      <c r="N112" s="9"/>
    </row>
    <row r="113" spans="9:14" ht="13.95" customHeight="1">
      <c r="I113" s="3"/>
      <c r="J113" s="3"/>
      <c r="K113" s="108"/>
      <c r="L113" s="3"/>
      <c r="M113" s="108"/>
      <c r="N113" s="9"/>
    </row>
    <row r="114" spans="9:14" ht="13.95" customHeight="1">
      <c r="I114" s="3"/>
      <c r="J114" s="3"/>
      <c r="K114" s="108"/>
      <c r="L114" s="3"/>
      <c r="M114" s="108"/>
      <c r="N114" s="9"/>
    </row>
    <row r="115" spans="9:14" ht="13.95" customHeight="1">
      <c r="I115" s="3"/>
      <c r="J115" s="3"/>
      <c r="K115" s="108"/>
      <c r="L115" s="3"/>
      <c r="M115" s="108"/>
      <c r="N115" s="9"/>
    </row>
    <row r="116" spans="9:14" ht="13.95" customHeight="1">
      <c r="I116" s="3"/>
      <c r="J116" s="3"/>
      <c r="K116" s="108"/>
      <c r="L116" s="3"/>
      <c r="M116" s="108"/>
      <c r="N116" s="9"/>
    </row>
    <row r="117" spans="9:14" ht="13.95" customHeight="1">
      <c r="I117" s="3"/>
      <c r="J117" s="3"/>
      <c r="K117" s="108"/>
      <c r="L117" s="3"/>
      <c r="M117" s="108"/>
      <c r="N117" s="9"/>
    </row>
    <row r="118" spans="9:14" ht="13.95" customHeight="1">
      <c r="I118" s="3"/>
      <c r="J118" s="3"/>
      <c r="K118" s="108"/>
      <c r="L118" s="3"/>
      <c r="M118" s="108"/>
      <c r="N118" s="9"/>
    </row>
    <row r="119" spans="9:14" ht="13.95" customHeight="1">
      <c r="I119" s="3"/>
      <c r="J119" s="3"/>
      <c r="K119" s="108"/>
      <c r="L119" s="3"/>
      <c r="M119" s="108"/>
      <c r="N119" s="9"/>
    </row>
    <row r="120" spans="9:14" ht="13.95" customHeight="1">
      <c r="I120" s="3"/>
      <c r="J120" s="3"/>
      <c r="K120" s="108"/>
      <c r="L120" s="3"/>
      <c r="M120" s="108"/>
      <c r="N120" s="9"/>
    </row>
    <row r="121" spans="9:14" ht="13.95" customHeight="1">
      <c r="I121" s="3"/>
      <c r="J121" s="3"/>
      <c r="K121" s="108"/>
      <c r="L121" s="3"/>
      <c r="M121" s="108"/>
      <c r="N121" s="9"/>
    </row>
    <row r="122" spans="9:14" ht="13.95" customHeight="1">
      <c r="I122" s="3"/>
      <c r="J122" s="3"/>
      <c r="K122" s="108"/>
      <c r="L122" s="3"/>
      <c r="M122" s="108"/>
      <c r="N122" s="9"/>
    </row>
    <row r="123" spans="9:14" ht="13.95" customHeight="1">
      <c r="I123" s="3"/>
      <c r="J123" s="3"/>
      <c r="K123" s="108"/>
      <c r="L123" s="3"/>
      <c r="M123" s="108"/>
      <c r="N123" s="9"/>
    </row>
    <row r="124" spans="9:14" ht="13.95" customHeight="1">
      <c r="I124" s="3"/>
      <c r="J124" s="3"/>
      <c r="K124" s="108"/>
      <c r="L124" s="3"/>
      <c r="M124" s="108"/>
      <c r="N124" s="9"/>
    </row>
    <row r="125" spans="9:14" ht="13.95" customHeight="1">
      <c r="I125" s="3"/>
      <c r="J125" s="3"/>
      <c r="K125" s="108"/>
      <c r="L125" s="3"/>
      <c r="M125" s="108"/>
      <c r="N125" s="9"/>
    </row>
    <row r="126" spans="9:14" ht="13.95" customHeight="1">
      <c r="I126" s="4"/>
      <c r="J126" s="4"/>
      <c r="K126" s="108"/>
      <c r="L126" s="4"/>
      <c r="M126" s="108"/>
      <c r="N126" s="9"/>
    </row>
    <row r="127" spans="9:14" ht="13.95" customHeight="1">
      <c r="I127" s="3"/>
      <c r="J127" s="3"/>
      <c r="K127" s="108"/>
      <c r="L127" s="3"/>
      <c r="M127" s="108"/>
      <c r="N127" s="9"/>
    </row>
    <row r="128" spans="9:14" ht="13.95" customHeight="1">
      <c r="I128" s="3"/>
      <c r="J128" s="3"/>
      <c r="K128" s="108"/>
      <c r="L128" s="3"/>
      <c r="M128" s="108"/>
      <c r="N128" s="9"/>
    </row>
    <row r="129" spans="9:14" ht="13.95" customHeight="1">
      <c r="I129" s="3"/>
      <c r="J129" s="3"/>
      <c r="K129" s="108"/>
      <c r="L129" s="3"/>
      <c r="M129" s="108"/>
      <c r="N129" s="9"/>
    </row>
    <row r="130" spans="9:14" ht="13.95" customHeight="1">
      <c r="I130" s="3"/>
      <c r="J130" s="3"/>
      <c r="K130" s="108"/>
      <c r="L130" s="3"/>
      <c r="M130" s="108"/>
      <c r="N130" s="9"/>
    </row>
    <row r="131" spans="9:14" ht="13.95" customHeight="1">
      <c r="I131" s="3"/>
      <c r="J131" s="3"/>
      <c r="K131" s="108"/>
      <c r="L131" s="3"/>
      <c r="M131" s="108"/>
      <c r="N131" s="9"/>
    </row>
    <row r="132" spans="9:14" ht="13.95" customHeight="1">
      <c r="I132" s="3"/>
      <c r="J132" s="3"/>
      <c r="K132" s="108"/>
      <c r="L132" s="3"/>
      <c r="M132" s="108"/>
      <c r="N132" s="9"/>
    </row>
    <row r="133" spans="9:14" ht="13.95" customHeight="1">
      <c r="I133" s="3"/>
      <c r="J133" s="3"/>
      <c r="K133" s="108"/>
      <c r="L133" s="3"/>
      <c r="M133" s="108"/>
      <c r="N133" s="9"/>
    </row>
    <row r="134" spans="9:14" ht="13.95" customHeight="1">
      <c r="I134" s="3"/>
      <c r="J134" s="3"/>
      <c r="K134" s="108"/>
      <c r="L134" s="3"/>
      <c r="M134" s="108"/>
      <c r="N134" s="9"/>
    </row>
    <row r="135" spans="9:14" ht="13.95" customHeight="1">
      <c r="I135" s="3"/>
      <c r="J135" s="3"/>
      <c r="K135" s="108"/>
      <c r="L135" s="3"/>
      <c r="M135" s="108"/>
      <c r="N135" s="9"/>
    </row>
    <row r="136" spans="9:14" ht="13.95" customHeight="1">
      <c r="I136" s="3"/>
      <c r="J136" s="3"/>
      <c r="K136" s="108"/>
      <c r="L136" s="3"/>
      <c r="M136" s="108"/>
      <c r="N136" s="9"/>
    </row>
    <row r="137" spans="9:14" ht="13.95" customHeight="1">
      <c r="I137" s="3"/>
      <c r="J137" s="3"/>
      <c r="K137" s="108"/>
      <c r="L137" s="3"/>
      <c r="M137" s="108"/>
      <c r="N137" s="9"/>
    </row>
    <row r="138" spans="9:14" ht="13.95" customHeight="1">
      <c r="I138" s="3"/>
      <c r="J138" s="3"/>
      <c r="K138" s="108"/>
      <c r="L138" s="3"/>
      <c r="M138" s="108"/>
      <c r="N138" s="9"/>
    </row>
    <row r="139" spans="9:14" ht="13.95" customHeight="1">
      <c r="I139" s="3"/>
      <c r="J139" s="3"/>
      <c r="K139" s="108"/>
      <c r="L139" s="3"/>
      <c r="M139" s="108"/>
      <c r="N139" s="9"/>
    </row>
    <row r="140" spans="9:14" ht="13.95" customHeight="1">
      <c r="I140" s="3"/>
      <c r="J140" s="3"/>
      <c r="K140" s="108"/>
      <c r="L140" s="3"/>
      <c r="M140" s="108"/>
      <c r="N140" s="9"/>
    </row>
    <row r="141" spans="9:14" ht="13.95" customHeight="1">
      <c r="I141" s="3"/>
      <c r="J141" s="3"/>
      <c r="K141" s="108"/>
      <c r="L141" s="3"/>
      <c r="M141" s="108"/>
      <c r="N141" s="9"/>
    </row>
    <row r="142" spans="9:14" ht="13.95" customHeight="1">
      <c r="I142" s="3"/>
      <c r="J142" s="3"/>
      <c r="K142" s="108"/>
      <c r="L142" s="3"/>
      <c r="M142" s="108"/>
      <c r="N142" s="9"/>
    </row>
    <row r="143" spans="9:14" ht="13.95" customHeight="1">
      <c r="I143" s="3"/>
      <c r="J143" s="3"/>
      <c r="K143" s="108"/>
      <c r="L143" s="3"/>
      <c r="M143" s="108"/>
      <c r="N143" s="9"/>
    </row>
    <row r="144" spans="9:14" ht="13.95" customHeight="1">
      <c r="I144" s="3"/>
      <c r="J144" s="3"/>
      <c r="K144" s="108"/>
      <c r="L144" s="3"/>
      <c r="M144" s="108"/>
      <c r="N144" s="9"/>
    </row>
    <row r="145" spans="9:14" ht="13.95" customHeight="1">
      <c r="I145" s="3"/>
      <c r="J145" s="3"/>
      <c r="K145" s="108"/>
      <c r="L145" s="3"/>
      <c r="M145" s="108"/>
      <c r="N145" s="9"/>
    </row>
    <row r="146" spans="9:14" ht="13.95" customHeight="1">
      <c r="I146" s="3"/>
      <c r="J146" s="3"/>
      <c r="K146" s="108"/>
      <c r="L146" s="3"/>
      <c r="M146" s="108"/>
      <c r="N146" s="9"/>
    </row>
    <row r="147" spans="9:14" ht="13.95" customHeight="1">
      <c r="I147" s="3"/>
      <c r="J147" s="3"/>
      <c r="K147" s="108"/>
      <c r="L147" s="3"/>
      <c r="M147" s="108"/>
      <c r="N147" s="9"/>
    </row>
    <row r="148" spans="9:14" ht="20.100000000000001" customHeight="1">
      <c r="I148" s="9"/>
      <c r="J148" s="9"/>
      <c r="K148" s="108"/>
      <c r="L148" s="9"/>
      <c r="M148" s="108"/>
      <c r="N148" s="9"/>
    </row>
    <row r="149" spans="9:14" ht="13.95" customHeight="1">
      <c r="I149" s="9"/>
      <c r="J149" s="9"/>
      <c r="K149" s="108"/>
      <c r="L149" s="9"/>
      <c r="M149" s="108"/>
      <c r="N149" s="9"/>
    </row>
    <row r="150" spans="9:14" ht="13.95" customHeight="1">
      <c r="I150" s="9"/>
      <c r="J150" s="9"/>
      <c r="K150" s="108"/>
      <c r="L150" s="9"/>
      <c r="M150" s="108"/>
      <c r="N150" s="9"/>
    </row>
    <row r="151" spans="9:14" ht="22.2" customHeight="1">
      <c r="I151" s="9"/>
      <c r="J151" s="9"/>
      <c r="K151" s="108"/>
      <c r="L151" s="9"/>
      <c r="M151" s="108"/>
      <c r="N151" s="9"/>
    </row>
    <row r="152" spans="9:14" ht="20.100000000000001" customHeight="1">
      <c r="I152" s="9"/>
      <c r="J152" s="9"/>
      <c r="K152" s="108"/>
      <c r="L152" s="9"/>
      <c r="M152" s="108"/>
      <c r="N152" s="9"/>
    </row>
    <row r="153" spans="9:14" ht="13.95" customHeight="1">
      <c r="I153" s="3"/>
      <c r="J153" s="3"/>
      <c r="K153" s="108"/>
      <c r="L153" s="3"/>
      <c r="M153" s="108"/>
      <c r="N153" s="9"/>
    </row>
    <row r="154" spans="9:14" ht="13.95" customHeight="1">
      <c r="I154" s="3"/>
      <c r="J154" s="3"/>
      <c r="K154" s="108"/>
      <c r="L154" s="3"/>
      <c r="M154" s="108"/>
      <c r="N154" s="9"/>
    </row>
    <row r="155" spans="9:14" ht="13.95" customHeight="1">
      <c r="I155" s="3"/>
      <c r="J155" s="3"/>
      <c r="K155" s="108"/>
      <c r="L155" s="3"/>
      <c r="M155" s="108"/>
      <c r="N155" s="9"/>
    </row>
    <row r="156" spans="9:14" ht="13.95" customHeight="1">
      <c r="I156" s="3"/>
      <c r="J156" s="3"/>
      <c r="K156" s="108"/>
      <c r="L156" s="3"/>
      <c r="M156" s="108"/>
      <c r="N156" s="9"/>
    </row>
    <row r="157" spans="9:14" ht="13.95" customHeight="1">
      <c r="I157" s="3"/>
      <c r="J157" s="3"/>
      <c r="K157" s="108"/>
      <c r="L157" s="3"/>
      <c r="M157" s="108"/>
      <c r="N157" s="9"/>
    </row>
    <row r="158" spans="9:14" ht="13.95" customHeight="1">
      <c r="I158" s="3"/>
      <c r="J158" s="3"/>
      <c r="K158" s="108"/>
      <c r="L158" s="3"/>
      <c r="M158" s="108"/>
      <c r="N158" s="9"/>
    </row>
    <row r="159" spans="9:14" ht="13.95" customHeight="1">
      <c r="I159" s="3"/>
      <c r="J159" s="3"/>
      <c r="K159" s="108"/>
      <c r="L159" s="3"/>
      <c r="M159" s="108"/>
      <c r="N159" s="9"/>
    </row>
    <row r="160" spans="9:14" ht="13.95" customHeight="1">
      <c r="I160" s="3"/>
      <c r="J160" s="3"/>
      <c r="K160" s="108"/>
      <c r="L160" s="3"/>
      <c r="M160" s="108"/>
      <c r="N160" s="9"/>
    </row>
    <row r="161" spans="9:14" ht="13.95" customHeight="1">
      <c r="I161" s="3"/>
      <c r="J161" s="3"/>
      <c r="K161" s="108"/>
      <c r="L161" s="3"/>
      <c r="M161" s="108"/>
      <c r="N161" s="9"/>
    </row>
    <row r="162" spans="9:14" ht="13.95" customHeight="1">
      <c r="I162" s="3"/>
      <c r="J162" s="3"/>
      <c r="K162" s="108"/>
      <c r="L162" s="3"/>
      <c r="M162" s="108"/>
      <c r="N162" s="9"/>
    </row>
    <row r="163" spans="9:14" ht="13.95" customHeight="1">
      <c r="I163" s="3"/>
      <c r="J163" s="3"/>
      <c r="K163" s="108"/>
      <c r="L163" s="3"/>
      <c r="M163" s="108"/>
      <c r="N163" s="9"/>
    </row>
    <row r="164" spans="9:14" ht="13.95" customHeight="1">
      <c r="I164" s="3"/>
      <c r="J164" s="3"/>
      <c r="K164" s="108"/>
      <c r="L164" s="3"/>
      <c r="M164" s="108"/>
      <c r="N164" s="9"/>
    </row>
    <row r="165" spans="9:14" ht="13.95" customHeight="1">
      <c r="I165" s="3"/>
      <c r="J165" s="3"/>
      <c r="K165" s="108"/>
      <c r="L165" s="3"/>
      <c r="M165" s="108"/>
      <c r="N165" s="9"/>
    </row>
    <row r="166" spans="9:14" ht="13.95" customHeight="1">
      <c r="I166" s="9"/>
      <c r="J166" s="9"/>
      <c r="K166" s="108"/>
      <c r="L166" s="9"/>
      <c r="M166" s="108"/>
      <c r="N166" s="9"/>
    </row>
    <row r="167" spans="9:14" ht="13.95" customHeight="1">
      <c r="I167" s="9"/>
      <c r="J167" s="9"/>
      <c r="K167" s="108"/>
      <c r="L167" s="9"/>
      <c r="M167" s="108"/>
      <c r="N167" s="9"/>
    </row>
    <row r="168" spans="9:14" ht="13.95" customHeight="1">
      <c r="I168" s="9"/>
      <c r="J168" s="9"/>
      <c r="K168" s="108"/>
      <c r="L168" s="9"/>
      <c r="M168" s="108"/>
      <c r="N168" s="9"/>
    </row>
    <row r="169" spans="9:14" ht="13.95" customHeight="1">
      <c r="I169" s="9"/>
      <c r="J169" s="9"/>
      <c r="K169" s="108"/>
      <c r="L169" s="9"/>
      <c r="M169" s="108"/>
      <c r="N169" s="9"/>
    </row>
    <row r="170" spans="9:14" ht="13.95" customHeight="1">
      <c r="I170" s="3"/>
      <c r="J170" s="3"/>
      <c r="K170" s="108"/>
      <c r="L170" s="3"/>
      <c r="M170" s="108"/>
      <c r="N170" s="9"/>
    </row>
    <row r="171" spans="9:14" ht="13.95" customHeight="1">
      <c r="I171" s="3"/>
      <c r="J171" s="3"/>
      <c r="K171" s="108"/>
      <c r="L171" s="3"/>
      <c r="M171" s="108"/>
      <c r="N171" s="9"/>
    </row>
    <row r="172" spans="9:14" ht="13.95" customHeight="1">
      <c r="I172" s="3"/>
      <c r="J172" s="3"/>
      <c r="K172" s="108"/>
      <c r="L172" s="3"/>
      <c r="M172" s="108"/>
      <c r="N172" s="9"/>
    </row>
    <row r="173" spans="9:14" ht="13.95" customHeight="1">
      <c r="I173" s="3"/>
      <c r="J173" s="3"/>
      <c r="K173" s="108"/>
      <c r="L173" s="3"/>
      <c r="M173" s="108"/>
      <c r="N173" s="9"/>
    </row>
    <row r="174" spans="9:14" ht="13.95" customHeight="1">
      <c r="I174" s="3"/>
      <c r="J174" s="3"/>
      <c r="K174" s="108"/>
      <c r="L174" s="3"/>
      <c r="M174" s="108"/>
      <c r="N174" s="9"/>
    </row>
    <row r="175" spans="9:14" ht="13.95" customHeight="1">
      <c r="I175" s="3"/>
      <c r="J175" s="3"/>
      <c r="K175" s="108"/>
      <c r="L175" s="3"/>
      <c r="M175" s="108"/>
      <c r="N175" s="9"/>
    </row>
    <row r="176" spans="9:14" ht="13.95" customHeight="1">
      <c r="I176" s="3"/>
      <c r="J176" s="3"/>
      <c r="K176" s="108"/>
      <c r="L176" s="3"/>
      <c r="M176" s="108"/>
      <c r="N176" s="9"/>
    </row>
    <row r="177" spans="9:14" ht="13.95" customHeight="1">
      <c r="I177" s="3"/>
      <c r="J177" s="3"/>
      <c r="K177" s="108"/>
      <c r="L177" s="3"/>
      <c r="M177" s="108"/>
      <c r="N177" s="9"/>
    </row>
    <row r="178" spans="9:14" ht="13.95" customHeight="1">
      <c r="I178" s="3"/>
      <c r="J178" s="3"/>
      <c r="K178" s="108"/>
      <c r="L178" s="3"/>
      <c r="M178" s="108"/>
      <c r="N178" s="9"/>
    </row>
    <row r="179" spans="9:14" ht="13.95" customHeight="1">
      <c r="I179" s="3"/>
      <c r="J179" s="3"/>
      <c r="K179" s="108"/>
      <c r="L179" s="3"/>
      <c r="M179" s="108"/>
      <c r="N179" s="9"/>
    </row>
    <row r="180" spans="9:14" ht="27" customHeight="1">
      <c r="I180" s="3"/>
      <c r="J180" s="3"/>
      <c r="K180" s="108"/>
      <c r="L180" s="3"/>
      <c r="M180" s="108"/>
      <c r="N180" s="9"/>
    </row>
    <row r="181" spans="9:14" ht="13.95" customHeight="1">
      <c r="I181" s="3"/>
      <c r="J181" s="3"/>
      <c r="K181" s="108"/>
      <c r="L181" s="3"/>
      <c r="M181" s="108"/>
      <c r="N181" s="9"/>
    </row>
    <row r="182" spans="9:14" ht="24.6" customHeight="1">
      <c r="I182" s="3"/>
      <c r="J182" s="3"/>
      <c r="K182" s="108"/>
      <c r="L182" s="3"/>
      <c r="M182" s="108"/>
      <c r="N182" s="9"/>
    </row>
    <row r="183" spans="9:14" ht="13.95" customHeight="1">
      <c r="I183" s="3"/>
      <c r="J183" s="3"/>
      <c r="K183" s="108"/>
      <c r="L183" s="3"/>
      <c r="M183" s="108"/>
      <c r="N183" s="9"/>
    </row>
    <row r="184" spans="9:14" ht="23.4" customHeight="1">
      <c r="I184" s="3"/>
      <c r="J184" s="3"/>
      <c r="K184" s="108"/>
      <c r="L184" s="3"/>
      <c r="M184" s="108"/>
      <c r="N184" s="9"/>
    </row>
    <row r="185" spans="9:14" ht="13.95" customHeight="1">
      <c r="I185" s="3"/>
      <c r="J185" s="3"/>
      <c r="K185" s="108"/>
      <c r="L185" s="3"/>
      <c r="M185" s="108"/>
      <c r="N185" s="9"/>
    </row>
    <row r="186" spans="9:14" ht="13.95" customHeight="1">
      <c r="I186" s="3"/>
      <c r="J186" s="3"/>
      <c r="K186" s="108"/>
      <c r="L186" s="3"/>
      <c r="M186" s="108"/>
      <c r="N186" s="9"/>
    </row>
    <row r="187" spans="9:14" ht="13.95" customHeight="1">
      <c r="I187" s="3"/>
      <c r="J187" s="3"/>
      <c r="K187" s="108"/>
      <c r="L187" s="3"/>
      <c r="M187" s="108"/>
      <c r="N187" s="9"/>
    </row>
    <row r="188" spans="9:14" ht="13.95" customHeight="1">
      <c r="I188" s="3"/>
      <c r="J188" s="3"/>
      <c r="K188" s="108"/>
      <c r="L188" s="3"/>
      <c r="M188" s="108"/>
      <c r="N188" s="9"/>
    </row>
    <row r="189" spans="9:14" ht="13.95" customHeight="1">
      <c r="I189" s="3"/>
      <c r="J189" s="3"/>
      <c r="K189" s="108"/>
      <c r="L189" s="3"/>
      <c r="M189" s="108"/>
      <c r="N189" s="9"/>
    </row>
    <row r="190" spans="9:14" ht="13.95" customHeight="1">
      <c r="I190" s="3"/>
      <c r="J190" s="3"/>
      <c r="K190" s="108"/>
      <c r="L190" s="3"/>
      <c r="M190" s="108"/>
      <c r="N190" s="9"/>
    </row>
    <row r="191" spans="9:14" ht="13.95" customHeight="1">
      <c r="I191" s="3"/>
      <c r="J191" s="3"/>
      <c r="K191" s="108"/>
      <c r="L191" s="3"/>
      <c r="M191" s="108"/>
      <c r="N191" s="9"/>
    </row>
    <row r="192" spans="9:14" ht="13.95" customHeight="1">
      <c r="I192" s="3"/>
      <c r="J192" s="3"/>
      <c r="K192" s="108"/>
      <c r="L192" s="3"/>
      <c r="M192" s="108"/>
      <c r="N192" s="9"/>
    </row>
    <row r="193" spans="9:14" ht="13.95" customHeight="1">
      <c r="I193" s="3"/>
      <c r="J193" s="3"/>
      <c r="K193" s="108"/>
      <c r="L193" s="3"/>
      <c r="M193" s="108"/>
      <c r="N193" s="9"/>
    </row>
    <row r="194" spans="9:14" ht="13.95" customHeight="1">
      <c r="I194" s="3"/>
      <c r="J194" s="3"/>
      <c r="K194" s="108"/>
      <c r="L194" s="3"/>
      <c r="M194" s="108"/>
      <c r="N194" s="9"/>
    </row>
    <row r="195" spans="9:14" ht="13.95" customHeight="1">
      <c r="I195" s="3"/>
      <c r="J195" s="3"/>
      <c r="K195" s="108"/>
      <c r="L195" s="3"/>
      <c r="M195" s="108"/>
      <c r="N195" s="9"/>
    </row>
    <row r="196" spans="9:14" ht="13.95" customHeight="1">
      <c r="I196" s="3"/>
      <c r="J196" s="3"/>
      <c r="K196" s="108"/>
      <c r="L196" s="3"/>
      <c r="M196" s="108"/>
      <c r="N196" s="9"/>
    </row>
    <row r="197" spans="9:14" ht="13.95" customHeight="1">
      <c r="I197" s="3"/>
      <c r="J197" s="3"/>
      <c r="K197" s="108"/>
      <c r="L197" s="3"/>
      <c r="M197" s="108"/>
      <c r="N197" s="9"/>
    </row>
    <row r="198" spans="9:14" ht="20.100000000000001" customHeight="1">
      <c r="I198" s="9"/>
      <c r="J198" s="9"/>
      <c r="K198" s="108"/>
      <c r="L198" s="9"/>
      <c r="M198" s="108"/>
      <c r="N198" s="9"/>
    </row>
    <row r="199" spans="9:14" ht="13.95" customHeight="1">
      <c r="I199" s="9"/>
      <c r="J199" s="9"/>
      <c r="K199" s="108"/>
      <c r="L199" s="9"/>
      <c r="M199" s="108"/>
      <c r="N199" s="9"/>
    </row>
    <row r="200" spans="9:14" ht="13.95" customHeight="1">
      <c r="I200" s="9"/>
      <c r="J200" s="9"/>
      <c r="K200" s="108"/>
      <c r="L200" s="9"/>
      <c r="M200" s="108"/>
      <c r="N200" s="9"/>
    </row>
    <row r="201" spans="9:14" ht="22.2" customHeight="1">
      <c r="I201" s="9"/>
      <c r="J201" s="9"/>
      <c r="K201" s="108"/>
      <c r="L201" s="9"/>
      <c r="M201" s="108"/>
      <c r="N201" s="9"/>
    </row>
    <row r="202" spans="9:14" ht="20.100000000000001" customHeight="1">
      <c r="I202" s="9"/>
      <c r="J202" s="9"/>
      <c r="K202" s="108"/>
      <c r="L202" s="9"/>
      <c r="M202" s="108"/>
      <c r="N202" s="9"/>
    </row>
    <row r="203" spans="9:14" ht="13.95" customHeight="1">
      <c r="I203" s="3"/>
      <c r="J203" s="3"/>
      <c r="K203" s="108"/>
      <c r="L203" s="3"/>
      <c r="M203" s="108"/>
      <c r="N203" s="9"/>
    </row>
    <row r="204" spans="9:14" ht="13.95" customHeight="1">
      <c r="I204" s="3"/>
      <c r="J204" s="3"/>
      <c r="K204" s="108"/>
      <c r="L204" s="3"/>
      <c r="M204" s="108"/>
      <c r="N204" s="9"/>
    </row>
    <row r="205" spans="9:14" ht="13.95" customHeight="1">
      <c r="I205" s="3"/>
      <c r="J205" s="3"/>
      <c r="K205" s="108"/>
      <c r="L205" s="3"/>
      <c r="M205" s="108"/>
      <c r="N205" s="9"/>
    </row>
    <row r="206" spans="9:14" ht="13.95" customHeight="1">
      <c r="I206" s="3"/>
      <c r="J206" s="3"/>
      <c r="K206" s="108"/>
      <c r="L206" s="3"/>
      <c r="M206" s="108"/>
      <c r="N206" s="9"/>
    </row>
    <row r="207" spans="9:14" ht="13.95" customHeight="1">
      <c r="I207" s="3"/>
      <c r="J207" s="3"/>
      <c r="K207" s="108"/>
      <c r="L207" s="3"/>
      <c r="M207" s="108"/>
      <c r="N207" s="9"/>
    </row>
    <row r="208" spans="9:14" ht="13.95" customHeight="1">
      <c r="I208" s="4"/>
      <c r="J208" s="4"/>
      <c r="K208" s="108"/>
      <c r="L208" s="4"/>
      <c r="M208" s="108"/>
      <c r="N208" s="9"/>
    </row>
    <row r="209" spans="9:14" ht="13.95" customHeight="1">
      <c r="I209" s="4"/>
      <c r="J209" s="4"/>
      <c r="K209" s="108"/>
      <c r="L209" s="4"/>
      <c r="M209" s="108"/>
      <c r="N209" s="9"/>
    </row>
    <row r="210" spans="9:14" ht="13.95" customHeight="1">
      <c r="I210" s="4"/>
      <c r="J210" s="4"/>
      <c r="K210" s="108"/>
      <c r="L210" s="4"/>
      <c r="M210" s="108"/>
      <c r="N210" s="9"/>
    </row>
    <row r="211" spans="9:14" ht="13.95" customHeight="1">
      <c r="I211" s="4"/>
      <c r="J211" s="4"/>
      <c r="K211" s="108"/>
      <c r="L211" s="4"/>
      <c r="M211" s="108"/>
      <c r="N211" s="9"/>
    </row>
    <row r="212" spans="9:14" ht="13.95" customHeight="1">
      <c r="I212" s="4"/>
      <c r="J212" s="4"/>
      <c r="K212" s="108"/>
      <c r="L212" s="4"/>
      <c r="M212" s="108"/>
      <c r="N212" s="9"/>
    </row>
    <row r="213" spans="9:14" ht="13.95" customHeight="1">
      <c r="I213" s="3"/>
      <c r="J213" s="3"/>
      <c r="K213" s="108"/>
      <c r="L213" s="3"/>
      <c r="M213" s="108"/>
      <c r="N213" s="9"/>
    </row>
    <row r="214" spans="9:14" ht="24.6" customHeight="1">
      <c r="I214" s="9"/>
      <c r="J214" s="9"/>
      <c r="K214" s="108"/>
      <c r="L214" s="9"/>
      <c r="M214" s="108"/>
      <c r="N214" s="9"/>
    </row>
    <row r="215" spans="9:14" ht="13.95" customHeight="1">
      <c r="I215" s="9"/>
      <c r="J215" s="9"/>
      <c r="K215" s="108"/>
      <c r="L215" s="9"/>
      <c r="M215" s="108"/>
      <c r="N215" s="9"/>
    </row>
    <row r="216" spans="9:14" ht="22.95" customHeight="1">
      <c r="I216" s="9"/>
      <c r="J216" s="9"/>
      <c r="K216" s="108"/>
      <c r="L216" s="9"/>
      <c r="M216" s="108"/>
      <c r="N216" s="9"/>
    </row>
    <row r="217" spans="9:14" ht="13.95" customHeight="1">
      <c r="I217" s="9"/>
      <c r="J217" s="9"/>
      <c r="K217" s="108"/>
      <c r="L217" s="9"/>
      <c r="M217" s="108"/>
      <c r="N217" s="9"/>
    </row>
    <row r="218" spans="9:14" ht="46.2" customHeight="1">
      <c r="I218" s="9"/>
      <c r="J218" s="9"/>
      <c r="K218" s="108"/>
      <c r="L218" s="9"/>
      <c r="M218" s="108"/>
      <c r="N218" s="9"/>
    </row>
    <row r="219" spans="9:14" ht="13.95" customHeight="1">
      <c r="I219" s="9"/>
      <c r="J219" s="9"/>
      <c r="K219" s="108"/>
      <c r="L219" s="9"/>
      <c r="M219" s="108"/>
      <c r="N219" s="9"/>
    </row>
    <row r="220" spans="9:14" ht="48" customHeight="1">
      <c r="I220" s="45"/>
      <c r="J220" s="45"/>
      <c r="K220" s="108"/>
      <c r="L220" s="45"/>
      <c r="M220" s="108"/>
      <c r="N220" s="9"/>
    </row>
    <row r="221" spans="9:14" ht="12.6" customHeight="1">
      <c r="I221" s="9"/>
      <c r="J221" s="9"/>
      <c r="K221" s="108"/>
      <c r="L221" s="9"/>
      <c r="M221" s="108"/>
      <c r="N221" s="9"/>
    </row>
    <row r="222" spans="9:14" ht="13.95" customHeight="1">
      <c r="I222" s="9"/>
      <c r="J222" s="9"/>
      <c r="K222" s="108"/>
      <c r="L222" s="9"/>
      <c r="M222" s="108"/>
      <c r="N222" s="9"/>
    </row>
    <row r="223" spans="9:14" ht="13.95" customHeight="1">
      <c r="I223" s="9"/>
      <c r="J223" s="9"/>
      <c r="K223" s="108"/>
      <c r="L223" s="9"/>
      <c r="M223" s="108"/>
      <c r="N223" s="9"/>
    </row>
    <row r="224" spans="9:14" ht="13.95" customHeight="1">
      <c r="I224" s="9"/>
      <c r="J224" s="9"/>
      <c r="K224" s="108"/>
      <c r="L224" s="9"/>
      <c r="M224" s="108"/>
      <c r="N224" s="9"/>
    </row>
    <row r="225" spans="9:14" ht="13.95" customHeight="1">
      <c r="I225" s="9"/>
      <c r="J225" s="9"/>
      <c r="K225" s="108"/>
      <c r="L225" s="9"/>
      <c r="M225" s="108"/>
      <c r="N225" s="9"/>
    </row>
    <row r="226" spans="9:14" ht="22.95" customHeight="1">
      <c r="I226" s="9"/>
      <c r="J226" s="9"/>
      <c r="K226" s="108"/>
      <c r="L226" s="9"/>
      <c r="M226" s="108"/>
      <c r="N226" s="9"/>
    </row>
    <row r="227" spans="9:14" ht="13.95" customHeight="1">
      <c r="I227" s="9"/>
      <c r="J227" s="9"/>
      <c r="K227" s="108"/>
      <c r="L227" s="9"/>
      <c r="M227" s="108"/>
      <c r="N227" s="9"/>
    </row>
    <row r="228" spans="9:14" ht="13.95" customHeight="1">
      <c r="I228" s="9"/>
      <c r="J228" s="9"/>
      <c r="K228" s="108"/>
      <c r="L228" s="9"/>
      <c r="M228" s="108"/>
      <c r="N228" s="9"/>
    </row>
    <row r="229" spans="9:14" ht="13.95" customHeight="1">
      <c r="I229" s="9"/>
      <c r="J229" s="9"/>
      <c r="K229" s="108"/>
      <c r="L229" s="9"/>
      <c r="M229" s="108"/>
      <c r="N229" s="9"/>
    </row>
    <row r="230" spans="9:14" ht="48.6" customHeight="1">
      <c r="I230" s="9"/>
      <c r="J230" s="9"/>
      <c r="K230" s="108"/>
      <c r="L230" s="9"/>
      <c r="M230" s="108"/>
      <c r="N230" s="9"/>
    </row>
    <row r="231" spans="9:14">
      <c r="I231" s="9"/>
      <c r="J231" s="9"/>
      <c r="K231" s="108"/>
      <c r="L231" s="9"/>
      <c r="M231" s="108"/>
      <c r="N231" s="9"/>
    </row>
    <row r="232" spans="9:14">
      <c r="I232" s="9"/>
      <c r="J232" s="9"/>
      <c r="K232" s="108"/>
      <c r="L232" s="9"/>
      <c r="M232" s="108"/>
      <c r="N232" s="9"/>
    </row>
    <row r="233" spans="9:14">
      <c r="I233" s="9"/>
      <c r="J233" s="9"/>
      <c r="K233" s="108"/>
      <c r="L233" s="9"/>
      <c r="M233" s="108"/>
      <c r="N233" s="9"/>
    </row>
    <row r="234" spans="9:14">
      <c r="I234" s="9"/>
      <c r="J234" s="9"/>
      <c r="K234" s="108"/>
      <c r="L234" s="9"/>
      <c r="M234" s="108"/>
      <c r="N234" s="9"/>
    </row>
    <row r="235" spans="9:14">
      <c r="I235" s="9"/>
      <c r="J235" s="9"/>
      <c r="K235" s="108"/>
      <c r="L235" s="9"/>
      <c r="M235" s="108"/>
      <c r="N235" s="9"/>
    </row>
    <row r="236" spans="9:14">
      <c r="I236" s="9"/>
      <c r="J236" s="9"/>
      <c r="K236" s="108"/>
      <c r="L236" s="9"/>
      <c r="M236" s="108"/>
      <c r="N236" s="9"/>
    </row>
    <row r="237" spans="9:14" ht="13.95" customHeight="1">
      <c r="I237" s="9"/>
      <c r="J237" s="9"/>
      <c r="K237" s="108"/>
      <c r="L237" s="9"/>
      <c r="M237" s="108"/>
      <c r="N237" s="9"/>
    </row>
    <row r="238" spans="9:14" ht="13.95" customHeight="1">
      <c r="I238" s="9"/>
      <c r="J238" s="9"/>
      <c r="K238" s="108"/>
      <c r="L238" s="9"/>
      <c r="M238" s="108"/>
      <c r="N238" s="9"/>
    </row>
    <row r="239" spans="9:14" ht="13.95" customHeight="1">
      <c r="I239" s="9"/>
      <c r="J239" s="9"/>
      <c r="K239" s="108"/>
      <c r="L239" s="9"/>
      <c r="M239" s="108"/>
      <c r="N239" s="9"/>
    </row>
    <row r="240" spans="9:14" ht="13.95" customHeight="1">
      <c r="I240" s="9"/>
      <c r="J240" s="9"/>
      <c r="K240" s="108"/>
      <c r="L240" s="9"/>
      <c r="M240" s="108"/>
      <c r="N240" s="9"/>
    </row>
    <row r="241" spans="9:14" ht="13.95" customHeight="1">
      <c r="I241" s="9"/>
      <c r="J241" s="9"/>
      <c r="K241" s="108"/>
      <c r="L241" s="9"/>
      <c r="M241" s="108"/>
      <c r="N241" s="9"/>
    </row>
    <row r="242" spans="9:14" ht="20.100000000000001" customHeight="1">
      <c r="I242" s="9"/>
      <c r="J242" s="9"/>
      <c r="K242" s="108"/>
      <c r="L242" s="9"/>
      <c r="M242" s="108"/>
      <c r="N242" s="9"/>
    </row>
    <row r="243" spans="9:14" ht="13.95" customHeight="1">
      <c r="I243" s="9"/>
      <c r="J243" s="9"/>
      <c r="K243" s="108"/>
      <c r="L243" s="9"/>
      <c r="M243" s="108"/>
      <c r="N243" s="9"/>
    </row>
    <row r="244" spans="9:14" ht="13.95" customHeight="1">
      <c r="I244" s="9"/>
      <c r="J244" s="9"/>
      <c r="K244" s="108"/>
      <c r="L244" s="9"/>
      <c r="M244" s="108"/>
      <c r="N244" s="9"/>
    </row>
    <row r="245" spans="9:14" ht="22.2" customHeight="1">
      <c r="I245" s="9"/>
      <c r="J245" s="9"/>
      <c r="K245" s="108"/>
      <c r="L245" s="9"/>
      <c r="M245" s="108"/>
      <c r="N245" s="9"/>
    </row>
    <row r="246" spans="9:14" ht="20.100000000000001" customHeight="1">
      <c r="I246" s="9"/>
      <c r="J246" s="9"/>
      <c r="K246" s="108"/>
      <c r="L246" s="9"/>
      <c r="M246" s="108"/>
      <c r="N246" s="9"/>
    </row>
    <row r="247" spans="9:14" ht="13.95" customHeight="1">
      <c r="I247" s="9"/>
      <c r="J247" s="9"/>
      <c r="K247" s="108"/>
      <c r="L247" s="9"/>
      <c r="M247" s="108"/>
      <c r="N247" s="9"/>
    </row>
    <row r="248" spans="9:14" ht="13.95" customHeight="1">
      <c r="I248" s="9"/>
      <c r="J248" s="9"/>
      <c r="K248" s="108"/>
      <c r="L248" s="9"/>
      <c r="M248" s="108"/>
      <c r="N248" s="9"/>
    </row>
    <row r="249" spans="9:14" ht="13.95" customHeight="1">
      <c r="I249" s="9"/>
      <c r="J249" s="9"/>
      <c r="K249" s="108"/>
      <c r="L249" s="9"/>
      <c r="M249" s="108"/>
      <c r="N249" s="9"/>
    </row>
    <row r="250" spans="9:14" ht="48" customHeight="1">
      <c r="I250" s="9"/>
      <c r="J250" s="9"/>
      <c r="K250" s="108"/>
      <c r="L250" s="9"/>
      <c r="M250" s="108"/>
      <c r="N250" s="9"/>
    </row>
    <row r="251" spans="9:14" ht="13.95" customHeight="1">
      <c r="I251" s="9"/>
      <c r="J251" s="9"/>
      <c r="K251" s="108"/>
      <c r="L251" s="9"/>
      <c r="M251" s="108"/>
      <c r="N251" s="9"/>
    </row>
    <row r="252" spans="9:14" ht="25.95" customHeight="1">
      <c r="I252" s="9"/>
      <c r="J252" s="9"/>
      <c r="K252" s="108"/>
      <c r="L252" s="9"/>
      <c r="M252" s="108"/>
      <c r="N252" s="9"/>
    </row>
    <row r="253" spans="9:14" ht="13.95" customHeight="1">
      <c r="I253" s="9"/>
      <c r="J253" s="9"/>
      <c r="K253" s="108"/>
      <c r="L253" s="9"/>
      <c r="M253" s="108"/>
      <c r="N253" s="9"/>
    </row>
    <row r="254" spans="9:14" ht="38.4" customHeight="1">
      <c r="I254" s="9"/>
      <c r="J254" s="9"/>
      <c r="K254" s="108"/>
      <c r="L254" s="9"/>
      <c r="M254" s="108"/>
      <c r="N254" s="9"/>
    </row>
    <row r="255" spans="9:14" ht="13.95" customHeight="1">
      <c r="I255" s="9"/>
      <c r="J255" s="9"/>
      <c r="K255" s="108"/>
      <c r="L255" s="9"/>
      <c r="M255" s="108"/>
      <c r="N255" s="9"/>
    </row>
    <row r="256" spans="9:14" ht="25.95" customHeight="1">
      <c r="I256" s="9"/>
      <c r="J256" s="9"/>
      <c r="K256" s="108"/>
      <c r="L256" s="9"/>
      <c r="M256" s="108"/>
      <c r="N256" s="9"/>
    </row>
    <row r="257" spans="9:14" ht="13.95" customHeight="1">
      <c r="I257" s="9"/>
      <c r="J257" s="9"/>
      <c r="K257" s="108"/>
      <c r="L257" s="9"/>
      <c r="M257" s="108"/>
      <c r="N257" s="9"/>
    </row>
    <row r="258" spans="9:14" ht="13.95" customHeight="1">
      <c r="I258" s="9"/>
      <c r="J258" s="9"/>
      <c r="K258" s="108"/>
      <c r="L258" s="9"/>
      <c r="M258" s="108"/>
      <c r="N258" s="9"/>
    </row>
    <row r="259" spans="9:14" ht="13.95" customHeight="1">
      <c r="I259" s="9"/>
      <c r="J259" s="9"/>
      <c r="K259" s="108"/>
      <c r="L259" s="9"/>
      <c r="M259" s="108"/>
      <c r="N259" s="9"/>
    </row>
    <row r="260" spans="9:14">
      <c r="I260" s="9"/>
      <c r="J260" s="9"/>
      <c r="K260" s="108"/>
      <c r="L260" s="9"/>
      <c r="M260" s="108"/>
      <c r="N260" s="9"/>
    </row>
    <row r="261" spans="9:14" ht="13.95" customHeight="1">
      <c r="I261" s="9"/>
      <c r="J261" s="9"/>
      <c r="K261" s="108"/>
      <c r="L261" s="9"/>
      <c r="M261" s="108"/>
      <c r="N261" s="9"/>
    </row>
    <row r="262" spans="9:14" ht="22.2" customHeight="1">
      <c r="I262" s="9"/>
      <c r="J262" s="9"/>
      <c r="K262" s="108"/>
      <c r="L262" s="9"/>
      <c r="M262" s="108"/>
      <c r="N262" s="9"/>
    </row>
    <row r="263" spans="9:14" ht="13.95" customHeight="1">
      <c r="I263" s="9"/>
      <c r="J263" s="9"/>
      <c r="K263" s="108"/>
      <c r="L263" s="9"/>
      <c r="M263" s="108"/>
      <c r="N263" s="9"/>
    </row>
    <row r="264" spans="9:14" ht="13.95" customHeight="1">
      <c r="I264" s="9"/>
      <c r="J264" s="9"/>
      <c r="K264" s="108"/>
      <c r="L264" s="9"/>
      <c r="M264" s="108"/>
      <c r="N264" s="9"/>
    </row>
    <row r="265" spans="9:14" ht="13.95" customHeight="1">
      <c r="I265" s="9"/>
      <c r="J265" s="9"/>
      <c r="K265" s="108"/>
      <c r="L265" s="9"/>
      <c r="M265" s="108"/>
      <c r="N265" s="9"/>
    </row>
    <row r="266" spans="9:14" ht="24" customHeight="1">
      <c r="I266" s="9"/>
      <c r="J266" s="9"/>
      <c r="K266" s="108"/>
      <c r="L266" s="9"/>
      <c r="M266" s="108"/>
      <c r="N266" s="9"/>
    </row>
    <row r="267" spans="9:14" ht="13.95" customHeight="1">
      <c r="I267" s="9"/>
      <c r="J267" s="9"/>
      <c r="K267" s="108"/>
      <c r="L267" s="9"/>
      <c r="M267" s="108"/>
      <c r="N267" s="9"/>
    </row>
    <row r="268" spans="9:14" ht="13.95" customHeight="1">
      <c r="I268" s="9"/>
      <c r="J268" s="9"/>
      <c r="K268" s="108"/>
      <c r="L268" s="9"/>
      <c r="M268" s="108"/>
      <c r="N268" s="9"/>
    </row>
    <row r="269" spans="9:14" ht="13.95" customHeight="1">
      <c r="I269" s="9"/>
      <c r="J269" s="9"/>
      <c r="K269" s="108"/>
      <c r="L269" s="9"/>
      <c r="M269" s="108"/>
      <c r="N269" s="9"/>
    </row>
    <row r="270" spans="9:14" ht="12.6" customHeight="1">
      <c r="I270" s="9"/>
      <c r="J270" s="9"/>
      <c r="K270" s="108"/>
      <c r="L270" s="9"/>
      <c r="M270" s="108"/>
      <c r="N270" s="9"/>
    </row>
    <row r="271" spans="9:14" ht="12.6" customHeight="1">
      <c r="I271" s="9"/>
      <c r="J271" s="9"/>
      <c r="K271" s="108"/>
      <c r="L271" s="9"/>
      <c r="M271" s="108"/>
      <c r="N271" s="9"/>
    </row>
    <row r="272" spans="9:14" ht="12.6" customHeight="1">
      <c r="I272" s="9"/>
      <c r="J272" s="9"/>
      <c r="K272" s="108"/>
      <c r="L272" s="9"/>
      <c r="M272" s="108"/>
      <c r="N272" s="9"/>
    </row>
    <row r="273" spans="9:14" ht="12.6" customHeight="1">
      <c r="I273" s="9"/>
      <c r="J273" s="9"/>
      <c r="K273" s="108"/>
      <c r="L273" s="9"/>
      <c r="M273" s="108"/>
      <c r="N273" s="9"/>
    </row>
    <row r="274" spans="9:14" ht="12.6" customHeight="1">
      <c r="I274" s="9"/>
      <c r="J274" s="9"/>
      <c r="K274" s="108"/>
      <c r="L274" s="9"/>
      <c r="M274" s="108"/>
      <c r="N274" s="9"/>
    </row>
    <row r="275" spans="9:14" ht="12.6" customHeight="1">
      <c r="I275" s="9"/>
      <c r="J275" s="9"/>
      <c r="K275" s="108"/>
      <c r="L275" s="9"/>
      <c r="M275" s="108"/>
      <c r="N275" s="9"/>
    </row>
    <row r="276" spans="9:14" ht="38.4" customHeight="1">
      <c r="I276" s="9"/>
      <c r="J276" s="9"/>
      <c r="K276" s="108"/>
      <c r="L276" s="9"/>
      <c r="M276" s="108"/>
      <c r="N276" s="9"/>
    </row>
    <row r="277" spans="9:14" ht="12.6" customHeight="1">
      <c r="I277" s="9"/>
      <c r="J277" s="9"/>
      <c r="K277" s="108"/>
      <c r="L277" s="9"/>
      <c r="M277" s="108"/>
      <c r="N277" s="9"/>
    </row>
    <row r="278" spans="9:14" ht="13.95" customHeight="1">
      <c r="I278" s="9"/>
      <c r="J278" s="9"/>
      <c r="K278" s="108"/>
      <c r="L278" s="9"/>
      <c r="M278" s="108"/>
      <c r="N278" s="9"/>
    </row>
    <row r="279" spans="9:14" ht="13.95" customHeight="1">
      <c r="I279" s="9"/>
      <c r="J279" s="9"/>
      <c r="K279" s="108"/>
      <c r="L279" s="9"/>
      <c r="M279" s="108"/>
      <c r="N279" s="9"/>
    </row>
    <row r="280" spans="9:14" ht="22.2" customHeight="1">
      <c r="I280" s="9"/>
      <c r="J280" s="9"/>
      <c r="K280" s="108"/>
      <c r="L280" s="9"/>
      <c r="M280" s="108"/>
      <c r="N280" s="9"/>
    </row>
    <row r="281" spans="9:14">
      <c r="I281" s="9"/>
      <c r="J281" s="9"/>
      <c r="K281" s="108"/>
      <c r="L281" s="9"/>
      <c r="M281" s="108"/>
      <c r="N281" s="9"/>
    </row>
    <row r="282" spans="9:14" ht="13.95" customHeight="1">
      <c r="I282" s="9"/>
      <c r="J282" s="9"/>
      <c r="K282" s="108"/>
      <c r="L282" s="9"/>
      <c r="M282" s="108"/>
      <c r="N282" s="9"/>
    </row>
    <row r="283" spans="9:14" ht="13.95" customHeight="1">
      <c r="I283" s="9"/>
      <c r="J283" s="9"/>
      <c r="K283" s="108"/>
      <c r="L283" s="9"/>
      <c r="M283" s="108"/>
      <c r="N283" s="9"/>
    </row>
    <row r="284" spans="9:14" ht="13.95" customHeight="1">
      <c r="I284" s="9"/>
      <c r="J284" s="9"/>
      <c r="K284" s="108"/>
      <c r="L284" s="9"/>
      <c r="M284" s="108"/>
      <c r="N284" s="9"/>
    </row>
    <row r="285" spans="9:14" ht="20.100000000000001" customHeight="1">
      <c r="I285" s="9"/>
      <c r="J285" s="9"/>
      <c r="K285" s="108"/>
      <c r="L285" s="9"/>
      <c r="M285" s="108"/>
      <c r="N285" s="9"/>
    </row>
    <row r="286" spans="9:14" ht="13.95" customHeight="1">
      <c r="I286" s="9"/>
      <c r="J286" s="9"/>
      <c r="K286" s="108"/>
      <c r="L286" s="9"/>
      <c r="M286" s="108"/>
      <c r="N286" s="9"/>
    </row>
    <row r="287" spans="9:14" ht="13.95" customHeight="1">
      <c r="I287" s="9"/>
      <c r="J287" s="9"/>
      <c r="K287" s="108"/>
      <c r="L287" s="9"/>
      <c r="M287" s="108"/>
      <c r="N287" s="9"/>
    </row>
    <row r="288" spans="9:14" ht="22.2" customHeight="1">
      <c r="I288" s="9"/>
      <c r="J288" s="9"/>
      <c r="K288" s="108"/>
      <c r="L288" s="9"/>
      <c r="M288" s="108"/>
      <c r="N288" s="9"/>
    </row>
    <row r="289" spans="9:14" ht="20.100000000000001" customHeight="1">
      <c r="I289" s="9"/>
      <c r="J289" s="9"/>
      <c r="K289" s="108"/>
      <c r="L289" s="9"/>
      <c r="M289" s="108"/>
      <c r="N289" s="9"/>
    </row>
    <row r="290" spans="9:14" ht="13.95" customHeight="1">
      <c r="I290" s="9"/>
      <c r="J290" s="9"/>
      <c r="K290" s="108"/>
      <c r="L290" s="9"/>
      <c r="M290" s="108"/>
      <c r="N290" s="9"/>
    </row>
    <row r="291" spans="9:14" ht="13.95" customHeight="1">
      <c r="I291" s="9"/>
      <c r="J291" s="9"/>
      <c r="K291" s="108"/>
      <c r="L291" s="9"/>
      <c r="M291" s="108"/>
      <c r="N291" s="9"/>
    </row>
    <row r="292" spans="9:14" ht="13.95" customHeight="1">
      <c r="I292" s="9"/>
      <c r="J292" s="9"/>
      <c r="K292" s="108"/>
      <c r="L292" s="9"/>
      <c r="M292" s="108"/>
      <c r="N292" s="9"/>
    </row>
    <row r="293" spans="9:14" ht="13.95" customHeight="1">
      <c r="I293" s="9"/>
      <c r="J293" s="9"/>
      <c r="K293" s="108"/>
      <c r="L293" s="9"/>
      <c r="M293" s="108"/>
      <c r="N293" s="9"/>
    </row>
    <row r="294" spans="9:14" ht="13.95" customHeight="1">
      <c r="I294" s="9"/>
      <c r="J294" s="9"/>
      <c r="K294" s="108"/>
      <c r="L294" s="9"/>
      <c r="M294" s="108"/>
      <c r="N294" s="9"/>
    </row>
    <row r="295" spans="9:14" ht="13.95" customHeight="1">
      <c r="I295" s="9"/>
      <c r="J295" s="9"/>
      <c r="K295" s="108"/>
      <c r="L295" s="9"/>
      <c r="M295" s="108"/>
      <c r="N295" s="9"/>
    </row>
    <row r="296" spans="9:14" ht="13.95" customHeight="1">
      <c r="I296" s="9"/>
      <c r="J296" s="9"/>
      <c r="K296" s="108"/>
      <c r="L296" s="9"/>
      <c r="M296" s="108"/>
      <c r="N296" s="9"/>
    </row>
    <row r="297" spans="9:14" ht="13.95" customHeight="1">
      <c r="I297" s="9"/>
      <c r="J297" s="9"/>
      <c r="K297" s="108"/>
      <c r="L297" s="9"/>
      <c r="M297" s="108"/>
      <c r="N297" s="9"/>
    </row>
    <row r="298" spans="9:14" ht="13.95" customHeight="1">
      <c r="I298" s="9"/>
      <c r="J298" s="9"/>
      <c r="K298" s="108"/>
      <c r="L298" s="9"/>
      <c r="M298" s="108"/>
      <c r="N298" s="9"/>
    </row>
    <row r="299" spans="9:14" ht="13.95" customHeight="1">
      <c r="I299" s="9"/>
      <c r="J299" s="9"/>
      <c r="K299" s="108"/>
      <c r="L299" s="9"/>
      <c r="M299" s="108"/>
      <c r="N299" s="9"/>
    </row>
    <row r="300" spans="9:14" ht="13.95" customHeight="1">
      <c r="I300" s="9"/>
      <c r="J300" s="9"/>
      <c r="K300" s="108"/>
      <c r="L300" s="9"/>
      <c r="M300" s="108"/>
      <c r="N300" s="9"/>
    </row>
    <row r="301" spans="9:14">
      <c r="I301" s="9"/>
      <c r="J301" s="9"/>
      <c r="K301" s="108"/>
      <c r="L301" s="9"/>
      <c r="M301" s="108"/>
      <c r="N301" s="9"/>
    </row>
    <row r="302" spans="9:14" ht="13.95" customHeight="1">
      <c r="I302" s="9"/>
      <c r="J302" s="9"/>
      <c r="K302" s="108"/>
      <c r="L302" s="9"/>
      <c r="M302" s="108"/>
      <c r="N302" s="9"/>
    </row>
    <row r="303" spans="9:14" ht="13.95" customHeight="1">
      <c r="I303" s="9"/>
      <c r="J303" s="9"/>
      <c r="K303" s="108"/>
      <c r="L303" s="9"/>
      <c r="M303" s="108"/>
      <c r="N303" s="9"/>
    </row>
    <row r="304" spans="9:14" ht="13.95" customHeight="1">
      <c r="I304" s="9"/>
      <c r="J304" s="9"/>
      <c r="K304" s="108"/>
      <c r="L304" s="9"/>
      <c r="M304" s="108"/>
      <c r="N304" s="9"/>
    </row>
    <row r="305" spans="9:15" ht="13.95" customHeight="1">
      <c r="I305" s="9"/>
      <c r="J305" s="9"/>
      <c r="K305" s="108"/>
      <c r="L305" s="9"/>
      <c r="M305" s="108"/>
      <c r="N305" s="9"/>
    </row>
    <row r="306" spans="9:15" ht="13.95" customHeight="1">
      <c r="I306" s="9"/>
      <c r="J306" s="9"/>
      <c r="K306" s="108"/>
      <c r="L306" s="9"/>
      <c r="M306" s="108"/>
      <c r="N306" s="9"/>
    </row>
    <row r="307" spans="9:15" ht="13.95" customHeight="1">
      <c r="I307" s="9"/>
      <c r="J307" s="9"/>
      <c r="K307" s="108"/>
      <c r="L307" s="9"/>
      <c r="M307" s="108"/>
      <c r="N307" s="9"/>
    </row>
    <row r="308" spans="9:15" ht="13.95" customHeight="1">
      <c r="I308" s="9"/>
      <c r="J308" s="9"/>
      <c r="K308" s="108"/>
      <c r="L308" s="103"/>
      <c r="M308" s="108"/>
      <c r="N308" s="9"/>
    </row>
    <row r="309" spans="9:15" ht="13.95" customHeight="1">
      <c r="I309" s="103"/>
      <c r="J309" s="103"/>
      <c r="K309" s="134"/>
      <c r="L309" s="103"/>
      <c r="M309" s="134"/>
      <c r="N309" s="9"/>
    </row>
    <row r="310" spans="9:15" ht="13.95" customHeight="1">
      <c r="I310" s="103"/>
      <c r="J310" s="103"/>
      <c r="K310" s="134"/>
      <c r="L310" s="103"/>
      <c r="M310" s="134"/>
      <c r="N310" s="9"/>
    </row>
    <row r="311" spans="9:15">
      <c r="I311" s="103"/>
      <c r="J311" s="103"/>
      <c r="K311" s="134"/>
      <c r="L311" s="103"/>
      <c r="M311" s="134"/>
      <c r="N311" s="103"/>
      <c r="O311" s="41"/>
    </row>
    <row r="312" spans="9:15" ht="13.95" customHeight="1">
      <c r="I312" s="103"/>
      <c r="J312" s="103"/>
      <c r="K312" s="134"/>
      <c r="L312" s="103"/>
      <c r="M312" s="134"/>
      <c r="N312" s="103"/>
      <c r="O312" s="41"/>
    </row>
    <row r="313" spans="9:15">
      <c r="I313" s="103"/>
      <c r="J313" s="103"/>
      <c r="K313" s="134"/>
      <c r="L313" s="103"/>
      <c r="M313" s="134"/>
      <c r="N313" s="103"/>
      <c r="O313" s="41"/>
    </row>
    <row r="314" spans="9:15" ht="13.95" customHeight="1">
      <c r="I314" s="103"/>
      <c r="J314" s="103"/>
      <c r="K314" s="134"/>
      <c r="L314" s="103"/>
      <c r="M314" s="134"/>
      <c r="N314" s="103"/>
      <c r="O314" s="41"/>
    </row>
    <row r="315" spans="9:15" ht="13.95" customHeight="1">
      <c r="I315" s="103"/>
      <c r="J315" s="103"/>
      <c r="K315" s="134"/>
      <c r="L315" s="103"/>
      <c r="M315" s="134"/>
      <c r="N315" s="103"/>
      <c r="O315" s="41"/>
    </row>
    <row r="316" spans="9:15" ht="13.95" customHeight="1">
      <c r="I316" s="103"/>
      <c r="J316" s="103"/>
      <c r="K316" s="134"/>
      <c r="L316" s="103"/>
      <c r="M316" s="134"/>
      <c r="N316" s="103"/>
      <c r="O316" s="41"/>
    </row>
    <row r="317" spans="9:15" ht="13.95" customHeight="1">
      <c r="I317" s="103"/>
      <c r="J317" s="103"/>
      <c r="K317" s="134"/>
      <c r="L317" s="103"/>
      <c r="M317" s="134"/>
      <c r="N317" s="103"/>
      <c r="O317" s="41"/>
    </row>
    <row r="318" spans="9:15" ht="13.95" customHeight="1">
      <c r="I318" s="103"/>
      <c r="J318" s="103"/>
      <c r="K318" s="134"/>
      <c r="L318" s="103"/>
      <c r="M318" s="134"/>
      <c r="N318" s="103"/>
      <c r="O318" s="41"/>
    </row>
    <row r="319" spans="9:15" ht="13.95" customHeight="1">
      <c r="I319" s="103"/>
      <c r="J319" s="103"/>
      <c r="K319" s="134"/>
      <c r="L319" s="103"/>
      <c r="M319" s="134"/>
      <c r="N319" s="103"/>
      <c r="O319" s="41"/>
    </row>
    <row r="320" spans="9:15" ht="13.95" customHeight="1">
      <c r="I320" s="103"/>
      <c r="J320" s="103"/>
      <c r="K320" s="103"/>
      <c r="L320" s="103"/>
      <c r="M320" s="134"/>
      <c r="N320" s="103"/>
      <c r="O320" s="41"/>
    </row>
    <row r="321" spans="9:15" ht="13.95" customHeight="1">
      <c r="I321" s="103"/>
      <c r="J321" s="103"/>
      <c r="K321" s="103"/>
      <c r="L321" s="103"/>
      <c r="M321" s="134"/>
      <c r="N321" s="103"/>
      <c r="O321" s="41"/>
    </row>
    <row r="322" spans="9:15" ht="13.95" customHeight="1">
      <c r="I322" s="103"/>
      <c r="J322" s="103"/>
      <c r="K322" s="103"/>
      <c r="L322" s="103"/>
      <c r="M322" s="134"/>
      <c r="N322" s="103"/>
      <c r="O322" s="41"/>
    </row>
    <row r="323" spans="9:15" ht="13.95" customHeight="1">
      <c r="I323" s="103"/>
      <c r="J323" s="103"/>
      <c r="K323" s="103"/>
      <c r="L323" s="103"/>
      <c r="M323" s="134"/>
      <c r="N323" s="103"/>
      <c r="O323" s="41"/>
    </row>
    <row r="324" spans="9:15" ht="13.95" customHeight="1">
      <c r="I324" s="103"/>
      <c r="J324" s="103"/>
      <c r="K324" s="103"/>
      <c r="L324" s="103"/>
      <c r="M324" s="134"/>
      <c r="N324" s="103"/>
      <c r="O324" s="41"/>
    </row>
    <row r="325" spans="9:15" ht="13.95" customHeight="1">
      <c r="I325" s="103"/>
      <c r="J325" s="103"/>
      <c r="K325" s="103"/>
      <c r="L325" s="103"/>
      <c r="M325" s="134"/>
      <c r="N325" s="103"/>
      <c r="O325" s="41"/>
    </row>
    <row r="326" spans="9:15" ht="13.95" customHeight="1">
      <c r="I326" s="103"/>
      <c r="J326" s="103"/>
      <c r="K326" s="103"/>
      <c r="L326" s="103"/>
      <c r="M326" s="134"/>
      <c r="N326" s="103"/>
      <c r="O326" s="41"/>
    </row>
    <row r="327" spans="9:15" ht="13.95" customHeight="1">
      <c r="I327" s="103"/>
      <c r="J327" s="103"/>
      <c r="K327" s="103"/>
      <c r="L327" s="103"/>
      <c r="M327" s="134"/>
      <c r="N327" s="103"/>
      <c r="O327" s="41"/>
    </row>
    <row r="328" spans="9:15" ht="13.95" customHeight="1">
      <c r="I328" s="103"/>
      <c r="J328" s="103"/>
      <c r="K328" s="103"/>
      <c r="L328" s="103"/>
      <c r="M328" s="134"/>
      <c r="N328" s="103"/>
      <c r="O328" s="41"/>
    </row>
    <row r="329" spans="9:15" ht="13.95" customHeight="1">
      <c r="I329" s="103"/>
      <c r="J329" s="103"/>
      <c r="K329" s="103"/>
      <c r="L329" s="103"/>
      <c r="M329" s="134"/>
      <c r="N329" s="103"/>
      <c r="O329" s="41"/>
    </row>
    <row r="330" spans="9:15" ht="13.95" customHeight="1">
      <c r="I330" s="103"/>
      <c r="J330" s="103"/>
      <c r="K330" s="103"/>
      <c r="L330" s="103"/>
      <c r="M330" s="134"/>
      <c r="N330" s="103"/>
      <c r="O330" s="41"/>
    </row>
    <row r="331" spans="9:15" ht="13.95" customHeight="1">
      <c r="I331" s="105"/>
      <c r="J331" s="105"/>
      <c r="K331" s="105"/>
      <c r="L331" s="105"/>
      <c r="M331" s="135"/>
      <c r="N331" s="53"/>
      <c r="O331" s="41"/>
    </row>
    <row r="335" spans="9:15" ht="20.399999999999999" customHeight="1"/>
  </sheetData>
  <mergeCells count="1">
    <mergeCell ref="A50:F50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544E5-703D-4726-9F57-B15C7A294117}">
  <dimension ref="A1:O335"/>
  <sheetViews>
    <sheetView showGridLines="0" view="pageBreakPreview" topLeftCell="A2" zoomScaleNormal="100" zoomScaleSheetLayoutView="100" workbookViewId="0">
      <selection activeCell="I2" sqref="I1:O1048576"/>
    </sheetView>
  </sheetViews>
  <sheetFormatPr defaultColWidth="13.109375" defaultRowHeight="12"/>
  <cols>
    <col min="1" max="1" width="4.88671875" style="22" customWidth="1"/>
    <col min="2" max="2" width="8.33203125" style="20" customWidth="1"/>
    <col min="3" max="3" width="40.6640625" style="21" customWidth="1"/>
    <col min="4" max="4" width="5.109375" style="22" customWidth="1"/>
    <col min="5" max="5" width="7.6640625" style="22" customWidth="1"/>
    <col min="6" max="6" width="8.6640625" style="23" customWidth="1"/>
    <col min="7" max="7" width="11.6640625" style="24" customWidth="1"/>
    <col min="8" max="8" width="4.33203125" style="6" customWidth="1"/>
    <col min="9" max="9" width="11.33203125" style="22" hidden="1" customWidth="1"/>
    <col min="10" max="10" width="11.109375" style="22" hidden="1" customWidth="1"/>
    <col min="11" max="11" width="10.88671875" style="22" hidden="1" customWidth="1"/>
    <col min="12" max="12" width="11.6640625" style="22" hidden="1" customWidth="1"/>
    <col min="13" max="13" width="13.109375" style="106" hidden="1" customWidth="1"/>
    <col min="14" max="14" width="0" style="22" hidden="1" customWidth="1"/>
    <col min="15" max="15" width="0" style="6" hidden="1" customWidth="1"/>
    <col min="16" max="16384" width="13.109375" style="6"/>
  </cols>
  <sheetData>
    <row r="1" spans="1:14" ht="20.399999999999999" hidden="1" customHeight="1">
      <c r="A1" s="19" t="s">
        <v>80</v>
      </c>
    </row>
    <row r="2" spans="1:14" ht="15" customHeight="1">
      <c r="A2" s="142" t="str">
        <f>Summary!A2</f>
        <v>NAFASI WATER - ARNOT WASTE TREATMENT PLANT</v>
      </c>
      <c r="G2" s="25" t="str">
        <f>Summary!C2</f>
        <v>Revision T1</v>
      </c>
    </row>
    <row r="3" spans="1:14" ht="15" customHeight="1">
      <c r="A3" s="19" t="str">
        <f>Summary!A3</f>
        <v>PILING AND CIVIL WORK</v>
      </c>
      <c r="G3" s="26"/>
    </row>
    <row r="4" spans="1:14" ht="15" customHeight="1">
      <c r="A4" s="19" t="s">
        <v>313</v>
      </c>
      <c r="G4" s="143">
        <f>Summary!C4</f>
        <v>45183</v>
      </c>
    </row>
    <row r="5" spans="1:14" ht="15" customHeight="1">
      <c r="A5" s="27"/>
      <c r="B5" s="28"/>
      <c r="C5" s="28"/>
      <c r="E5" s="29"/>
      <c r="G5" s="30"/>
    </row>
    <row r="6" spans="1:14" s="42" customFormat="1" ht="37.200000000000003" customHeight="1">
      <c r="A6" s="44" t="s">
        <v>8</v>
      </c>
      <c r="B6" s="48" t="s">
        <v>9</v>
      </c>
      <c r="C6" s="44" t="s">
        <v>10</v>
      </c>
      <c r="D6" s="48" t="s">
        <v>11</v>
      </c>
      <c r="E6" s="48" t="s">
        <v>59</v>
      </c>
      <c r="F6" s="49" t="s">
        <v>12</v>
      </c>
      <c r="G6" s="49" t="s">
        <v>13</v>
      </c>
      <c r="I6" s="100"/>
      <c r="J6" s="100"/>
      <c r="K6" s="100"/>
      <c r="L6" s="100"/>
      <c r="M6" s="100"/>
      <c r="N6" s="48"/>
    </row>
    <row r="7" spans="1:14" s="42" customFormat="1" ht="4.95" customHeight="1">
      <c r="A7" s="2"/>
      <c r="B7" s="40"/>
      <c r="C7" s="50"/>
      <c r="D7" s="40"/>
      <c r="E7" s="40"/>
      <c r="F7" s="54"/>
      <c r="G7" s="54"/>
      <c r="I7" s="40"/>
      <c r="J7" s="40"/>
      <c r="K7" s="107"/>
      <c r="L7" s="40"/>
      <c r="M7" s="107"/>
      <c r="N7" s="109"/>
    </row>
    <row r="8" spans="1:14" ht="19.2" customHeight="1">
      <c r="A8" s="1"/>
      <c r="B8" s="2"/>
      <c r="C8" s="11" t="s">
        <v>316</v>
      </c>
      <c r="D8" s="1"/>
      <c r="E8" s="1"/>
      <c r="F8" s="4"/>
      <c r="G8" s="5"/>
      <c r="I8" s="9"/>
      <c r="J8" s="9"/>
      <c r="K8" s="108"/>
      <c r="L8" s="9"/>
      <c r="M8" s="108"/>
      <c r="N8" s="9"/>
    </row>
    <row r="9" spans="1:14" ht="10.95" customHeight="1">
      <c r="A9" s="1"/>
      <c r="B9" s="2"/>
      <c r="C9" s="11"/>
      <c r="D9" s="1"/>
      <c r="E9" s="1"/>
      <c r="F9" s="4"/>
      <c r="G9" s="5"/>
      <c r="I9" s="9"/>
      <c r="J9" s="9"/>
      <c r="K9" s="108"/>
      <c r="L9" s="9"/>
      <c r="M9" s="108"/>
      <c r="N9" s="9"/>
    </row>
    <row r="10" spans="1:14">
      <c r="A10" s="1">
        <v>1</v>
      </c>
      <c r="B10" s="1"/>
      <c r="C10" s="32" t="s">
        <v>310</v>
      </c>
      <c r="D10" s="9" t="s">
        <v>60</v>
      </c>
      <c r="E10" s="3">
        <v>176</v>
      </c>
      <c r="F10" s="4">
        <v>16000</v>
      </c>
      <c r="G10" s="5">
        <f t="shared" ref="G10" si="0">+E10*F10</f>
        <v>2816000</v>
      </c>
      <c r="I10" s="9"/>
      <c r="J10" s="9"/>
      <c r="K10" s="108"/>
      <c r="L10" s="9"/>
      <c r="M10" s="108"/>
      <c r="N10" s="9"/>
    </row>
    <row r="11" spans="1:14" ht="24">
      <c r="A11" s="1"/>
      <c r="B11" s="1"/>
      <c r="C11" s="33" t="s">
        <v>309</v>
      </c>
      <c r="D11" s="1"/>
      <c r="E11" s="3" t="str">
        <f>IF(SUM(H11:M11)&gt;0,SUM(H11:M11),"")</f>
        <v/>
      </c>
      <c r="F11" s="4"/>
      <c r="G11" s="5"/>
      <c r="I11" s="9"/>
      <c r="J11" s="9"/>
      <c r="K11" s="108"/>
      <c r="L11" s="9"/>
      <c r="M11" s="108"/>
      <c r="N11" s="9"/>
    </row>
    <row r="12" spans="1:14" ht="13.95" customHeight="1">
      <c r="A12" s="16"/>
      <c r="B12" s="76"/>
      <c r="C12" s="74"/>
      <c r="D12" s="93"/>
      <c r="E12" s="94"/>
      <c r="F12" s="14"/>
      <c r="G12" s="15"/>
      <c r="I12" s="9"/>
      <c r="J12" s="9"/>
      <c r="K12" s="108"/>
      <c r="L12" s="9"/>
      <c r="M12" s="108"/>
      <c r="N12" s="9"/>
    </row>
    <row r="13" spans="1:14" ht="13.95" customHeight="1">
      <c r="A13" s="16"/>
      <c r="B13" s="12"/>
      <c r="C13" s="75"/>
      <c r="D13" s="93"/>
      <c r="E13" s="94"/>
      <c r="F13" s="14"/>
      <c r="G13" s="15"/>
      <c r="I13" s="9"/>
      <c r="J13" s="9"/>
      <c r="K13" s="108"/>
      <c r="L13" s="9"/>
      <c r="M13" s="108"/>
      <c r="N13" s="9"/>
    </row>
    <row r="14" spans="1:14">
      <c r="A14" s="16"/>
      <c r="B14" s="12"/>
      <c r="C14" s="70"/>
      <c r="D14" s="12"/>
      <c r="E14" s="94"/>
      <c r="F14" s="14"/>
      <c r="G14" s="15"/>
      <c r="I14" s="137"/>
      <c r="J14" s="137"/>
      <c r="K14" s="137"/>
      <c r="L14" s="137"/>
      <c r="M14" s="137"/>
      <c r="N14" s="137"/>
    </row>
    <row r="15" spans="1:14" ht="13.95" customHeight="1">
      <c r="A15" s="16"/>
      <c r="B15" s="73"/>
      <c r="C15" s="62"/>
      <c r="D15" s="12"/>
      <c r="E15" s="94"/>
      <c r="F15" s="14"/>
      <c r="G15" s="15"/>
      <c r="I15" s="13"/>
      <c r="J15" s="13"/>
      <c r="K15" s="13"/>
      <c r="L15" s="13"/>
      <c r="M15" s="13"/>
      <c r="N15" s="13"/>
    </row>
    <row r="16" spans="1:14" ht="13.95" customHeight="1">
      <c r="A16" s="16"/>
      <c r="B16" s="73"/>
      <c r="C16" s="75"/>
      <c r="D16" s="12"/>
      <c r="E16" s="3"/>
      <c r="F16" s="13"/>
      <c r="G16" s="15"/>
      <c r="I16" s="13"/>
      <c r="J16" s="13"/>
      <c r="K16" s="13"/>
      <c r="L16" s="13"/>
      <c r="M16" s="13"/>
      <c r="N16" s="13"/>
    </row>
    <row r="17" spans="1:14">
      <c r="A17" s="16"/>
      <c r="B17" s="73"/>
      <c r="C17" s="62"/>
      <c r="D17" s="12"/>
      <c r="E17" s="94"/>
      <c r="F17" s="14"/>
      <c r="G17" s="15"/>
      <c r="I17" s="13"/>
      <c r="J17" s="13"/>
      <c r="K17" s="13"/>
      <c r="L17" s="13"/>
      <c r="M17" s="13"/>
      <c r="N17" s="13"/>
    </row>
    <row r="18" spans="1:14" ht="10.95" customHeight="1">
      <c r="A18" s="16"/>
      <c r="B18" s="12"/>
      <c r="C18" s="70"/>
      <c r="D18" s="12"/>
      <c r="E18" s="94"/>
      <c r="F18" s="14"/>
      <c r="G18" s="15"/>
      <c r="I18" s="13"/>
      <c r="J18" s="13"/>
      <c r="K18" s="13"/>
      <c r="L18" s="13"/>
      <c r="M18" s="13"/>
      <c r="N18" s="13"/>
    </row>
    <row r="19" spans="1:14" ht="13.2" customHeight="1">
      <c r="A19" s="16"/>
      <c r="B19" s="73"/>
      <c r="C19" s="62"/>
      <c r="D19" s="12"/>
      <c r="E19" s="94"/>
      <c r="F19" s="14"/>
      <c r="G19" s="15"/>
      <c r="I19" s="138"/>
      <c r="J19" s="138"/>
      <c r="K19" s="138"/>
      <c r="L19" s="138"/>
      <c r="M19" s="138"/>
      <c r="N19" s="138"/>
    </row>
    <row r="20" spans="1:14" ht="13.2" customHeight="1">
      <c r="A20" s="16"/>
      <c r="B20" s="73"/>
      <c r="C20" s="75"/>
      <c r="D20" s="12"/>
      <c r="E20" s="3"/>
      <c r="F20" s="14"/>
      <c r="G20" s="15"/>
      <c r="I20" s="138"/>
      <c r="J20" s="138"/>
      <c r="K20" s="138"/>
      <c r="L20" s="138"/>
      <c r="M20" s="138"/>
      <c r="N20" s="138"/>
    </row>
    <row r="21" spans="1:14" ht="13.2" customHeight="1">
      <c r="A21" s="16"/>
      <c r="B21" s="12"/>
      <c r="C21" s="75"/>
      <c r="D21" s="93"/>
      <c r="E21" s="94"/>
      <c r="F21" s="14"/>
      <c r="G21" s="15"/>
      <c r="I21" s="138"/>
      <c r="J21" s="138"/>
      <c r="K21" s="138"/>
      <c r="L21" s="138"/>
      <c r="M21" s="138"/>
      <c r="N21" s="138"/>
    </row>
    <row r="22" spans="1:14" ht="13.2" customHeight="1">
      <c r="A22" s="16"/>
      <c r="B22" s="76"/>
      <c r="C22" s="46"/>
      <c r="D22" s="12"/>
      <c r="E22" s="12"/>
      <c r="F22" s="145"/>
      <c r="G22" s="15"/>
      <c r="I22" s="138"/>
      <c r="J22" s="138"/>
      <c r="K22" s="138"/>
      <c r="L22" s="138"/>
      <c r="M22" s="138"/>
      <c r="N22" s="138"/>
    </row>
    <row r="23" spans="1:14" ht="13.2" customHeight="1">
      <c r="A23" s="16"/>
      <c r="B23" s="76"/>
      <c r="C23" s="75"/>
      <c r="D23" s="12"/>
      <c r="E23" s="12"/>
      <c r="F23" s="145"/>
      <c r="G23" s="15"/>
      <c r="I23" s="138"/>
      <c r="J23" s="138"/>
      <c r="K23" s="138"/>
      <c r="L23" s="138"/>
      <c r="M23" s="138"/>
      <c r="N23" s="138"/>
    </row>
    <row r="24" spans="1:14" ht="13.2" customHeight="1">
      <c r="A24" s="16"/>
      <c r="B24" s="76"/>
      <c r="C24" s="75"/>
      <c r="D24" s="12"/>
      <c r="E24" s="12"/>
      <c r="F24" s="145"/>
      <c r="G24" s="15"/>
      <c r="I24" s="138"/>
      <c r="J24" s="138"/>
      <c r="K24" s="138"/>
      <c r="L24" s="138"/>
      <c r="M24" s="138"/>
      <c r="N24" s="138"/>
    </row>
    <row r="25" spans="1:14" ht="13.2" customHeight="1">
      <c r="A25" s="16"/>
      <c r="B25" s="76"/>
      <c r="C25" s="75"/>
      <c r="D25" s="12"/>
      <c r="E25" s="12"/>
      <c r="F25" s="145"/>
      <c r="G25" s="15"/>
      <c r="I25" s="138"/>
      <c r="J25" s="138"/>
      <c r="K25" s="138"/>
      <c r="L25" s="138"/>
      <c r="M25" s="138"/>
      <c r="N25" s="138"/>
    </row>
    <row r="26" spans="1:14" ht="13.2" customHeight="1">
      <c r="A26" s="16"/>
      <c r="B26" s="76"/>
      <c r="C26" s="75"/>
      <c r="D26" s="12"/>
      <c r="E26" s="3"/>
      <c r="F26" s="94"/>
      <c r="G26" s="15"/>
      <c r="I26" s="138"/>
      <c r="J26" s="138"/>
      <c r="K26" s="138"/>
      <c r="L26" s="138"/>
      <c r="M26" s="138"/>
      <c r="N26" s="138"/>
    </row>
    <row r="27" spans="1:14" ht="12.6" customHeight="1">
      <c r="A27" s="16"/>
      <c r="B27" s="12"/>
      <c r="C27" s="75"/>
      <c r="D27" s="93"/>
      <c r="E27" s="94"/>
      <c r="F27" s="14"/>
      <c r="G27" s="15"/>
      <c r="I27" s="138"/>
      <c r="J27" s="138"/>
      <c r="K27" s="138"/>
      <c r="L27" s="138"/>
      <c r="M27" s="138"/>
      <c r="N27" s="138"/>
    </row>
    <row r="28" spans="1:14" ht="12.6" customHeight="1">
      <c r="A28" s="16"/>
      <c r="B28" s="12"/>
      <c r="C28" s="74"/>
      <c r="D28" s="12"/>
      <c r="E28" s="94"/>
      <c r="F28" s="14"/>
      <c r="G28" s="15"/>
      <c r="I28" s="138"/>
      <c r="J28" s="138"/>
      <c r="K28" s="138"/>
      <c r="L28" s="138"/>
      <c r="M28" s="138"/>
      <c r="N28" s="138"/>
    </row>
    <row r="29" spans="1:14" ht="12.6" customHeight="1">
      <c r="A29" s="16"/>
      <c r="B29" s="12"/>
      <c r="C29" s="75"/>
      <c r="D29" s="93"/>
      <c r="E29" s="3"/>
      <c r="F29" s="13"/>
      <c r="G29" s="15"/>
      <c r="I29" s="139"/>
      <c r="J29" s="139"/>
      <c r="K29" s="139"/>
      <c r="L29" s="139"/>
      <c r="M29" s="139"/>
      <c r="N29" s="139"/>
    </row>
    <row r="30" spans="1:14" ht="12.6" customHeight="1">
      <c r="A30" s="16"/>
      <c r="B30" s="12"/>
      <c r="C30" s="75"/>
      <c r="D30" s="93"/>
      <c r="E30" s="3"/>
      <c r="F30" s="13"/>
      <c r="G30" s="15"/>
      <c r="I30" s="138"/>
      <c r="J30" s="138"/>
      <c r="K30" s="138"/>
      <c r="L30" s="138"/>
      <c r="M30" s="138"/>
      <c r="N30" s="138"/>
    </row>
    <row r="31" spans="1:14" ht="12.6" customHeight="1">
      <c r="A31" s="16"/>
      <c r="B31" s="12"/>
      <c r="C31" s="75"/>
      <c r="D31" s="93"/>
      <c r="E31" s="3"/>
      <c r="F31" s="13"/>
      <c r="G31" s="15"/>
      <c r="I31" s="139"/>
      <c r="J31" s="139"/>
      <c r="K31" s="139"/>
      <c r="L31" s="139"/>
      <c r="M31" s="139"/>
      <c r="N31" s="139"/>
    </row>
    <row r="32" spans="1:14" ht="12.6" customHeight="1">
      <c r="A32" s="16"/>
      <c r="B32" s="12"/>
      <c r="C32" s="75"/>
      <c r="D32" s="93"/>
      <c r="E32" s="3"/>
      <c r="F32" s="13"/>
      <c r="G32" s="15"/>
      <c r="I32" s="138"/>
      <c r="J32" s="138"/>
      <c r="K32" s="138"/>
      <c r="L32" s="138"/>
      <c r="M32" s="138"/>
      <c r="N32" s="138"/>
    </row>
    <row r="33" spans="1:14" ht="12.6" customHeight="1">
      <c r="A33" s="16"/>
      <c r="B33" s="12"/>
      <c r="C33" s="75"/>
      <c r="D33" s="93"/>
      <c r="E33" s="3"/>
      <c r="F33" s="13"/>
      <c r="G33" s="15"/>
      <c r="I33" s="138"/>
      <c r="J33" s="138"/>
      <c r="K33" s="138"/>
      <c r="L33" s="138"/>
      <c r="M33" s="138"/>
      <c r="N33" s="138"/>
    </row>
    <row r="34" spans="1:14" ht="13.2" customHeight="1">
      <c r="A34" s="16"/>
      <c r="B34" s="12"/>
      <c r="C34" s="75"/>
      <c r="D34" s="93"/>
      <c r="E34" s="3"/>
      <c r="F34" s="13"/>
      <c r="G34" s="15"/>
      <c r="I34" s="138"/>
      <c r="J34" s="138"/>
      <c r="K34" s="138"/>
      <c r="L34" s="138"/>
      <c r="M34" s="138"/>
      <c r="N34" s="138"/>
    </row>
    <row r="35" spans="1:14" ht="13.2" customHeight="1">
      <c r="A35" s="16"/>
      <c r="B35" s="12"/>
      <c r="C35" s="75"/>
      <c r="D35" s="93"/>
      <c r="E35" s="3"/>
      <c r="F35" s="13"/>
      <c r="G35" s="15"/>
      <c r="I35" s="138"/>
      <c r="J35" s="138"/>
      <c r="K35" s="138"/>
      <c r="L35" s="138"/>
      <c r="M35" s="138"/>
      <c r="N35" s="138"/>
    </row>
    <row r="36" spans="1:14" ht="13.2" customHeight="1">
      <c r="A36" s="16"/>
      <c r="B36" s="12"/>
      <c r="C36" s="75"/>
      <c r="D36" s="93"/>
      <c r="E36" s="3"/>
      <c r="F36" s="13"/>
      <c r="G36" s="15"/>
      <c r="I36" s="138"/>
      <c r="J36" s="138"/>
      <c r="K36" s="138"/>
      <c r="L36" s="138"/>
      <c r="M36" s="138"/>
      <c r="N36" s="138"/>
    </row>
    <row r="37" spans="1:14" ht="13.2" customHeight="1">
      <c r="A37" s="16"/>
      <c r="B37" s="12"/>
      <c r="C37" s="75"/>
      <c r="D37" s="93"/>
      <c r="E37" s="3"/>
      <c r="F37" s="13"/>
      <c r="G37" s="15"/>
      <c r="I37" s="139"/>
      <c r="J37" s="139"/>
      <c r="K37" s="139"/>
      <c r="L37" s="139"/>
      <c r="M37" s="139"/>
      <c r="N37" s="139"/>
    </row>
    <row r="38" spans="1:14" ht="13.2" customHeight="1">
      <c r="A38" s="16"/>
      <c r="B38" s="12"/>
      <c r="C38" s="75"/>
      <c r="D38" s="93"/>
      <c r="E38" s="3"/>
      <c r="F38" s="13"/>
      <c r="G38" s="15"/>
      <c r="I38" s="138"/>
      <c r="J38" s="138"/>
      <c r="K38" s="138"/>
      <c r="L38" s="138"/>
      <c r="M38" s="138"/>
      <c r="N38" s="138"/>
    </row>
    <row r="39" spans="1:14" ht="13.2" customHeight="1">
      <c r="A39" s="16"/>
      <c r="B39" s="12"/>
      <c r="C39" s="75"/>
      <c r="D39" s="93"/>
      <c r="E39" s="3"/>
      <c r="F39" s="13"/>
      <c r="G39" s="15"/>
      <c r="I39" s="138"/>
      <c r="J39" s="138"/>
      <c r="K39" s="138"/>
      <c r="L39" s="138"/>
      <c r="M39" s="138"/>
      <c r="N39" s="138"/>
    </row>
    <row r="40" spans="1:14" ht="13.2" customHeight="1">
      <c r="A40" s="16"/>
      <c r="B40" s="12"/>
      <c r="C40" s="75"/>
      <c r="D40" s="93"/>
      <c r="E40" s="3"/>
      <c r="F40" s="13"/>
      <c r="G40" s="15"/>
      <c r="I40" s="138"/>
      <c r="J40" s="138"/>
      <c r="K40" s="138"/>
      <c r="L40" s="138"/>
      <c r="M40" s="138"/>
      <c r="N40" s="138"/>
    </row>
    <row r="41" spans="1:14" ht="13.2" customHeight="1">
      <c r="A41" s="16"/>
      <c r="B41" s="12"/>
      <c r="C41" s="75"/>
      <c r="D41" s="93"/>
      <c r="E41" s="3"/>
      <c r="F41" s="13"/>
      <c r="G41" s="15"/>
      <c r="I41" s="138"/>
      <c r="J41" s="138"/>
      <c r="K41" s="138"/>
      <c r="L41" s="138"/>
      <c r="M41" s="138"/>
      <c r="N41" s="138"/>
    </row>
    <row r="42" spans="1:14" ht="13.2" customHeight="1">
      <c r="A42" s="16"/>
      <c r="B42" s="12"/>
      <c r="C42" s="75"/>
      <c r="D42" s="93"/>
      <c r="E42" s="3"/>
      <c r="F42" s="13"/>
      <c r="G42" s="15"/>
      <c r="I42" s="1"/>
      <c r="J42" s="1"/>
      <c r="K42" s="108"/>
      <c r="L42" s="1"/>
      <c r="M42" s="108"/>
      <c r="N42" s="9"/>
    </row>
    <row r="43" spans="1:14">
      <c r="A43" s="16"/>
      <c r="B43" s="12"/>
      <c r="C43" s="75"/>
      <c r="D43" s="93"/>
      <c r="E43" s="3"/>
      <c r="F43" s="13"/>
      <c r="G43" s="15"/>
      <c r="I43" s="3"/>
      <c r="J43" s="3"/>
      <c r="K43" s="108"/>
      <c r="L43" s="3"/>
      <c r="M43" s="108"/>
      <c r="N43" s="9"/>
    </row>
    <row r="44" spans="1:14" ht="13.95" customHeight="1">
      <c r="A44" s="16"/>
      <c r="B44" s="12"/>
      <c r="C44" s="75"/>
      <c r="D44" s="93"/>
      <c r="E44" s="3"/>
      <c r="F44" s="13"/>
      <c r="G44" s="15"/>
      <c r="I44" s="3"/>
      <c r="J44" s="3"/>
      <c r="K44" s="108"/>
      <c r="L44" s="3"/>
      <c r="M44" s="108"/>
      <c r="N44" s="9"/>
    </row>
    <row r="45" spans="1:14" ht="50.4" customHeight="1">
      <c r="A45" s="16"/>
      <c r="B45" s="12"/>
      <c r="C45" s="75"/>
      <c r="D45" s="93"/>
      <c r="E45" s="3"/>
      <c r="F45" s="13"/>
      <c r="G45" s="15"/>
      <c r="I45" s="9"/>
      <c r="J45" s="9"/>
      <c r="K45" s="108"/>
      <c r="L45" s="9"/>
      <c r="M45" s="108"/>
      <c r="N45" s="9"/>
    </row>
    <row r="46" spans="1:14">
      <c r="A46" s="16"/>
      <c r="B46" s="16"/>
      <c r="C46" s="47"/>
      <c r="D46" s="58"/>
      <c r="E46" s="13"/>
      <c r="F46" s="14"/>
      <c r="G46" s="15"/>
      <c r="I46" s="9"/>
      <c r="J46" s="9"/>
      <c r="K46" s="108"/>
      <c r="L46" s="9"/>
      <c r="M46" s="108"/>
      <c r="N46" s="9"/>
    </row>
    <row r="47" spans="1:14" ht="13.95" customHeight="1">
      <c r="A47" s="16"/>
      <c r="B47" s="16"/>
      <c r="C47" s="47"/>
      <c r="D47" s="58"/>
      <c r="E47" s="13"/>
      <c r="F47" s="14"/>
      <c r="G47" s="15"/>
      <c r="I47" s="9"/>
      <c r="J47" s="9"/>
      <c r="K47" s="108"/>
      <c r="L47" s="9"/>
      <c r="M47" s="108"/>
      <c r="N47" s="9"/>
    </row>
    <row r="48" spans="1:14" ht="20.100000000000001" customHeight="1">
      <c r="A48" s="16"/>
      <c r="B48" s="16"/>
      <c r="C48" s="47"/>
      <c r="D48" s="58"/>
      <c r="E48" s="13"/>
      <c r="F48" s="14"/>
      <c r="G48" s="15"/>
      <c r="I48" s="9"/>
      <c r="J48" s="9"/>
      <c r="K48" s="108"/>
      <c r="L48" s="9"/>
      <c r="M48" s="108"/>
      <c r="N48" s="9"/>
    </row>
    <row r="49" spans="1:14">
      <c r="A49" s="16"/>
      <c r="B49" s="16"/>
      <c r="C49" s="47"/>
      <c r="D49" s="58"/>
      <c r="E49" s="13"/>
      <c r="F49" s="14"/>
      <c r="G49" s="15"/>
      <c r="I49" s="9"/>
      <c r="J49" s="9"/>
      <c r="K49" s="108"/>
      <c r="L49" s="9"/>
      <c r="M49" s="108"/>
      <c r="N49" s="9"/>
    </row>
    <row r="50" spans="1:14" ht="13.95" customHeight="1">
      <c r="A50" s="156" t="s">
        <v>161</v>
      </c>
      <c r="B50" s="157"/>
      <c r="C50" s="157"/>
      <c r="D50" s="157"/>
      <c r="E50" s="157"/>
      <c r="F50" s="158"/>
      <c r="G50" s="78">
        <f>G10</f>
        <v>2816000</v>
      </c>
      <c r="I50" s="9"/>
      <c r="J50" s="9"/>
      <c r="K50" s="108"/>
      <c r="L50" s="9"/>
      <c r="M50" s="108"/>
      <c r="N50" s="9"/>
    </row>
    <row r="51" spans="1:14" ht="24" customHeight="1">
      <c r="I51" s="9"/>
      <c r="J51" s="9"/>
      <c r="K51" s="108"/>
      <c r="L51" s="9"/>
      <c r="M51" s="108"/>
      <c r="N51" s="9"/>
    </row>
    <row r="52" spans="1:14" ht="20.100000000000001" customHeight="1">
      <c r="I52" s="9"/>
      <c r="J52" s="9"/>
      <c r="K52" s="108"/>
      <c r="L52" s="9"/>
      <c r="M52" s="108"/>
      <c r="N52" s="9"/>
    </row>
    <row r="53" spans="1:14" ht="9" customHeight="1">
      <c r="I53" s="3"/>
      <c r="J53" s="3"/>
      <c r="K53" s="108"/>
      <c r="L53" s="3"/>
      <c r="M53" s="108"/>
      <c r="N53" s="9"/>
    </row>
    <row r="54" spans="1:14" ht="13.95" customHeight="1">
      <c r="I54" s="3"/>
      <c r="J54" s="3"/>
      <c r="K54" s="108"/>
      <c r="L54" s="3"/>
      <c r="M54" s="108"/>
      <c r="N54" s="9"/>
    </row>
    <row r="55" spans="1:14" ht="13.95" customHeight="1">
      <c r="I55" s="3"/>
      <c r="J55" s="3"/>
      <c r="K55" s="108"/>
      <c r="L55" s="3"/>
      <c r="M55" s="108"/>
      <c r="N55" s="9"/>
    </row>
    <row r="56" spans="1:14" ht="13.95" customHeight="1">
      <c r="I56" s="3"/>
      <c r="J56" s="3"/>
      <c r="K56" s="108"/>
      <c r="L56" s="3"/>
      <c r="M56" s="108"/>
      <c r="N56" s="9"/>
    </row>
    <row r="57" spans="1:14" ht="13.95" customHeight="1">
      <c r="I57" s="3"/>
      <c r="J57" s="3"/>
      <c r="K57" s="108"/>
      <c r="L57" s="3"/>
      <c r="M57" s="108"/>
      <c r="N57" s="9"/>
    </row>
    <row r="58" spans="1:14" ht="22.95" customHeight="1">
      <c r="I58" s="3"/>
      <c r="J58" s="3"/>
      <c r="K58" s="108"/>
      <c r="L58" s="3"/>
      <c r="M58" s="108"/>
      <c r="N58" s="9"/>
    </row>
    <row r="59" spans="1:14" ht="13.95" customHeight="1">
      <c r="I59" s="3"/>
      <c r="J59" s="3"/>
      <c r="K59" s="108"/>
      <c r="L59" s="3"/>
      <c r="M59" s="108"/>
      <c r="N59" s="9"/>
    </row>
    <row r="60" spans="1:14" ht="13.95" customHeight="1">
      <c r="I60" s="3"/>
      <c r="J60" s="3"/>
      <c r="K60" s="108"/>
      <c r="L60" s="3"/>
      <c r="M60" s="108"/>
      <c r="N60" s="9"/>
    </row>
    <row r="61" spans="1:14" ht="9.75" customHeight="1">
      <c r="I61" s="3"/>
      <c r="J61" s="3"/>
      <c r="K61" s="108"/>
      <c r="L61" s="3"/>
      <c r="M61" s="108"/>
      <c r="N61" s="9"/>
    </row>
    <row r="62" spans="1:14" ht="13.95" customHeight="1">
      <c r="I62" s="3"/>
      <c r="J62" s="3"/>
      <c r="K62" s="108"/>
      <c r="L62" s="3"/>
      <c r="M62" s="108"/>
      <c r="N62" s="9"/>
    </row>
    <row r="63" spans="1:14" ht="9" customHeight="1">
      <c r="I63" s="3"/>
      <c r="J63" s="3"/>
      <c r="K63" s="108"/>
      <c r="L63" s="3"/>
      <c r="M63" s="108"/>
      <c r="N63" s="9"/>
    </row>
    <row r="64" spans="1:14" ht="28.95" customHeight="1">
      <c r="I64" s="3"/>
      <c r="J64" s="3"/>
      <c r="K64" s="108"/>
      <c r="L64" s="3"/>
      <c r="M64" s="108"/>
      <c r="N64" s="9"/>
    </row>
    <row r="65" spans="9:14" ht="13.95" customHeight="1">
      <c r="I65" s="3"/>
      <c r="J65" s="3"/>
      <c r="K65" s="108"/>
      <c r="L65" s="3"/>
      <c r="M65" s="108"/>
      <c r="N65" s="9"/>
    </row>
    <row r="66" spans="9:14" ht="22.2" customHeight="1">
      <c r="I66" s="3"/>
      <c r="J66" s="3"/>
      <c r="K66" s="108"/>
      <c r="L66" s="3"/>
      <c r="M66" s="108"/>
      <c r="N66" s="9"/>
    </row>
    <row r="67" spans="9:14" ht="13.95" customHeight="1">
      <c r="I67" s="3"/>
      <c r="J67" s="3"/>
      <c r="K67" s="108"/>
      <c r="L67" s="3"/>
      <c r="M67" s="108"/>
      <c r="N67" s="9"/>
    </row>
    <row r="68" spans="9:14" ht="13.95" customHeight="1">
      <c r="I68" s="3"/>
      <c r="J68" s="3"/>
      <c r="K68" s="108"/>
      <c r="L68" s="3"/>
      <c r="M68" s="108"/>
      <c r="N68" s="9"/>
    </row>
    <row r="69" spans="9:14" ht="13.95" customHeight="1">
      <c r="I69" s="3"/>
      <c r="J69" s="3"/>
      <c r="K69" s="108"/>
      <c r="L69" s="3"/>
      <c r="M69" s="108"/>
      <c r="N69" s="9"/>
    </row>
    <row r="70" spans="9:14" ht="23.4" customHeight="1">
      <c r="I70" s="3"/>
      <c r="J70" s="3"/>
      <c r="K70" s="108"/>
      <c r="L70" s="3"/>
      <c r="M70" s="108"/>
      <c r="N70" s="9"/>
    </row>
    <row r="71" spans="9:14" ht="13.95" customHeight="1">
      <c r="I71" s="3"/>
      <c r="J71" s="3"/>
      <c r="K71" s="108"/>
      <c r="L71" s="3"/>
      <c r="M71" s="108"/>
      <c r="N71" s="9"/>
    </row>
    <row r="72" spans="9:14" ht="33.6" customHeight="1">
      <c r="I72" s="3"/>
      <c r="J72" s="3"/>
      <c r="K72" s="108"/>
      <c r="L72" s="3"/>
      <c r="M72" s="108"/>
      <c r="N72" s="9"/>
    </row>
    <row r="73" spans="9:14" ht="13.95" customHeight="1">
      <c r="I73" s="3"/>
      <c r="J73" s="3"/>
      <c r="K73" s="108"/>
      <c r="L73" s="3"/>
      <c r="M73" s="108"/>
      <c r="N73" s="9"/>
    </row>
    <row r="74" spans="9:14" ht="21.6" customHeight="1">
      <c r="I74" s="3"/>
      <c r="J74" s="3"/>
      <c r="K74" s="108"/>
      <c r="L74" s="3"/>
      <c r="M74" s="108"/>
      <c r="N74" s="9"/>
    </row>
    <row r="75" spans="9:14" ht="13.95" customHeight="1">
      <c r="I75" s="3"/>
      <c r="J75" s="3"/>
      <c r="K75" s="108"/>
      <c r="L75" s="3"/>
      <c r="M75" s="108"/>
      <c r="N75" s="9"/>
    </row>
    <row r="76" spans="9:14" ht="13.95" customHeight="1">
      <c r="I76" s="3"/>
      <c r="J76" s="3"/>
      <c r="K76" s="108"/>
      <c r="L76" s="3"/>
      <c r="M76" s="108"/>
      <c r="N76" s="9"/>
    </row>
    <row r="77" spans="9:14" ht="13.95" customHeight="1">
      <c r="I77" s="3"/>
      <c r="J77" s="3"/>
      <c r="K77" s="108"/>
      <c r="L77" s="3"/>
      <c r="M77" s="108"/>
      <c r="N77" s="9"/>
    </row>
    <row r="78" spans="9:14" ht="13.95" customHeight="1">
      <c r="I78" s="3"/>
      <c r="J78" s="3"/>
      <c r="K78" s="108"/>
      <c r="L78" s="3"/>
      <c r="M78" s="108"/>
      <c r="N78" s="9"/>
    </row>
    <row r="79" spans="9:14" ht="13.95" customHeight="1">
      <c r="I79" s="3"/>
      <c r="J79" s="3"/>
      <c r="K79" s="108"/>
      <c r="L79" s="3"/>
      <c r="M79" s="108"/>
      <c r="N79" s="9"/>
    </row>
    <row r="80" spans="9:14" ht="13.95" customHeight="1">
      <c r="I80" s="3"/>
      <c r="J80" s="3"/>
      <c r="K80" s="108"/>
      <c r="L80" s="3"/>
      <c r="M80" s="108"/>
      <c r="N80" s="9"/>
    </row>
    <row r="81" spans="9:14" ht="13.95" customHeight="1">
      <c r="I81" s="3"/>
      <c r="J81" s="3"/>
      <c r="K81" s="108"/>
      <c r="L81" s="3"/>
      <c r="M81" s="108"/>
      <c r="N81" s="9"/>
    </row>
    <row r="82" spans="9:14" ht="13.95" customHeight="1">
      <c r="I82" s="3"/>
      <c r="J82" s="3"/>
      <c r="K82" s="108"/>
      <c r="L82" s="3"/>
      <c r="M82" s="108"/>
      <c r="N82" s="9"/>
    </row>
    <row r="83" spans="9:14" ht="13.95" customHeight="1">
      <c r="I83" s="3"/>
      <c r="J83" s="3"/>
      <c r="K83" s="108"/>
      <c r="L83" s="3"/>
      <c r="M83" s="108"/>
      <c r="N83" s="9"/>
    </row>
    <row r="84" spans="9:14" ht="19.95" customHeight="1">
      <c r="I84" s="3"/>
      <c r="J84" s="3"/>
      <c r="K84" s="108"/>
      <c r="L84" s="3"/>
      <c r="M84" s="108"/>
      <c r="N84" s="9"/>
    </row>
    <row r="85" spans="9:14" ht="13.95" customHeight="1">
      <c r="I85" s="3"/>
      <c r="J85" s="3"/>
      <c r="K85" s="108"/>
      <c r="L85" s="3"/>
      <c r="M85" s="108"/>
      <c r="N85" s="9"/>
    </row>
    <row r="86" spans="9:14" ht="13.95" customHeight="1">
      <c r="I86" s="3"/>
      <c r="J86" s="3"/>
      <c r="K86" s="108"/>
      <c r="L86" s="3"/>
      <c r="M86" s="108"/>
      <c r="N86" s="9"/>
    </row>
    <row r="87" spans="9:14" ht="13.95" customHeight="1">
      <c r="I87" s="3"/>
      <c r="J87" s="3"/>
      <c r="K87" s="108"/>
      <c r="L87" s="3"/>
      <c r="M87" s="108"/>
      <c r="N87" s="9"/>
    </row>
    <row r="88" spans="9:14" ht="13.95" customHeight="1">
      <c r="I88" s="3"/>
      <c r="J88" s="3"/>
      <c r="K88" s="108"/>
      <c r="L88" s="3"/>
      <c r="M88" s="108"/>
      <c r="N88" s="9"/>
    </row>
    <row r="89" spans="9:14" ht="13.95" customHeight="1">
      <c r="I89" s="3"/>
      <c r="J89" s="3"/>
      <c r="K89" s="108"/>
      <c r="L89" s="3"/>
      <c r="M89" s="108"/>
      <c r="N89" s="9"/>
    </row>
    <row r="90" spans="9:14" ht="13.95" customHeight="1">
      <c r="I90" s="3"/>
      <c r="J90" s="3"/>
      <c r="K90" s="108"/>
      <c r="L90" s="3"/>
      <c r="M90" s="108"/>
      <c r="N90" s="9"/>
    </row>
    <row r="91" spans="9:14" ht="13.95" customHeight="1">
      <c r="I91" s="3"/>
      <c r="J91" s="3"/>
      <c r="K91" s="108"/>
      <c r="L91" s="3"/>
      <c r="M91" s="108"/>
      <c r="N91" s="9"/>
    </row>
    <row r="92" spans="9:14" ht="13.95" customHeight="1">
      <c r="I92" s="3"/>
      <c r="J92" s="3"/>
      <c r="K92" s="108"/>
      <c r="L92" s="3"/>
      <c r="M92" s="108"/>
      <c r="N92" s="9"/>
    </row>
    <row r="93" spans="9:14" ht="13.95" customHeight="1">
      <c r="I93" s="3"/>
      <c r="J93" s="3"/>
      <c r="K93" s="108"/>
      <c r="L93" s="3"/>
      <c r="M93" s="108"/>
      <c r="N93" s="9"/>
    </row>
    <row r="94" spans="9:14" ht="13.95" customHeight="1">
      <c r="I94" s="3"/>
      <c r="J94" s="3"/>
      <c r="K94" s="108"/>
      <c r="L94" s="3"/>
      <c r="M94" s="108"/>
      <c r="N94" s="9"/>
    </row>
    <row r="95" spans="9:14" ht="13.95" customHeight="1">
      <c r="I95" s="3"/>
      <c r="J95" s="3"/>
      <c r="K95" s="108"/>
      <c r="L95" s="3"/>
      <c r="M95" s="108"/>
      <c r="N95" s="9"/>
    </row>
    <row r="96" spans="9:14" ht="20.100000000000001" customHeight="1">
      <c r="I96" s="9"/>
      <c r="J96" s="9"/>
      <c r="K96" s="108"/>
      <c r="L96" s="9"/>
      <c r="M96" s="108"/>
      <c r="N96" s="9"/>
    </row>
    <row r="97" spans="9:14" ht="13.95" customHeight="1">
      <c r="I97" s="9"/>
      <c r="J97" s="9"/>
      <c r="K97" s="108"/>
      <c r="L97" s="9"/>
      <c r="M97" s="108"/>
      <c r="N97" s="9"/>
    </row>
    <row r="98" spans="9:14" ht="13.95" customHeight="1">
      <c r="I98" s="9"/>
      <c r="J98" s="9"/>
      <c r="K98" s="108"/>
      <c r="L98" s="9"/>
      <c r="M98" s="108"/>
      <c r="N98" s="9"/>
    </row>
    <row r="99" spans="9:14" ht="22.2" customHeight="1">
      <c r="I99" s="9"/>
      <c r="J99" s="9"/>
      <c r="K99" s="108"/>
      <c r="L99" s="9"/>
      <c r="M99" s="108"/>
      <c r="N99" s="9"/>
    </row>
    <row r="100" spans="9:14" ht="20.100000000000001" customHeight="1">
      <c r="I100" s="9"/>
      <c r="J100" s="9"/>
      <c r="K100" s="108"/>
      <c r="L100" s="9"/>
      <c r="M100" s="108"/>
      <c r="N100" s="9"/>
    </row>
    <row r="101" spans="9:14" ht="13.95" customHeight="1">
      <c r="I101" s="9"/>
      <c r="J101" s="9"/>
      <c r="K101" s="108"/>
      <c r="L101" s="9"/>
      <c r="M101" s="108"/>
      <c r="N101" s="9"/>
    </row>
    <row r="102" spans="9:14" ht="13.95" customHeight="1">
      <c r="I102" s="3"/>
      <c r="J102" s="3"/>
      <c r="K102" s="108"/>
      <c r="L102" s="3"/>
      <c r="M102" s="108"/>
      <c r="N102" s="9"/>
    </row>
    <row r="103" spans="9:14" ht="13.95" customHeight="1">
      <c r="I103" s="3"/>
      <c r="J103" s="3"/>
      <c r="K103" s="108"/>
      <c r="L103" s="3"/>
      <c r="M103" s="108"/>
      <c r="N103" s="9"/>
    </row>
    <row r="104" spans="9:14" ht="13.95" customHeight="1">
      <c r="I104" s="3"/>
      <c r="J104" s="3"/>
      <c r="K104" s="108"/>
      <c r="L104" s="3"/>
      <c r="M104" s="108"/>
      <c r="N104" s="9"/>
    </row>
    <row r="105" spans="9:14" ht="13.95" customHeight="1">
      <c r="I105" s="9"/>
      <c r="J105" s="9"/>
      <c r="K105" s="108"/>
      <c r="L105" s="9"/>
      <c r="M105" s="108"/>
      <c r="N105" s="9"/>
    </row>
    <row r="106" spans="9:14" ht="13.95" customHeight="1">
      <c r="I106" s="9"/>
      <c r="J106" s="9"/>
      <c r="K106" s="108"/>
      <c r="L106" s="9"/>
      <c r="M106" s="108"/>
      <c r="N106" s="9"/>
    </row>
    <row r="107" spans="9:14" ht="13.95" customHeight="1">
      <c r="I107" s="9"/>
      <c r="J107" s="9"/>
      <c r="K107" s="108"/>
      <c r="L107" s="9"/>
      <c r="M107" s="108"/>
      <c r="N107" s="9"/>
    </row>
    <row r="108" spans="9:14" ht="13.95" customHeight="1">
      <c r="I108" s="3"/>
      <c r="J108" s="3"/>
      <c r="K108" s="108"/>
      <c r="L108" s="3"/>
      <c r="M108" s="108"/>
      <c r="N108" s="9"/>
    </row>
    <row r="109" spans="9:14" ht="13.95" customHeight="1">
      <c r="I109" s="3"/>
      <c r="J109" s="3"/>
      <c r="K109" s="108"/>
      <c r="L109" s="3"/>
      <c r="M109" s="108"/>
      <c r="N109" s="9"/>
    </row>
    <row r="110" spans="9:14" ht="13.95" customHeight="1">
      <c r="I110" s="3"/>
      <c r="J110" s="3"/>
      <c r="K110" s="108"/>
      <c r="L110" s="3"/>
      <c r="M110" s="108"/>
      <c r="N110" s="9"/>
    </row>
    <row r="111" spans="9:14" ht="13.95" customHeight="1">
      <c r="I111" s="3"/>
      <c r="J111" s="3"/>
      <c r="K111" s="108"/>
      <c r="L111" s="3"/>
      <c r="M111" s="108"/>
      <c r="N111" s="9"/>
    </row>
    <row r="112" spans="9:14" ht="24" customHeight="1">
      <c r="I112" s="3"/>
      <c r="J112" s="3"/>
      <c r="K112" s="108"/>
      <c r="L112" s="3"/>
      <c r="M112" s="108"/>
      <c r="N112" s="9"/>
    </row>
    <row r="113" spans="9:14" ht="13.95" customHeight="1">
      <c r="I113" s="3"/>
      <c r="J113" s="3"/>
      <c r="K113" s="108"/>
      <c r="L113" s="3"/>
      <c r="M113" s="108"/>
      <c r="N113" s="9"/>
    </row>
    <row r="114" spans="9:14" ht="13.95" customHeight="1">
      <c r="I114" s="3"/>
      <c r="J114" s="3"/>
      <c r="K114" s="108"/>
      <c r="L114" s="3"/>
      <c r="M114" s="108"/>
      <c r="N114" s="9"/>
    </row>
    <row r="115" spans="9:14" ht="13.95" customHeight="1">
      <c r="I115" s="3"/>
      <c r="J115" s="3"/>
      <c r="K115" s="108"/>
      <c r="L115" s="3"/>
      <c r="M115" s="108"/>
      <c r="N115" s="9"/>
    </row>
    <row r="116" spans="9:14" ht="13.95" customHeight="1">
      <c r="I116" s="3"/>
      <c r="J116" s="3"/>
      <c r="K116" s="108"/>
      <c r="L116" s="3"/>
      <c r="M116" s="108"/>
      <c r="N116" s="9"/>
    </row>
    <row r="117" spans="9:14" ht="13.95" customHeight="1">
      <c r="I117" s="3"/>
      <c r="J117" s="3"/>
      <c r="K117" s="108"/>
      <c r="L117" s="3"/>
      <c r="M117" s="108"/>
      <c r="N117" s="9"/>
    </row>
    <row r="118" spans="9:14" ht="13.95" customHeight="1">
      <c r="I118" s="3"/>
      <c r="J118" s="3"/>
      <c r="K118" s="108"/>
      <c r="L118" s="3"/>
      <c r="M118" s="108"/>
      <c r="N118" s="9"/>
    </row>
    <row r="119" spans="9:14" ht="13.95" customHeight="1">
      <c r="I119" s="3"/>
      <c r="J119" s="3"/>
      <c r="K119" s="108"/>
      <c r="L119" s="3"/>
      <c r="M119" s="108"/>
      <c r="N119" s="9"/>
    </row>
    <row r="120" spans="9:14" ht="13.95" customHeight="1">
      <c r="I120" s="3"/>
      <c r="J120" s="3"/>
      <c r="K120" s="108"/>
      <c r="L120" s="3"/>
      <c r="M120" s="108"/>
      <c r="N120" s="9"/>
    </row>
    <row r="121" spans="9:14" ht="13.95" customHeight="1">
      <c r="I121" s="3"/>
      <c r="J121" s="3"/>
      <c r="K121" s="108"/>
      <c r="L121" s="3"/>
      <c r="M121" s="108"/>
      <c r="N121" s="9"/>
    </row>
    <row r="122" spans="9:14" ht="13.95" customHeight="1">
      <c r="I122" s="3"/>
      <c r="J122" s="3"/>
      <c r="K122" s="108"/>
      <c r="L122" s="3"/>
      <c r="M122" s="108"/>
      <c r="N122" s="9"/>
    </row>
    <row r="123" spans="9:14" ht="13.95" customHeight="1">
      <c r="I123" s="3"/>
      <c r="J123" s="3"/>
      <c r="K123" s="108"/>
      <c r="L123" s="3"/>
      <c r="M123" s="108"/>
      <c r="N123" s="9"/>
    </row>
    <row r="124" spans="9:14" ht="13.95" customHeight="1">
      <c r="I124" s="3"/>
      <c r="J124" s="3"/>
      <c r="K124" s="108"/>
      <c r="L124" s="3"/>
      <c r="M124" s="108"/>
      <c r="N124" s="9"/>
    </row>
    <row r="125" spans="9:14" ht="13.95" customHeight="1">
      <c r="I125" s="3"/>
      <c r="J125" s="3"/>
      <c r="K125" s="108"/>
      <c r="L125" s="3"/>
      <c r="M125" s="108"/>
      <c r="N125" s="9"/>
    </row>
    <row r="126" spans="9:14" ht="13.95" customHeight="1">
      <c r="I126" s="4"/>
      <c r="J126" s="4"/>
      <c r="K126" s="108"/>
      <c r="L126" s="4"/>
      <c r="M126" s="108"/>
      <c r="N126" s="9"/>
    </row>
    <row r="127" spans="9:14" ht="13.95" customHeight="1">
      <c r="I127" s="3"/>
      <c r="J127" s="3"/>
      <c r="K127" s="108"/>
      <c r="L127" s="3"/>
      <c r="M127" s="108"/>
      <c r="N127" s="9"/>
    </row>
    <row r="128" spans="9:14" ht="13.95" customHeight="1">
      <c r="I128" s="3"/>
      <c r="J128" s="3"/>
      <c r="K128" s="108"/>
      <c r="L128" s="3"/>
      <c r="M128" s="108"/>
      <c r="N128" s="9"/>
    </row>
    <row r="129" spans="9:14" ht="13.95" customHeight="1">
      <c r="I129" s="3"/>
      <c r="J129" s="3"/>
      <c r="K129" s="108"/>
      <c r="L129" s="3"/>
      <c r="M129" s="108"/>
      <c r="N129" s="9"/>
    </row>
    <row r="130" spans="9:14" ht="13.95" customHeight="1">
      <c r="I130" s="3"/>
      <c r="J130" s="3"/>
      <c r="K130" s="108"/>
      <c r="L130" s="3"/>
      <c r="M130" s="108"/>
      <c r="N130" s="9"/>
    </row>
    <row r="131" spans="9:14" ht="13.95" customHeight="1">
      <c r="I131" s="3"/>
      <c r="J131" s="3"/>
      <c r="K131" s="108"/>
      <c r="L131" s="3"/>
      <c r="M131" s="108"/>
      <c r="N131" s="9"/>
    </row>
    <row r="132" spans="9:14" ht="13.95" customHeight="1">
      <c r="I132" s="3"/>
      <c r="J132" s="3"/>
      <c r="K132" s="108"/>
      <c r="L132" s="3"/>
      <c r="M132" s="108"/>
      <c r="N132" s="9"/>
    </row>
    <row r="133" spans="9:14" ht="13.95" customHeight="1">
      <c r="I133" s="3"/>
      <c r="J133" s="3"/>
      <c r="K133" s="108"/>
      <c r="L133" s="3"/>
      <c r="M133" s="108"/>
      <c r="N133" s="9"/>
    </row>
    <row r="134" spans="9:14" ht="13.95" customHeight="1">
      <c r="I134" s="3"/>
      <c r="J134" s="3"/>
      <c r="K134" s="108"/>
      <c r="L134" s="3"/>
      <c r="M134" s="108"/>
      <c r="N134" s="9"/>
    </row>
    <row r="135" spans="9:14" ht="13.95" customHeight="1">
      <c r="I135" s="3"/>
      <c r="J135" s="3"/>
      <c r="K135" s="108"/>
      <c r="L135" s="3"/>
      <c r="M135" s="108"/>
      <c r="N135" s="9"/>
    </row>
    <row r="136" spans="9:14" ht="13.95" customHeight="1">
      <c r="I136" s="3"/>
      <c r="J136" s="3"/>
      <c r="K136" s="108"/>
      <c r="L136" s="3"/>
      <c r="M136" s="108"/>
      <c r="N136" s="9"/>
    </row>
    <row r="137" spans="9:14" ht="13.95" customHeight="1">
      <c r="I137" s="3"/>
      <c r="J137" s="3"/>
      <c r="K137" s="108"/>
      <c r="L137" s="3"/>
      <c r="M137" s="108"/>
      <c r="N137" s="9"/>
    </row>
    <row r="138" spans="9:14" ht="13.95" customHeight="1">
      <c r="I138" s="3"/>
      <c r="J138" s="3"/>
      <c r="K138" s="108"/>
      <c r="L138" s="3"/>
      <c r="M138" s="108"/>
      <c r="N138" s="9"/>
    </row>
    <row r="139" spans="9:14" ht="13.95" customHeight="1">
      <c r="I139" s="3"/>
      <c r="J139" s="3"/>
      <c r="K139" s="108"/>
      <c r="L139" s="3"/>
      <c r="M139" s="108"/>
      <c r="N139" s="9"/>
    </row>
    <row r="140" spans="9:14" ht="13.95" customHeight="1">
      <c r="I140" s="3"/>
      <c r="J140" s="3"/>
      <c r="K140" s="108"/>
      <c r="L140" s="3"/>
      <c r="M140" s="108"/>
      <c r="N140" s="9"/>
    </row>
    <row r="141" spans="9:14" ht="13.95" customHeight="1">
      <c r="I141" s="3"/>
      <c r="J141" s="3"/>
      <c r="K141" s="108"/>
      <c r="L141" s="3"/>
      <c r="M141" s="108"/>
      <c r="N141" s="9"/>
    </row>
    <row r="142" spans="9:14" ht="13.95" customHeight="1">
      <c r="I142" s="3"/>
      <c r="J142" s="3"/>
      <c r="K142" s="108"/>
      <c r="L142" s="3"/>
      <c r="M142" s="108"/>
      <c r="N142" s="9"/>
    </row>
    <row r="143" spans="9:14" ht="13.95" customHeight="1">
      <c r="I143" s="3"/>
      <c r="J143" s="3"/>
      <c r="K143" s="108"/>
      <c r="L143" s="3"/>
      <c r="M143" s="108"/>
      <c r="N143" s="9"/>
    </row>
    <row r="144" spans="9:14" ht="13.95" customHeight="1">
      <c r="I144" s="3"/>
      <c r="J144" s="3"/>
      <c r="K144" s="108"/>
      <c r="L144" s="3"/>
      <c r="M144" s="108"/>
      <c r="N144" s="9"/>
    </row>
    <row r="145" spans="9:14" ht="13.95" customHeight="1">
      <c r="I145" s="3"/>
      <c r="J145" s="3"/>
      <c r="K145" s="108"/>
      <c r="L145" s="3"/>
      <c r="M145" s="108"/>
      <c r="N145" s="9"/>
    </row>
    <row r="146" spans="9:14" ht="13.95" customHeight="1">
      <c r="I146" s="3"/>
      <c r="J146" s="3"/>
      <c r="K146" s="108"/>
      <c r="L146" s="3"/>
      <c r="M146" s="108"/>
      <c r="N146" s="9"/>
    </row>
    <row r="147" spans="9:14" ht="13.95" customHeight="1">
      <c r="I147" s="3"/>
      <c r="J147" s="3"/>
      <c r="K147" s="108"/>
      <c r="L147" s="3"/>
      <c r="M147" s="108"/>
      <c r="N147" s="9"/>
    </row>
    <row r="148" spans="9:14" ht="20.100000000000001" customHeight="1">
      <c r="I148" s="9"/>
      <c r="J148" s="9"/>
      <c r="K148" s="108"/>
      <c r="L148" s="9"/>
      <c r="M148" s="108"/>
      <c r="N148" s="9"/>
    </row>
    <row r="149" spans="9:14" ht="13.95" customHeight="1">
      <c r="I149" s="9"/>
      <c r="J149" s="9"/>
      <c r="K149" s="108"/>
      <c r="L149" s="9"/>
      <c r="M149" s="108"/>
      <c r="N149" s="9"/>
    </row>
    <row r="150" spans="9:14" ht="13.95" customHeight="1">
      <c r="I150" s="9"/>
      <c r="J150" s="9"/>
      <c r="K150" s="108"/>
      <c r="L150" s="9"/>
      <c r="M150" s="108"/>
      <c r="N150" s="9"/>
    </row>
    <row r="151" spans="9:14" ht="22.2" customHeight="1">
      <c r="I151" s="9"/>
      <c r="J151" s="9"/>
      <c r="K151" s="108"/>
      <c r="L151" s="9"/>
      <c r="M151" s="108"/>
      <c r="N151" s="9"/>
    </row>
    <row r="152" spans="9:14" ht="20.100000000000001" customHeight="1">
      <c r="I152" s="9"/>
      <c r="J152" s="9"/>
      <c r="K152" s="108"/>
      <c r="L152" s="9"/>
      <c r="M152" s="108"/>
      <c r="N152" s="9"/>
    </row>
    <row r="153" spans="9:14" ht="13.95" customHeight="1">
      <c r="I153" s="3"/>
      <c r="J153" s="3"/>
      <c r="K153" s="108"/>
      <c r="L153" s="3"/>
      <c r="M153" s="108"/>
      <c r="N153" s="9"/>
    </row>
    <row r="154" spans="9:14" ht="13.95" customHeight="1">
      <c r="I154" s="3"/>
      <c r="J154" s="3"/>
      <c r="K154" s="108"/>
      <c r="L154" s="3"/>
      <c r="M154" s="108"/>
      <c r="N154" s="9"/>
    </row>
    <row r="155" spans="9:14" ht="13.95" customHeight="1">
      <c r="I155" s="3"/>
      <c r="J155" s="3"/>
      <c r="K155" s="108"/>
      <c r="L155" s="3"/>
      <c r="M155" s="108"/>
      <c r="N155" s="9"/>
    </row>
    <row r="156" spans="9:14" ht="13.95" customHeight="1">
      <c r="I156" s="3"/>
      <c r="J156" s="3"/>
      <c r="K156" s="108"/>
      <c r="L156" s="3"/>
      <c r="M156" s="108"/>
      <c r="N156" s="9"/>
    </row>
    <row r="157" spans="9:14" ht="13.95" customHeight="1">
      <c r="I157" s="3"/>
      <c r="J157" s="3"/>
      <c r="K157" s="108"/>
      <c r="L157" s="3"/>
      <c r="M157" s="108"/>
      <c r="N157" s="9"/>
    </row>
    <row r="158" spans="9:14" ht="13.95" customHeight="1">
      <c r="I158" s="3"/>
      <c r="J158" s="3"/>
      <c r="K158" s="108"/>
      <c r="L158" s="3"/>
      <c r="M158" s="108"/>
      <c r="N158" s="9"/>
    </row>
    <row r="159" spans="9:14" ht="13.95" customHeight="1">
      <c r="I159" s="3"/>
      <c r="J159" s="3"/>
      <c r="K159" s="108"/>
      <c r="L159" s="3"/>
      <c r="M159" s="108"/>
      <c r="N159" s="9"/>
    </row>
    <row r="160" spans="9:14" ht="13.95" customHeight="1">
      <c r="I160" s="3"/>
      <c r="J160" s="3"/>
      <c r="K160" s="108"/>
      <c r="L160" s="3"/>
      <c r="M160" s="108"/>
      <c r="N160" s="9"/>
    </row>
    <row r="161" spans="9:14" ht="13.95" customHeight="1">
      <c r="I161" s="3"/>
      <c r="J161" s="3"/>
      <c r="K161" s="108"/>
      <c r="L161" s="3"/>
      <c r="M161" s="108"/>
      <c r="N161" s="9"/>
    </row>
    <row r="162" spans="9:14" ht="13.95" customHeight="1">
      <c r="I162" s="3"/>
      <c r="J162" s="3"/>
      <c r="K162" s="108"/>
      <c r="L162" s="3"/>
      <c r="M162" s="108"/>
      <c r="N162" s="9"/>
    </row>
    <row r="163" spans="9:14" ht="13.95" customHeight="1">
      <c r="I163" s="3"/>
      <c r="J163" s="3"/>
      <c r="K163" s="108"/>
      <c r="L163" s="3"/>
      <c r="M163" s="108"/>
      <c r="N163" s="9"/>
    </row>
    <row r="164" spans="9:14" ht="13.95" customHeight="1">
      <c r="I164" s="3"/>
      <c r="J164" s="3"/>
      <c r="K164" s="108"/>
      <c r="L164" s="3"/>
      <c r="M164" s="108"/>
      <c r="N164" s="9"/>
    </row>
    <row r="165" spans="9:14" ht="13.95" customHeight="1">
      <c r="I165" s="3"/>
      <c r="J165" s="3"/>
      <c r="K165" s="108"/>
      <c r="L165" s="3"/>
      <c r="M165" s="108"/>
      <c r="N165" s="9"/>
    </row>
    <row r="166" spans="9:14" ht="13.95" customHeight="1">
      <c r="I166" s="9"/>
      <c r="J166" s="9"/>
      <c r="K166" s="108"/>
      <c r="L166" s="9"/>
      <c r="M166" s="108"/>
      <c r="N166" s="9"/>
    </row>
    <row r="167" spans="9:14" ht="13.95" customHeight="1">
      <c r="I167" s="9"/>
      <c r="J167" s="9"/>
      <c r="K167" s="108"/>
      <c r="L167" s="9"/>
      <c r="M167" s="108"/>
      <c r="N167" s="9"/>
    </row>
    <row r="168" spans="9:14" ht="13.95" customHeight="1">
      <c r="I168" s="9"/>
      <c r="J168" s="9"/>
      <c r="K168" s="108"/>
      <c r="L168" s="9"/>
      <c r="M168" s="108"/>
      <c r="N168" s="9"/>
    </row>
    <row r="169" spans="9:14" ht="13.95" customHeight="1">
      <c r="I169" s="9"/>
      <c r="J169" s="9"/>
      <c r="K169" s="108"/>
      <c r="L169" s="9"/>
      <c r="M169" s="108"/>
      <c r="N169" s="9"/>
    </row>
    <row r="170" spans="9:14" ht="13.95" customHeight="1">
      <c r="I170" s="3"/>
      <c r="J170" s="3"/>
      <c r="K170" s="108"/>
      <c r="L170" s="3"/>
      <c r="M170" s="108"/>
      <c r="N170" s="9"/>
    </row>
    <row r="171" spans="9:14" ht="13.95" customHeight="1">
      <c r="I171" s="3"/>
      <c r="J171" s="3"/>
      <c r="K171" s="108"/>
      <c r="L171" s="3"/>
      <c r="M171" s="108"/>
      <c r="N171" s="9"/>
    </row>
    <row r="172" spans="9:14" ht="13.95" customHeight="1">
      <c r="I172" s="3"/>
      <c r="J172" s="3"/>
      <c r="K172" s="108"/>
      <c r="L172" s="3"/>
      <c r="M172" s="108"/>
      <c r="N172" s="9"/>
    </row>
    <row r="173" spans="9:14" ht="13.95" customHeight="1">
      <c r="I173" s="3"/>
      <c r="J173" s="3"/>
      <c r="K173" s="108"/>
      <c r="L173" s="3"/>
      <c r="M173" s="108"/>
      <c r="N173" s="9"/>
    </row>
    <row r="174" spans="9:14" ht="13.95" customHeight="1">
      <c r="I174" s="3"/>
      <c r="J174" s="3"/>
      <c r="K174" s="108"/>
      <c r="L174" s="3"/>
      <c r="M174" s="108"/>
      <c r="N174" s="9"/>
    </row>
    <row r="175" spans="9:14" ht="13.95" customHeight="1">
      <c r="I175" s="3"/>
      <c r="J175" s="3"/>
      <c r="K175" s="108"/>
      <c r="L175" s="3"/>
      <c r="M175" s="108"/>
      <c r="N175" s="9"/>
    </row>
    <row r="176" spans="9:14" ht="13.95" customHeight="1">
      <c r="I176" s="3"/>
      <c r="J176" s="3"/>
      <c r="K176" s="108"/>
      <c r="L176" s="3"/>
      <c r="M176" s="108"/>
      <c r="N176" s="9"/>
    </row>
    <row r="177" spans="9:14" ht="13.95" customHeight="1">
      <c r="I177" s="3"/>
      <c r="J177" s="3"/>
      <c r="K177" s="108"/>
      <c r="L177" s="3"/>
      <c r="M177" s="108"/>
      <c r="N177" s="9"/>
    </row>
    <row r="178" spans="9:14" ht="13.95" customHeight="1">
      <c r="I178" s="3"/>
      <c r="J178" s="3"/>
      <c r="K178" s="108"/>
      <c r="L178" s="3"/>
      <c r="M178" s="108"/>
      <c r="N178" s="9"/>
    </row>
    <row r="179" spans="9:14" ht="13.95" customHeight="1">
      <c r="I179" s="3"/>
      <c r="J179" s="3"/>
      <c r="K179" s="108"/>
      <c r="L179" s="3"/>
      <c r="M179" s="108"/>
      <c r="N179" s="9"/>
    </row>
    <row r="180" spans="9:14" ht="27" customHeight="1">
      <c r="I180" s="3"/>
      <c r="J180" s="3"/>
      <c r="K180" s="108"/>
      <c r="L180" s="3"/>
      <c r="M180" s="108"/>
      <c r="N180" s="9"/>
    </row>
    <row r="181" spans="9:14" ht="13.95" customHeight="1">
      <c r="I181" s="3"/>
      <c r="J181" s="3"/>
      <c r="K181" s="108"/>
      <c r="L181" s="3"/>
      <c r="M181" s="108"/>
      <c r="N181" s="9"/>
    </row>
    <row r="182" spans="9:14" ht="24.6" customHeight="1">
      <c r="I182" s="3"/>
      <c r="J182" s="3"/>
      <c r="K182" s="108"/>
      <c r="L182" s="3"/>
      <c r="M182" s="108"/>
      <c r="N182" s="9"/>
    </row>
    <row r="183" spans="9:14" ht="13.95" customHeight="1">
      <c r="I183" s="3"/>
      <c r="J183" s="3"/>
      <c r="K183" s="108"/>
      <c r="L183" s="3"/>
      <c r="M183" s="108"/>
      <c r="N183" s="9"/>
    </row>
    <row r="184" spans="9:14" ht="23.4" customHeight="1">
      <c r="I184" s="3"/>
      <c r="J184" s="3"/>
      <c r="K184" s="108"/>
      <c r="L184" s="3"/>
      <c r="M184" s="108"/>
      <c r="N184" s="9"/>
    </row>
    <row r="185" spans="9:14" ht="13.95" customHeight="1">
      <c r="I185" s="3"/>
      <c r="J185" s="3"/>
      <c r="K185" s="108"/>
      <c r="L185" s="3"/>
      <c r="M185" s="108"/>
      <c r="N185" s="9"/>
    </row>
    <row r="186" spans="9:14" ht="13.95" customHeight="1">
      <c r="I186" s="3"/>
      <c r="J186" s="3"/>
      <c r="K186" s="108"/>
      <c r="L186" s="3"/>
      <c r="M186" s="108"/>
      <c r="N186" s="9"/>
    </row>
    <row r="187" spans="9:14" ht="13.95" customHeight="1">
      <c r="I187" s="3"/>
      <c r="J187" s="3"/>
      <c r="K187" s="108"/>
      <c r="L187" s="3"/>
      <c r="M187" s="108"/>
      <c r="N187" s="9"/>
    </row>
    <row r="188" spans="9:14" ht="13.95" customHeight="1">
      <c r="I188" s="3"/>
      <c r="J188" s="3"/>
      <c r="K188" s="108"/>
      <c r="L188" s="3"/>
      <c r="M188" s="108"/>
      <c r="N188" s="9"/>
    </row>
    <row r="189" spans="9:14" ht="13.95" customHeight="1">
      <c r="I189" s="3"/>
      <c r="J189" s="3"/>
      <c r="K189" s="108"/>
      <c r="L189" s="3"/>
      <c r="M189" s="108"/>
      <c r="N189" s="9"/>
    </row>
    <row r="190" spans="9:14" ht="13.95" customHeight="1">
      <c r="I190" s="3"/>
      <c r="J190" s="3"/>
      <c r="K190" s="108"/>
      <c r="L190" s="3"/>
      <c r="M190" s="108"/>
      <c r="N190" s="9"/>
    </row>
    <row r="191" spans="9:14" ht="13.95" customHeight="1">
      <c r="I191" s="3"/>
      <c r="J191" s="3"/>
      <c r="K191" s="108"/>
      <c r="L191" s="3"/>
      <c r="M191" s="108"/>
      <c r="N191" s="9"/>
    </row>
    <row r="192" spans="9:14" ht="13.95" customHeight="1">
      <c r="I192" s="3"/>
      <c r="J192" s="3"/>
      <c r="K192" s="108"/>
      <c r="L192" s="3"/>
      <c r="M192" s="108"/>
      <c r="N192" s="9"/>
    </row>
    <row r="193" spans="9:14" ht="13.95" customHeight="1">
      <c r="I193" s="3"/>
      <c r="J193" s="3"/>
      <c r="K193" s="108"/>
      <c r="L193" s="3"/>
      <c r="M193" s="108"/>
      <c r="N193" s="9"/>
    </row>
    <row r="194" spans="9:14" ht="13.95" customHeight="1">
      <c r="I194" s="3"/>
      <c r="J194" s="3"/>
      <c r="K194" s="108"/>
      <c r="L194" s="3"/>
      <c r="M194" s="108"/>
      <c r="N194" s="9"/>
    </row>
    <row r="195" spans="9:14" ht="13.95" customHeight="1">
      <c r="I195" s="3"/>
      <c r="J195" s="3"/>
      <c r="K195" s="108"/>
      <c r="L195" s="3"/>
      <c r="M195" s="108"/>
      <c r="N195" s="9"/>
    </row>
    <row r="196" spans="9:14" ht="13.95" customHeight="1">
      <c r="I196" s="3"/>
      <c r="J196" s="3"/>
      <c r="K196" s="108"/>
      <c r="L196" s="3"/>
      <c r="M196" s="108"/>
      <c r="N196" s="9"/>
    </row>
    <row r="197" spans="9:14" ht="13.95" customHeight="1">
      <c r="I197" s="3"/>
      <c r="J197" s="3"/>
      <c r="K197" s="108"/>
      <c r="L197" s="3"/>
      <c r="M197" s="108"/>
      <c r="N197" s="9"/>
    </row>
    <row r="198" spans="9:14" ht="20.100000000000001" customHeight="1">
      <c r="I198" s="9"/>
      <c r="J198" s="9"/>
      <c r="K198" s="108"/>
      <c r="L198" s="9"/>
      <c r="M198" s="108"/>
      <c r="N198" s="9"/>
    </row>
    <row r="199" spans="9:14" ht="13.95" customHeight="1">
      <c r="I199" s="9"/>
      <c r="J199" s="9"/>
      <c r="K199" s="108"/>
      <c r="L199" s="9"/>
      <c r="M199" s="108"/>
      <c r="N199" s="9"/>
    </row>
    <row r="200" spans="9:14" ht="13.95" customHeight="1">
      <c r="I200" s="9"/>
      <c r="J200" s="9"/>
      <c r="K200" s="108"/>
      <c r="L200" s="9"/>
      <c r="M200" s="108"/>
      <c r="N200" s="9"/>
    </row>
    <row r="201" spans="9:14" ht="22.2" customHeight="1">
      <c r="I201" s="9"/>
      <c r="J201" s="9"/>
      <c r="K201" s="108"/>
      <c r="L201" s="9"/>
      <c r="M201" s="108"/>
      <c r="N201" s="9"/>
    </row>
    <row r="202" spans="9:14" ht="20.100000000000001" customHeight="1">
      <c r="I202" s="9"/>
      <c r="J202" s="9"/>
      <c r="K202" s="108"/>
      <c r="L202" s="9"/>
      <c r="M202" s="108"/>
      <c r="N202" s="9"/>
    </row>
    <row r="203" spans="9:14" ht="13.95" customHeight="1">
      <c r="I203" s="3"/>
      <c r="J203" s="3"/>
      <c r="K203" s="108"/>
      <c r="L203" s="3"/>
      <c r="M203" s="108"/>
      <c r="N203" s="9"/>
    </row>
    <row r="204" spans="9:14" ht="13.95" customHeight="1">
      <c r="I204" s="3"/>
      <c r="J204" s="3"/>
      <c r="K204" s="108"/>
      <c r="L204" s="3"/>
      <c r="M204" s="108"/>
      <c r="N204" s="9"/>
    </row>
    <row r="205" spans="9:14" ht="13.95" customHeight="1">
      <c r="I205" s="3"/>
      <c r="J205" s="3"/>
      <c r="K205" s="108"/>
      <c r="L205" s="3"/>
      <c r="M205" s="108"/>
      <c r="N205" s="9"/>
    </row>
    <row r="206" spans="9:14" ht="13.95" customHeight="1">
      <c r="I206" s="3"/>
      <c r="J206" s="3"/>
      <c r="K206" s="108"/>
      <c r="L206" s="3"/>
      <c r="M206" s="108"/>
      <c r="N206" s="9"/>
    </row>
    <row r="207" spans="9:14" ht="13.95" customHeight="1">
      <c r="I207" s="3"/>
      <c r="J207" s="3"/>
      <c r="K207" s="108"/>
      <c r="L207" s="3"/>
      <c r="M207" s="108"/>
      <c r="N207" s="9"/>
    </row>
    <row r="208" spans="9:14" ht="13.95" customHeight="1">
      <c r="I208" s="4"/>
      <c r="J208" s="4"/>
      <c r="K208" s="108"/>
      <c r="L208" s="4"/>
      <c r="M208" s="108"/>
      <c r="N208" s="9"/>
    </row>
    <row r="209" spans="9:14" ht="13.95" customHeight="1">
      <c r="I209" s="4"/>
      <c r="J209" s="4"/>
      <c r="K209" s="108"/>
      <c r="L209" s="4"/>
      <c r="M209" s="108"/>
      <c r="N209" s="9"/>
    </row>
    <row r="210" spans="9:14" ht="13.95" customHeight="1">
      <c r="I210" s="4"/>
      <c r="J210" s="4"/>
      <c r="K210" s="108"/>
      <c r="L210" s="4"/>
      <c r="M210" s="108"/>
      <c r="N210" s="9"/>
    </row>
    <row r="211" spans="9:14" ht="13.95" customHeight="1">
      <c r="I211" s="4"/>
      <c r="J211" s="4"/>
      <c r="K211" s="108"/>
      <c r="L211" s="4"/>
      <c r="M211" s="108"/>
      <c r="N211" s="9"/>
    </row>
    <row r="212" spans="9:14" ht="13.95" customHeight="1">
      <c r="I212" s="4"/>
      <c r="J212" s="4"/>
      <c r="K212" s="108"/>
      <c r="L212" s="4"/>
      <c r="M212" s="108"/>
      <c r="N212" s="9"/>
    </row>
    <row r="213" spans="9:14" ht="13.95" customHeight="1">
      <c r="I213" s="3"/>
      <c r="J213" s="3"/>
      <c r="K213" s="108"/>
      <c r="L213" s="3"/>
      <c r="M213" s="108"/>
      <c r="N213" s="9"/>
    </row>
    <row r="214" spans="9:14" ht="24.6" customHeight="1">
      <c r="I214" s="9"/>
      <c r="J214" s="9"/>
      <c r="K214" s="108"/>
      <c r="L214" s="9"/>
      <c r="M214" s="108"/>
      <c r="N214" s="9"/>
    </row>
    <row r="215" spans="9:14" ht="13.95" customHeight="1">
      <c r="I215" s="9"/>
      <c r="J215" s="9"/>
      <c r="K215" s="108"/>
      <c r="L215" s="9"/>
      <c r="M215" s="108"/>
      <c r="N215" s="9"/>
    </row>
    <row r="216" spans="9:14" ht="22.95" customHeight="1">
      <c r="I216" s="9"/>
      <c r="J216" s="9"/>
      <c r="K216" s="108"/>
      <c r="L216" s="9"/>
      <c r="M216" s="108"/>
      <c r="N216" s="9"/>
    </row>
    <row r="217" spans="9:14" ht="13.95" customHeight="1">
      <c r="I217" s="9"/>
      <c r="J217" s="9"/>
      <c r="K217" s="108"/>
      <c r="L217" s="9"/>
      <c r="M217" s="108"/>
      <c r="N217" s="9"/>
    </row>
    <row r="218" spans="9:14" ht="46.2" customHeight="1">
      <c r="I218" s="9"/>
      <c r="J218" s="9"/>
      <c r="K218" s="108"/>
      <c r="L218" s="9"/>
      <c r="M218" s="108"/>
      <c r="N218" s="9"/>
    </row>
    <row r="219" spans="9:14" ht="13.95" customHeight="1">
      <c r="I219" s="9"/>
      <c r="J219" s="9"/>
      <c r="K219" s="108"/>
      <c r="L219" s="9"/>
      <c r="M219" s="108"/>
      <c r="N219" s="9"/>
    </row>
    <row r="220" spans="9:14" ht="48" customHeight="1">
      <c r="I220" s="45"/>
      <c r="J220" s="45"/>
      <c r="K220" s="108"/>
      <c r="L220" s="45"/>
      <c r="M220" s="108"/>
      <c r="N220" s="9"/>
    </row>
    <row r="221" spans="9:14" ht="12.6" customHeight="1">
      <c r="I221" s="9"/>
      <c r="J221" s="9"/>
      <c r="K221" s="108"/>
      <c r="L221" s="9"/>
      <c r="M221" s="108"/>
      <c r="N221" s="9"/>
    </row>
    <row r="222" spans="9:14" ht="13.95" customHeight="1">
      <c r="I222" s="9"/>
      <c r="J222" s="9"/>
      <c r="K222" s="108"/>
      <c r="L222" s="9"/>
      <c r="M222" s="108"/>
      <c r="N222" s="9"/>
    </row>
    <row r="223" spans="9:14" ht="13.95" customHeight="1">
      <c r="I223" s="9"/>
      <c r="J223" s="9"/>
      <c r="K223" s="108"/>
      <c r="L223" s="9"/>
      <c r="M223" s="108"/>
      <c r="N223" s="9"/>
    </row>
    <row r="224" spans="9:14" ht="13.95" customHeight="1">
      <c r="I224" s="9"/>
      <c r="J224" s="9"/>
      <c r="K224" s="108"/>
      <c r="L224" s="9"/>
      <c r="M224" s="108"/>
      <c r="N224" s="9"/>
    </row>
    <row r="225" spans="9:14" ht="13.95" customHeight="1">
      <c r="I225" s="9"/>
      <c r="J225" s="9"/>
      <c r="K225" s="108"/>
      <c r="L225" s="9"/>
      <c r="M225" s="108"/>
      <c r="N225" s="9"/>
    </row>
    <row r="226" spans="9:14" ht="22.95" customHeight="1">
      <c r="I226" s="9"/>
      <c r="J226" s="9"/>
      <c r="K226" s="108"/>
      <c r="L226" s="9"/>
      <c r="M226" s="108"/>
      <c r="N226" s="9"/>
    </row>
    <row r="227" spans="9:14" ht="13.95" customHeight="1">
      <c r="I227" s="9"/>
      <c r="J227" s="9"/>
      <c r="K227" s="108"/>
      <c r="L227" s="9"/>
      <c r="M227" s="108"/>
      <c r="N227" s="9"/>
    </row>
    <row r="228" spans="9:14" ht="13.95" customHeight="1">
      <c r="I228" s="9"/>
      <c r="J228" s="9"/>
      <c r="K228" s="108"/>
      <c r="L228" s="9"/>
      <c r="M228" s="108"/>
      <c r="N228" s="9"/>
    </row>
    <row r="229" spans="9:14" ht="13.95" customHeight="1">
      <c r="I229" s="9"/>
      <c r="J229" s="9"/>
      <c r="K229" s="108"/>
      <c r="L229" s="9"/>
      <c r="M229" s="108"/>
      <c r="N229" s="9"/>
    </row>
    <row r="230" spans="9:14" ht="48.6" customHeight="1">
      <c r="I230" s="9"/>
      <c r="J230" s="9"/>
      <c r="K230" s="108"/>
      <c r="L230" s="9"/>
      <c r="M230" s="108"/>
      <c r="N230" s="9"/>
    </row>
    <row r="231" spans="9:14">
      <c r="I231" s="9"/>
      <c r="J231" s="9"/>
      <c r="K231" s="108"/>
      <c r="L231" s="9"/>
      <c r="M231" s="108"/>
      <c r="N231" s="9"/>
    </row>
    <row r="232" spans="9:14">
      <c r="I232" s="9"/>
      <c r="J232" s="9"/>
      <c r="K232" s="108"/>
      <c r="L232" s="9"/>
      <c r="M232" s="108"/>
      <c r="N232" s="9"/>
    </row>
    <row r="233" spans="9:14">
      <c r="I233" s="9"/>
      <c r="J233" s="9"/>
      <c r="K233" s="108"/>
      <c r="L233" s="9"/>
      <c r="M233" s="108"/>
      <c r="N233" s="9"/>
    </row>
    <row r="234" spans="9:14">
      <c r="I234" s="9"/>
      <c r="J234" s="9"/>
      <c r="K234" s="108"/>
      <c r="L234" s="9"/>
      <c r="M234" s="108"/>
      <c r="N234" s="9"/>
    </row>
    <row r="235" spans="9:14">
      <c r="I235" s="9"/>
      <c r="J235" s="9"/>
      <c r="K235" s="108"/>
      <c r="L235" s="9"/>
      <c r="M235" s="108"/>
      <c r="N235" s="9"/>
    </row>
    <row r="236" spans="9:14">
      <c r="I236" s="9"/>
      <c r="J236" s="9"/>
      <c r="K236" s="108"/>
      <c r="L236" s="9"/>
      <c r="M236" s="108"/>
      <c r="N236" s="9"/>
    </row>
    <row r="237" spans="9:14" ht="13.95" customHeight="1">
      <c r="I237" s="9"/>
      <c r="J237" s="9"/>
      <c r="K237" s="108"/>
      <c r="L237" s="9"/>
      <c r="M237" s="108"/>
      <c r="N237" s="9"/>
    </row>
    <row r="238" spans="9:14" ht="13.95" customHeight="1">
      <c r="I238" s="9"/>
      <c r="J238" s="9"/>
      <c r="K238" s="108"/>
      <c r="L238" s="9"/>
      <c r="M238" s="108"/>
      <c r="N238" s="9"/>
    </row>
    <row r="239" spans="9:14" ht="13.95" customHeight="1">
      <c r="I239" s="9"/>
      <c r="J239" s="9"/>
      <c r="K239" s="108"/>
      <c r="L239" s="9"/>
      <c r="M239" s="108"/>
      <c r="N239" s="9"/>
    </row>
    <row r="240" spans="9:14" ht="13.95" customHeight="1">
      <c r="I240" s="9"/>
      <c r="J240" s="9"/>
      <c r="K240" s="108"/>
      <c r="L240" s="9"/>
      <c r="M240" s="108"/>
      <c r="N240" s="9"/>
    </row>
    <row r="241" spans="9:14" ht="13.95" customHeight="1">
      <c r="I241" s="9"/>
      <c r="J241" s="9"/>
      <c r="K241" s="108"/>
      <c r="L241" s="9"/>
      <c r="M241" s="108"/>
      <c r="N241" s="9"/>
    </row>
    <row r="242" spans="9:14" ht="20.100000000000001" customHeight="1">
      <c r="I242" s="9"/>
      <c r="J242" s="9"/>
      <c r="K242" s="108"/>
      <c r="L242" s="9"/>
      <c r="M242" s="108"/>
      <c r="N242" s="9"/>
    </row>
    <row r="243" spans="9:14" ht="13.95" customHeight="1">
      <c r="I243" s="9"/>
      <c r="J243" s="9"/>
      <c r="K243" s="108"/>
      <c r="L243" s="9"/>
      <c r="M243" s="108"/>
      <c r="N243" s="9"/>
    </row>
    <row r="244" spans="9:14" ht="13.95" customHeight="1">
      <c r="I244" s="9"/>
      <c r="J244" s="9"/>
      <c r="K244" s="108"/>
      <c r="L244" s="9"/>
      <c r="M244" s="108"/>
      <c r="N244" s="9"/>
    </row>
    <row r="245" spans="9:14" ht="22.2" customHeight="1">
      <c r="I245" s="9"/>
      <c r="J245" s="9"/>
      <c r="K245" s="108"/>
      <c r="L245" s="9"/>
      <c r="M245" s="108"/>
      <c r="N245" s="9"/>
    </row>
    <row r="246" spans="9:14" ht="20.100000000000001" customHeight="1">
      <c r="I246" s="9"/>
      <c r="J246" s="9"/>
      <c r="K246" s="108"/>
      <c r="L246" s="9"/>
      <c r="M246" s="108"/>
      <c r="N246" s="9"/>
    </row>
    <row r="247" spans="9:14" ht="13.95" customHeight="1">
      <c r="I247" s="9"/>
      <c r="J247" s="9"/>
      <c r="K247" s="108"/>
      <c r="L247" s="9"/>
      <c r="M247" s="108"/>
      <c r="N247" s="9"/>
    </row>
    <row r="248" spans="9:14" ht="13.95" customHeight="1">
      <c r="I248" s="9"/>
      <c r="J248" s="9"/>
      <c r="K248" s="108"/>
      <c r="L248" s="9"/>
      <c r="M248" s="108"/>
      <c r="N248" s="9"/>
    </row>
    <row r="249" spans="9:14" ht="13.95" customHeight="1">
      <c r="I249" s="9"/>
      <c r="J249" s="9"/>
      <c r="K249" s="108"/>
      <c r="L249" s="9"/>
      <c r="M249" s="108"/>
      <c r="N249" s="9"/>
    </row>
    <row r="250" spans="9:14" ht="48" customHeight="1">
      <c r="I250" s="9"/>
      <c r="J250" s="9"/>
      <c r="K250" s="108"/>
      <c r="L250" s="9"/>
      <c r="M250" s="108"/>
      <c r="N250" s="9"/>
    </row>
    <row r="251" spans="9:14" ht="13.95" customHeight="1">
      <c r="I251" s="9"/>
      <c r="J251" s="9"/>
      <c r="K251" s="108"/>
      <c r="L251" s="9"/>
      <c r="M251" s="108"/>
      <c r="N251" s="9"/>
    </row>
    <row r="252" spans="9:14" ht="25.95" customHeight="1">
      <c r="I252" s="9"/>
      <c r="J252" s="9"/>
      <c r="K252" s="108"/>
      <c r="L252" s="9"/>
      <c r="M252" s="108"/>
      <c r="N252" s="9"/>
    </row>
    <row r="253" spans="9:14" ht="13.95" customHeight="1">
      <c r="I253" s="9"/>
      <c r="J253" s="9"/>
      <c r="K253" s="108"/>
      <c r="L253" s="9"/>
      <c r="M253" s="108"/>
      <c r="N253" s="9"/>
    </row>
    <row r="254" spans="9:14" ht="38.4" customHeight="1">
      <c r="I254" s="9"/>
      <c r="J254" s="9"/>
      <c r="K254" s="108"/>
      <c r="L254" s="9"/>
      <c r="M254" s="108"/>
      <c r="N254" s="9"/>
    </row>
    <row r="255" spans="9:14" ht="13.95" customHeight="1">
      <c r="I255" s="9"/>
      <c r="J255" s="9"/>
      <c r="K255" s="108"/>
      <c r="L255" s="9"/>
      <c r="M255" s="108"/>
      <c r="N255" s="9"/>
    </row>
    <row r="256" spans="9:14" ht="25.95" customHeight="1">
      <c r="I256" s="9"/>
      <c r="J256" s="9"/>
      <c r="K256" s="108"/>
      <c r="L256" s="9"/>
      <c r="M256" s="108"/>
      <c r="N256" s="9"/>
    </row>
    <row r="257" spans="9:14" ht="13.95" customHeight="1">
      <c r="I257" s="9"/>
      <c r="J257" s="9"/>
      <c r="K257" s="108"/>
      <c r="L257" s="9"/>
      <c r="M257" s="108"/>
      <c r="N257" s="9"/>
    </row>
    <row r="258" spans="9:14" ht="13.95" customHeight="1">
      <c r="I258" s="9"/>
      <c r="J258" s="9"/>
      <c r="K258" s="108"/>
      <c r="L258" s="9"/>
      <c r="M258" s="108"/>
      <c r="N258" s="9"/>
    </row>
    <row r="259" spans="9:14" ht="13.95" customHeight="1">
      <c r="I259" s="9"/>
      <c r="J259" s="9"/>
      <c r="K259" s="108"/>
      <c r="L259" s="9"/>
      <c r="M259" s="108"/>
      <c r="N259" s="9"/>
    </row>
    <row r="260" spans="9:14">
      <c r="I260" s="9"/>
      <c r="J260" s="9"/>
      <c r="K260" s="108"/>
      <c r="L260" s="9"/>
      <c r="M260" s="108"/>
      <c r="N260" s="9"/>
    </row>
    <row r="261" spans="9:14" ht="13.95" customHeight="1">
      <c r="I261" s="9"/>
      <c r="J261" s="9"/>
      <c r="K261" s="108"/>
      <c r="L261" s="9"/>
      <c r="M261" s="108"/>
      <c r="N261" s="9"/>
    </row>
    <row r="262" spans="9:14" ht="22.2" customHeight="1">
      <c r="I262" s="9"/>
      <c r="J262" s="9"/>
      <c r="K262" s="108"/>
      <c r="L262" s="9"/>
      <c r="M262" s="108"/>
      <c r="N262" s="9"/>
    </row>
    <row r="263" spans="9:14" ht="13.95" customHeight="1">
      <c r="I263" s="9"/>
      <c r="J263" s="9"/>
      <c r="K263" s="108"/>
      <c r="L263" s="9"/>
      <c r="M263" s="108"/>
      <c r="N263" s="9"/>
    </row>
    <row r="264" spans="9:14" ht="13.95" customHeight="1">
      <c r="I264" s="9"/>
      <c r="J264" s="9"/>
      <c r="K264" s="108"/>
      <c r="L264" s="9"/>
      <c r="M264" s="108"/>
      <c r="N264" s="9"/>
    </row>
    <row r="265" spans="9:14" ht="13.95" customHeight="1">
      <c r="I265" s="9"/>
      <c r="J265" s="9"/>
      <c r="K265" s="108"/>
      <c r="L265" s="9"/>
      <c r="M265" s="108"/>
      <c r="N265" s="9"/>
    </row>
    <row r="266" spans="9:14" ht="24" customHeight="1">
      <c r="I266" s="9"/>
      <c r="J266" s="9"/>
      <c r="K266" s="108"/>
      <c r="L266" s="9"/>
      <c r="M266" s="108"/>
      <c r="N266" s="9"/>
    </row>
    <row r="267" spans="9:14" ht="13.95" customHeight="1">
      <c r="I267" s="9"/>
      <c r="J267" s="9"/>
      <c r="K267" s="108"/>
      <c r="L267" s="9"/>
      <c r="M267" s="108"/>
      <c r="N267" s="9"/>
    </row>
    <row r="268" spans="9:14" ht="13.95" customHeight="1">
      <c r="I268" s="9"/>
      <c r="J268" s="9"/>
      <c r="K268" s="108"/>
      <c r="L268" s="9"/>
      <c r="M268" s="108"/>
      <c r="N268" s="9"/>
    </row>
    <row r="269" spans="9:14" ht="13.95" customHeight="1">
      <c r="I269" s="9"/>
      <c r="J269" s="9"/>
      <c r="K269" s="108"/>
      <c r="L269" s="9"/>
      <c r="M269" s="108"/>
      <c r="N269" s="9"/>
    </row>
    <row r="270" spans="9:14" ht="12.6" customHeight="1">
      <c r="I270" s="9"/>
      <c r="J270" s="9"/>
      <c r="K270" s="108"/>
      <c r="L270" s="9"/>
      <c r="M270" s="108"/>
      <c r="N270" s="9"/>
    </row>
    <row r="271" spans="9:14" ht="12.6" customHeight="1">
      <c r="I271" s="9"/>
      <c r="J271" s="9"/>
      <c r="K271" s="108"/>
      <c r="L271" s="9"/>
      <c r="M271" s="108"/>
      <c r="N271" s="9"/>
    </row>
    <row r="272" spans="9:14" ht="12.6" customHeight="1">
      <c r="I272" s="9"/>
      <c r="J272" s="9"/>
      <c r="K272" s="108"/>
      <c r="L272" s="9"/>
      <c r="M272" s="108"/>
      <c r="N272" s="9"/>
    </row>
    <row r="273" spans="9:14" ht="12.6" customHeight="1">
      <c r="I273" s="9"/>
      <c r="J273" s="9"/>
      <c r="K273" s="108"/>
      <c r="L273" s="9"/>
      <c r="M273" s="108"/>
      <c r="N273" s="9"/>
    </row>
    <row r="274" spans="9:14" ht="12.6" customHeight="1">
      <c r="I274" s="9"/>
      <c r="J274" s="9"/>
      <c r="K274" s="108"/>
      <c r="L274" s="9"/>
      <c r="M274" s="108"/>
      <c r="N274" s="9"/>
    </row>
    <row r="275" spans="9:14" ht="12.6" customHeight="1">
      <c r="I275" s="9"/>
      <c r="J275" s="9"/>
      <c r="K275" s="108"/>
      <c r="L275" s="9"/>
      <c r="M275" s="108"/>
      <c r="N275" s="9"/>
    </row>
    <row r="276" spans="9:14" ht="38.4" customHeight="1">
      <c r="I276" s="9"/>
      <c r="J276" s="9"/>
      <c r="K276" s="108"/>
      <c r="L276" s="9"/>
      <c r="M276" s="108"/>
      <c r="N276" s="9"/>
    </row>
    <row r="277" spans="9:14" ht="12.6" customHeight="1">
      <c r="I277" s="9"/>
      <c r="J277" s="9"/>
      <c r="K277" s="108"/>
      <c r="L277" s="9"/>
      <c r="M277" s="108"/>
      <c r="N277" s="9"/>
    </row>
    <row r="278" spans="9:14" ht="13.95" customHeight="1">
      <c r="I278" s="9"/>
      <c r="J278" s="9"/>
      <c r="K278" s="108"/>
      <c r="L278" s="9"/>
      <c r="M278" s="108"/>
      <c r="N278" s="9"/>
    </row>
    <row r="279" spans="9:14" ht="13.95" customHeight="1">
      <c r="I279" s="9"/>
      <c r="J279" s="9"/>
      <c r="K279" s="108"/>
      <c r="L279" s="9"/>
      <c r="M279" s="108"/>
      <c r="N279" s="9"/>
    </row>
    <row r="280" spans="9:14" ht="22.2" customHeight="1">
      <c r="I280" s="9"/>
      <c r="J280" s="9"/>
      <c r="K280" s="108"/>
      <c r="L280" s="9"/>
      <c r="M280" s="108"/>
      <c r="N280" s="9"/>
    </row>
    <row r="281" spans="9:14">
      <c r="I281" s="9"/>
      <c r="J281" s="9"/>
      <c r="K281" s="108"/>
      <c r="L281" s="9"/>
      <c r="M281" s="108"/>
      <c r="N281" s="9"/>
    </row>
    <row r="282" spans="9:14" ht="13.95" customHeight="1">
      <c r="I282" s="9"/>
      <c r="J282" s="9"/>
      <c r="K282" s="108"/>
      <c r="L282" s="9"/>
      <c r="M282" s="108"/>
      <c r="N282" s="9"/>
    </row>
    <row r="283" spans="9:14" ht="13.95" customHeight="1">
      <c r="I283" s="9"/>
      <c r="J283" s="9"/>
      <c r="K283" s="108"/>
      <c r="L283" s="9"/>
      <c r="M283" s="108"/>
      <c r="N283" s="9"/>
    </row>
    <row r="284" spans="9:14" ht="13.95" customHeight="1">
      <c r="I284" s="9"/>
      <c r="J284" s="9"/>
      <c r="K284" s="108"/>
      <c r="L284" s="9"/>
      <c r="M284" s="108"/>
      <c r="N284" s="9"/>
    </row>
    <row r="285" spans="9:14" ht="20.100000000000001" customHeight="1">
      <c r="I285" s="9"/>
      <c r="J285" s="9"/>
      <c r="K285" s="108"/>
      <c r="L285" s="9"/>
      <c r="M285" s="108"/>
      <c r="N285" s="9"/>
    </row>
    <row r="286" spans="9:14" ht="13.95" customHeight="1">
      <c r="I286" s="9"/>
      <c r="J286" s="9"/>
      <c r="K286" s="108"/>
      <c r="L286" s="9"/>
      <c r="M286" s="108"/>
      <c r="N286" s="9"/>
    </row>
    <row r="287" spans="9:14" ht="13.95" customHeight="1">
      <c r="I287" s="9"/>
      <c r="J287" s="9"/>
      <c r="K287" s="108"/>
      <c r="L287" s="9"/>
      <c r="M287" s="108"/>
      <c r="N287" s="9"/>
    </row>
    <row r="288" spans="9:14" ht="22.2" customHeight="1">
      <c r="I288" s="9"/>
      <c r="J288" s="9"/>
      <c r="K288" s="108"/>
      <c r="L288" s="9"/>
      <c r="M288" s="108"/>
      <c r="N288" s="9"/>
    </row>
    <row r="289" spans="9:14" ht="20.100000000000001" customHeight="1">
      <c r="I289" s="9"/>
      <c r="J289" s="9"/>
      <c r="K289" s="108"/>
      <c r="L289" s="9"/>
      <c r="M289" s="108"/>
      <c r="N289" s="9"/>
    </row>
    <row r="290" spans="9:14" ht="13.95" customHeight="1">
      <c r="I290" s="9"/>
      <c r="J290" s="9"/>
      <c r="K290" s="108"/>
      <c r="L290" s="9"/>
      <c r="M290" s="108"/>
      <c r="N290" s="9"/>
    </row>
    <row r="291" spans="9:14" ht="13.95" customHeight="1">
      <c r="I291" s="9"/>
      <c r="J291" s="9"/>
      <c r="K291" s="108"/>
      <c r="L291" s="9"/>
      <c r="M291" s="108"/>
      <c r="N291" s="9"/>
    </row>
    <row r="292" spans="9:14" ht="13.95" customHeight="1">
      <c r="I292" s="9"/>
      <c r="J292" s="9"/>
      <c r="K292" s="108"/>
      <c r="L292" s="9"/>
      <c r="M292" s="108"/>
      <c r="N292" s="9"/>
    </row>
    <row r="293" spans="9:14" ht="13.95" customHeight="1">
      <c r="I293" s="9"/>
      <c r="J293" s="9"/>
      <c r="K293" s="108"/>
      <c r="L293" s="9"/>
      <c r="M293" s="108"/>
      <c r="N293" s="9"/>
    </row>
    <row r="294" spans="9:14" ht="13.95" customHeight="1">
      <c r="I294" s="9"/>
      <c r="J294" s="9"/>
      <c r="K294" s="108"/>
      <c r="L294" s="9"/>
      <c r="M294" s="108"/>
      <c r="N294" s="9"/>
    </row>
    <row r="295" spans="9:14" ht="13.95" customHeight="1">
      <c r="I295" s="9"/>
      <c r="J295" s="9"/>
      <c r="K295" s="108"/>
      <c r="L295" s="9"/>
      <c r="M295" s="108"/>
      <c r="N295" s="9"/>
    </row>
    <row r="296" spans="9:14" ht="13.95" customHeight="1">
      <c r="I296" s="9"/>
      <c r="J296" s="9"/>
      <c r="K296" s="108"/>
      <c r="L296" s="9"/>
      <c r="M296" s="108"/>
      <c r="N296" s="9"/>
    </row>
    <row r="297" spans="9:14" ht="13.95" customHeight="1">
      <c r="I297" s="9"/>
      <c r="J297" s="9"/>
      <c r="K297" s="108"/>
      <c r="L297" s="9"/>
      <c r="M297" s="108"/>
      <c r="N297" s="9"/>
    </row>
    <row r="298" spans="9:14" ht="13.95" customHeight="1">
      <c r="I298" s="9"/>
      <c r="J298" s="9"/>
      <c r="K298" s="108"/>
      <c r="L298" s="9"/>
      <c r="M298" s="108"/>
      <c r="N298" s="9"/>
    </row>
    <row r="299" spans="9:14" ht="13.95" customHeight="1">
      <c r="I299" s="9"/>
      <c r="J299" s="9"/>
      <c r="K299" s="108"/>
      <c r="L299" s="9"/>
      <c r="M299" s="108"/>
      <c r="N299" s="9"/>
    </row>
    <row r="300" spans="9:14" ht="13.95" customHeight="1">
      <c r="I300" s="9"/>
      <c r="J300" s="9"/>
      <c r="K300" s="108"/>
      <c r="L300" s="9"/>
      <c r="M300" s="108"/>
      <c r="N300" s="9"/>
    </row>
    <row r="301" spans="9:14">
      <c r="I301" s="9"/>
      <c r="J301" s="9"/>
      <c r="K301" s="108"/>
      <c r="L301" s="9"/>
      <c r="M301" s="108"/>
      <c r="N301" s="9"/>
    </row>
    <row r="302" spans="9:14" ht="13.95" customHeight="1">
      <c r="I302" s="9"/>
      <c r="J302" s="9"/>
      <c r="K302" s="108"/>
      <c r="L302" s="9"/>
      <c r="M302" s="108"/>
      <c r="N302" s="9"/>
    </row>
    <row r="303" spans="9:14" ht="13.95" customHeight="1">
      <c r="I303" s="9"/>
      <c r="J303" s="9"/>
      <c r="K303" s="108"/>
      <c r="L303" s="9"/>
      <c r="M303" s="108"/>
      <c r="N303" s="9"/>
    </row>
    <row r="304" spans="9:14" ht="13.95" customHeight="1">
      <c r="I304" s="9"/>
      <c r="J304" s="9"/>
      <c r="K304" s="108"/>
      <c r="L304" s="9"/>
      <c r="M304" s="108"/>
      <c r="N304" s="9"/>
    </row>
    <row r="305" spans="9:15" ht="13.95" customHeight="1">
      <c r="I305" s="9"/>
      <c r="J305" s="9"/>
      <c r="K305" s="108"/>
      <c r="L305" s="9"/>
      <c r="M305" s="108"/>
      <c r="N305" s="9"/>
    </row>
    <row r="306" spans="9:15" ht="13.95" customHeight="1">
      <c r="I306" s="9"/>
      <c r="J306" s="9"/>
      <c r="K306" s="108"/>
      <c r="L306" s="9"/>
      <c r="M306" s="108"/>
      <c r="N306" s="9"/>
    </row>
    <row r="307" spans="9:15" ht="13.95" customHeight="1">
      <c r="I307" s="9"/>
      <c r="J307" s="9"/>
      <c r="K307" s="108"/>
      <c r="L307" s="9"/>
      <c r="M307" s="108"/>
      <c r="N307" s="9"/>
    </row>
    <row r="308" spans="9:15" ht="13.95" customHeight="1">
      <c r="I308" s="9"/>
      <c r="J308" s="9"/>
      <c r="K308" s="108"/>
      <c r="L308" s="103"/>
      <c r="M308" s="108"/>
      <c r="N308" s="9"/>
    </row>
    <row r="309" spans="9:15" ht="13.95" customHeight="1">
      <c r="I309" s="103"/>
      <c r="J309" s="103"/>
      <c r="K309" s="134"/>
      <c r="L309" s="103"/>
      <c r="M309" s="134"/>
      <c r="N309" s="9"/>
    </row>
    <row r="310" spans="9:15" ht="13.95" customHeight="1">
      <c r="I310" s="103"/>
      <c r="J310" s="103"/>
      <c r="K310" s="134"/>
      <c r="L310" s="103"/>
      <c r="M310" s="134"/>
      <c r="N310" s="9"/>
    </row>
    <row r="311" spans="9:15">
      <c r="I311" s="103"/>
      <c r="J311" s="103"/>
      <c r="K311" s="134"/>
      <c r="L311" s="103"/>
      <c r="M311" s="134"/>
      <c r="N311" s="103"/>
      <c r="O311" s="41"/>
    </row>
    <row r="312" spans="9:15" ht="13.95" customHeight="1">
      <c r="I312" s="103"/>
      <c r="J312" s="103"/>
      <c r="K312" s="134"/>
      <c r="L312" s="103"/>
      <c r="M312" s="134"/>
      <c r="N312" s="103"/>
      <c r="O312" s="41"/>
    </row>
    <row r="313" spans="9:15">
      <c r="I313" s="103"/>
      <c r="J313" s="103"/>
      <c r="K313" s="134"/>
      <c r="L313" s="103"/>
      <c r="M313" s="134"/>
      <c r="N313" s="103"/>
      <c r="O313" s="41"/>
    </row>
    <row r="314" spans="9:15" ht="13.95" customHeight="1">
      <c r="I314" s="103"/>
      <c r="J314" s="103"/>
      <c r="K314" s="134"/>
      <c r="L314" s="103"/>
      <c r="M314" s="134"/>
      <c r="N314" s="103"/>
      <c r="O314" s="41"/>
    </row>
    <row r="315" spans="9:15" ht="13.95" customHeight="1">
      <c r="I315" s="103"/>
      <c r="J315" s="103"/>
      <c r="K315" s="134"/>
      <c r="L315" s="103"/>
      <c r="M315" s="134"/>
      <c r="N315" s="103"/>
      <c r="O315" s="41"/>
    </row>
    <row r="316" spans="9:15" ht="13.95" customHeight="1">
      <c r="I316" s="103"/>
      <c r="J316" s="103"/>
      <c r="K316" s="134"/>
      <c r="L316" s="103"/>
      <c r="M316" s="134"/>
      <c r="N316" s="103"/>
      <c r="O316" s="41"/>
    </row>
    <row r="317" spans="9:15" ht="13.95" customHeight="1">
      <c r="I317" s="103"/>
      <c r="J317" s="103"/>
      <c r="K317" s="134"/>
      <c r="L317" s="103"/>
      <c r="M317" s="134"/>
      <c r="N317" s="103"/>
      <c r="O317" s="41"/>
    </row>
    <row r="318" spans="9:15" ht="13.95" customHeight="1">
      <c r="I318" s="103"/>
      <c r="J318" s="103"/>
      <c r="K318" s="134"/>
      <c r="L318" s="103"/>
      <c r="M318" s="134"/>
      <c r="N318" s="103"/>
      <c r="O318" s="41"/>
    </row>
    <row r="319" spans="9:15" ht="13.95" customHeight="1">
      <c r="I319" s="103"/>
      <c r="J319" s="103"/>
      <c r="K319" s="134"/>
      <c r="L319" s="103"/>
      <c r="M319" s="134"/>
      <c r="N319" s="103"/>
      <c r="O319" s="41"/>
    </row>
    <row r="320" spans="9:15" ht="13.95" customHeight="1">
      <c r="I320" s="103"/>
      <c r="J320" s="103"/>
      <c r="K320" s="103"/>
      <c r="L320" s="103"/>
      <c r="M320" s="134"/>
      <c r="N320" s="103"/>
      <c r="O320" s="41"/>
    </row>
    <row r="321" spans="9:15" ht="13.95" customHeight="1">
      <c r="I321" s="103"/>
      <c r="J321" s="103"/>
      <c r="K321" s="103"/>
      <c r="L321" s="103"/>
      <c r="M321" s="134"/>
      <c r="N321" s="103"/>
      <c r="O321" s="41"/>
    </row>
    <row r="322" spans="9:15" ht="13.95" customHeight="1">
      <c r="I322" s="103"/>
      <c r="J322" s="103"/>
      <c r="K322" s="103"/>
      <c r="L322" s="103"/>
      <c r="M322" s="134"/>
      <c r="N322" s="103"/>
      <c r="O322" s="41"/>
    </row>
    <row r="323" spans="9:15" ht="13.95" customHeight="1">
      <c r="I323" s="103"/>
      <c r="J323" s="103"/>
      <c r="K323" s="103"/>
      <c r="L323" s="103"/>
      <c r="M323" s="134"/>
      <c r="N323" s="103"/>
      <c r="O323" s="41"/>
    </row>
    <row r="324" spans="9:15" ht="13.95" customHeight="1">
      <c r="I324" s="103"/>
      <c r="J324" s="103"/>
      <c r="K324" s="103"/>
      <c r="L324" s="103"/>
      <c r="M324" s="134"/>
      <c r="N324" s="103"/>
      <c r="O324" s="41"/>
    </row>
    <row r="325" spans="9:15" ht="13.95" customHeight="1">
      <c r="I325" s="103"/>
      <c r="J325" s="103"/>
      <c r="K325" s="103"/>
      <c r="L325" s="103"/>
      <c r="M325" s="134"/>
      <c r="N325" s="103"/>
      <c r="O325" s="41"/>
    </row>
    <row r="326" spans="9:15" ht="13.95" customHeight="1">
      <c r="I326" s="103"/>
      <c r="J326" s="103"/>
      <c r="K326" s="103"/>
      <c r="L326" s="103"/>
      <c r="M326" s="134"/>
      <c r="N326" s="103"/>
      <c r="O326" s="41"/>
    </row>
    <row r="327" spans="9:15" ht="13.95" customHeight="1">
      <c r="I327" s="103"/>
      <c r="J327" s="103"/>
      <c r="K327" s="103"/>
      <c r="L327" s="103"/>
      <c r="M327" s="134"/>
      <c r="N327" s="103"/>
      <c r="O327" s="41"/>
    </row>
    <row r="328" spans="9:15" ht="13.95" customHeight="1">
      <c r="I328" s="103"/>
      <c r="J328" s="103"/>
      <c r="K328" s="103"/>
      <c r="L328" s="103"/>
      <c r="M328" s="134"/>
      <c r="N328" s="103"/>
      <c r="O328" s="41"/>
    </row>
    <row r="329" spans="9:15" ht="13.95" customHeight="1">
      <c r="I329" s="103"/>
      <c r="J329" s="103"/>
      <c r="K329" s="103"/>
      <c r="L329" s="103"/>
      <c r="M329" s="134"/>
      <c r="N329" s="103"/>
      <c r="O329" s="41"/>
    </row>
    <row r="330" spans="9:15" ht="13.95" customHeight="1">
      <c r="I330" s="103"/>
      <c r="J330" s="103"/>
      <c r="K330" s="103"/>
      <c r="L330" s="103"/>
      <c r="M330" s="134"/>
      <c r="N330" s="103"/>
      <c r="O330" s="41"/>
    </row>
    <row r="331" spans="9:15" ht="13.95" customHeight="1">
      <c r="I331" s="105"/>
      <c r="J331" s="105"/>
      <c r="K331" s="105"/>
      <c r="L331" s="105"/>
      <c r="M331" s="135"/>
      <c r="N331" s="53"/>
      <c r="O331" s="41"/>
    </row>
    <row r="335" spans="9:15" ht="20.399999999999999" customHeight="1"/>
  </sheetData>
  <mergeCells count="1">
    <mergeCell ref="A50:F50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D07A1-5D99-4D1A-A358-5EB2402B20A8}">
  <dimension ref="A1:O335"/>
  <sheetViews>
    <sheetView showGridLines="0" view="pageBreakPreview" topLeftCell="A2" zoomScaleNormal="100" zoomScaleSheetLayoutView="100" workbookViewId="0">
      <selection activeCell="I2" sqref="I1:O1048576"/>
    </sheetView>
  </sheetViews>
  <sheetFormatPr defaultColWidth="13.109375" defaultRowHeight="12"/>
  <cols>
    <col min="1" max="1" width="4.88671875" style="22" customWidth="1"/>
    <col min="2" max="2" width="8.33203125" style="20" customWidth="1"/>
    <col min="3" max="3" width="40.6640625" style="21" customWidth="1"/>
    <col min="4" max="4" width="5.109375" style="22" customWidth="1"/>
    <col min="5" max="5" width="7.6640625" style="22" customWidth="1"/>
    <col min="6" max="6" width="8.6640625" style="23" customWidth="1"/>
    <col min="7" max="7" width="11.6640625" style="24" customWidth="1"/>
    <col min="8" max="8" width="4.33203125" style="6" customWidth="1"/>
    <col min="9" max="9" width="11.33203125" style="22" hidden="1" customWidth="1"/>
    <col min="10" max="10" width="11.109375" style="22" hidden="1" customWidth="1"/>
    <col min="11" max="11" width="10.88671875" style="22" hidden="1" customWidth="1"/>
    <col min="12" max="12" width="11.6640625" style="22" hidden="1" customWidth="1"/>
    <col min="13" max="13" width="13.109375" style="106" hidden="1" customWidth="1"/>
    <col min="14" max="14" width="0" style="22" hidden="1" customWidth="1"/>
    <col min="15" max="15" width="0" style="6" hidden="1" customWidth="1"/>
    <col min="16" max="16384" width="13.109375" style="6"/>
  </cols>
  <sheetData>
    <row r="1" spans="1:14" ht="20.399999999999999" hidden="1" customHeight="1">
      <c r="A1" s="19" t="s">
        <v>80</v>
      </c>
    </row>
    <row r="2" spans="1:14" ht="15" customHeight="1">
      <c r="A2" s="142" t="str">
        <f>Summary!A2</f>
        <v>NAFASI WATER - ARNOT WASTE TREATMENT PLANT</v>
      </c>
      <c r="G2" s="25" t="str">
        <f>Summary!C2</f>
        <v>Revision T1</v>
      </c>
    </row>
    <row r="3" spans="1:14" ht="15" customHeight="1">
      <c r="A3" s="19" t="str">
        <f>Summary!A3</f>
        <v>PILING AND CIVIL WORK</v>
      </c>
      <c r="G3" s="26"/>
    </row>
    <row r="4" spans="1:14" ht="15" customHeight="1">
      <c r="A4" s="19" t="s">
        <v>315</v>
      </c>
      <c r="G4" s="143">
        <f>Summary!C4</f>
        <v>45183</v>
      </c>
    </row>
    <row r="5" spans="1:14" ht="15" customHeight="1">
      <c r="A5" s="27"/>
      <c r="B5" s="28"/>
      <c r="C5" s="28"/>
      <c r="E5" s="29"/>
      <c r="G5" s="30"/>
    </row>
    <row r="6" spans="1:14" s="42" customFormat="1" ht="37.200000000000003" customHeight="1">
      <c r="A6" s="44" t="s">
        <v>8</v>
      </c>
      <c r="B6" s="48" t="s">
        <v>9</v>
      </c>
      <c r="C6" s="44" t="s">
        <v>10</v>
      </c>
      <c r="D6" s="48" t="s">
        <v>11</v>
      </c>
      <c r="E6" s="48" t="s">
        <v>59</v>
      </c>
      <c r="F6" s="49" t="s">
        <v>12</v>
      </c>
      <c r="G6" s="49" t="s">
        <v>13</v>
      </c>
      <c r="I6" s="100"/>
      <c r="J6" s="100"/>
      <c r="K6" s="100"/>
      <c r="L6" s="100"/>
      <c r="M6" s="100"/>
      <c r="N6" s="48"/>
    </row>
    <row r="7" spans="1:14" s="42" customFormat="1" ht="4.95" customHeight="1">
      <c r="A7" s="2"/>
      <c r="B7" s="40"/>
      <c r="C7" s="50"/>
      <c r="D7" s="40"/>
      <c r="E7" s="40"/>
      <c r="F7" s="54"/>
      <c r="G7" s="54"/>
      <c r="I7" s="40"/>
      <c r="J7" s="40"/>
      <c r="K7" s="107"/>
      <c r="L7" s="40"/>
      <c r="M7" s="107"/>
      <c r="N7" s="109"/>
    </row>
    <row r="8" spans="1:14" ht="19.2" customHeight="1">
      <c r="A8" s="1"/>
      <c r="B8" s="2"/>
      <c r="C8" s="11" t="s">
        <v>314</v>
      </c>
      <c r="D8" s="1"/>
      <c r="E8" s="1"/>
      <c r="F8" s="4"/>
      <c r="G8" s="5"/>
      <c r="I8" s="9"/>
      <c r="J8" s="9"/>
      <c r="K8" s="108"/>
      <c r="L8" s="9"/>
      <c r="M8" s="108"/>
      <c r="N8" s="9"/>
    </row>
    <row r="9" spans="1:14" ht="10.95" customHeight="1">
      <c r="A9" s="1"/>
      <c r="B9" s="2"/>
      <c r="C9" s="11"/>
      <c r="D9" s="1"/>
      <c r="E9" s="1"/>
      <c r="F9" s="4"/>
      <c r="G9" s="5"/>
      <c r="I9" s="9"/>
      <c r="J9" s="9"/>
      <c r="K9" s="108"/>
      <c r="L9" s="9"/>
      <c r="M9" s="108"/>
      <c r="N9" s="9"/>
    </row>
    <row r="10" spans="1:14">
      <c r="A10" s="1">
        <v>1</v>
      </c>
      <c r="B10" s="1"/>
      <c r="C10" s="32" t="s">
        <v>310</v>
      </c>
      <c r="D10" s="9" t="s">
        <v>60</v>
      </c>
      <c r="E10" s="3">
        <v>141</v>
      </c>
      <c r="F10" s="4">
        <v>10000</v>
      </c>
      <c r="G10" s="5">
        <f t="shared" ref="G10" si="0">+E10*F10</f>
        <v>1410000</v>
      </c>
      <c r="I10" s="9"/>
      <c r="J10" s="9"/>
      <c r="K10" s="108"/>
      <c r="L10" s="9"/>
      <c r="M10" s="108"/>
      <c r="N10" s="9"/>
    </row>
    <row r="11" spans="1:14" ht="24">
      <c r="A11" s="1"/>
      <c r="B11" s="1"/>
      <c r="C11" s="33" t="s">
        <v>309</v>
      </c>
      <c r="D11" s="1"/>
      <c r="E11" s="3" t="str">
        <f>IF(SUM(H11:M11)&gt;0,SUM(H11:M11),"")</f>
        <v/>
      </c>
      <c r="F11" s="4"/>
      <c r="G11" s="5"/>
      <c r="I11" s="9"/>
      <c r="J11" s="9"/>
      <c r="K11" s="108"/>
      <c r="L11" s="9"/>
      <c r="M11" s="108"/>
      <c r="N11" s="9"/>
    </row>
    <row r="12" spans="1:14" ht="13.95" customHeight="1">
      <c r="A12" s="16"/>
      <c r="B12" s="76"/>
      <c r="C12" s="74"/>
      <c r="D12" s="93"/>
      <c r="E12" s="94"/>
      <c r="F12" s="14"/>
      <c r="G12" s="15"/>
      <c r="I12" s="9"/>
      <c r="J12" s="9"/>
      <c r="K12" s="108"/>
      <c r="L12" s="9"/>
      <c r="M12" s="108"/>
      <c r="N12" s="9"/>
    </row>
    <row r="13" spans="1:14" ht="13.95" customHeight="1">
      <c r="A13" s="16"/>
      <c r="B13" s="12"/>
      <c r="C13" s="75"/>
      <c r="D13" s="93"/>
      <c r="E13" s="94"/>
      <c r="F13" s="14"/>
      <c r="G13" s="15"/>
      <c r="I13" s="9"/>
      <c r="J13" s="9"/>
      <c r="K13" s="108"/>
      <c r="L13" s="9"/>
      <c r="M13" s="108"/>
      <c r="N13" s="9"/>
    </row>
    <row r="14" spans="1:14">
      <c r="A14" s="16"/>
      <c r="B14" s="12"/>
      <c r="C14" s="70"/>
      <c r="D14" s="12"/>
      <c r="E14" s="94"/>
      <c r="F14" s="14"/>
      <c r="G14" s="15"/>
      <c r="I14" s="137"/>
      <c r="J14" s="137"/>
      <c r="K14" s="137"/>
      <c r="L14" s="137"/>
      <c r="M14" s="137"/>
      <c r="N14" s="137"/>
    </row>
    <row r="15" spans="1:14" ht="13.95" customHeight="1">
      <c r="A15" s="16"/>
      <c r="B15" s="73"/>
      <c r="C15" s="62"/>
      <c r="D15" s="12"/>
      <c r="E15" s="94"/>
      <c r="F15" s="14"/>
      <c r="G15" s="15"/>
      <c r="I15" s="13"/>
      <c r="J15" s="13"/>
      <c r="K15" s="13"/>
      <c r="L15" s="13"/>
      <c r="M15" s="13"/>
      <c r="N15" s="13"/>
    </row>
    <row r="16" spans="1:14" ht="13.95" customHeight="1">
      <c r="A16" s="16"/>
      <c r="B16" s="73"/>
      <c r="C16" s="75"/>
      <c r="D16" s="12"/>
      <c r="E16" s="3"/>
      <c r="F16" s="13"/>
      <c r="G16" s="15"/>
      <c r="I16" s="13"/>
      <c r="J16" s="13"/>
      <c r="K16" s="13"/>
      <c r="L16" s="13"/>
      <c r="M16" s="13"/>
      <c r="N16" s="13"/>
    </row>
    <row r="17" spans="1:14">
      <c r="A17" s="16"/>
      <c r="B17" s="73"/>
      <c r="C17" s="62"/>
      <c r="D17" s="12"/>
      <c r="E17" s="94"/>
      <c r="F17" s="14"/>
      <c r="G17" s="15"/>
      <c r="I17" s="13"/>
      <c r="J17" s="13"/>
      <c r="K17" s="13"/>
      <c r="L17" s="13"/>
      <c r="M17" s="13"/>
      <c r="N17" s="13"/>
    </row>
    <row r="18" spans="1:14" ht="10.95" customHeight="1">
      <c r="A18" s="16"/>
      <c r="B18" s="12"/>
      <c r="C18" s="70"/>
      <c r="D18" s="12"/>
      <c r="E18" s="94"/>
      <c r="F18" s="14"/>
      <c r="G18" s="15"/>
      <c r="I18" s="13"/>
      <c r="J18" s="13"/>
      <c r="K18" s="13"/>
      <c r="L18" s="13"/>
      <c r="M18" s="13"/>
      <c r="N18" s="13"/>
    </row>
    <row r="19" spans="1:14" ht="13.2" customHeight="1">
      <c r="A19" s="16"/>
      <c r="B19" s="73"/>
      <c r="C19" s="62"/>
      <c r="D19" s="12"/>
      <c r="E19" s="94"/>
      <c r="F19" s="14"/>
      <c r="G19" s="15"/>
      <c r="I19" s="138"/>
      <c r="J19" s="138"/>
      <c r="K19" s="138"/>
      <c r="L19" s="138"/>
      <c r="M19" s="138"/>
      <c r="N19" s="138"/>
    </row>
    <row r="20" spans="1:14" ht="13.2" customHeight="1">
      <c r="A20" s="16"/>
      <c r="B20" s="73"/>
      <c r="C20" s="75"/>
      <c r="D20" s="12"/>
      <c r="E20" s="3"/>
      <c r="F20" s="14"/>
      <c r="G20" s="15"/>
      <c r="I20" s="138"/>
      <c r="J20" s="138"/>
      <c r="K20" s="138"/>
      <c r="L20" s="138"/>
      <c r="M20" s="138"/>
      <c r="N20" s="138"/>
    </row>
    <row r="21" spans="1:14" ht="13.2" customHeight="1">
      <c r="A21" s="16"/>
      <c r="B21" s="12"/>
      <c r="C21" s="75"/>
      <c r="D21" s="93"/>
      <c r="E21" s="94"/>
      <c r="F21" s="14"/>
      <c r="G21" s="15"/>
      <c r="I21" s="138"/>
      <c r="J21" s="138"/>
      <c r="K21" s="138"/>
      <c r="L21" s="138"/>
      <c r="M21" s="138"/>
      <c r="N21" s="138"/>
    </row>
    <row r="22" spans="1:14" ht="13.2" customHeight="1">
      <c r="A22" s="16"/>
      <c r="B22" s="76"/>
      <c r="C22" s="46"/>
      <c r="D22" s="12"/>
      <c r="E22" s="12"/>
      <c r="F22" s="145"/>
      <c r="G22" s="15"/>
      <c r="I22" s="138"/>
      <c r="J22" s="138"/>
      <c r="K22" s="138"/>
      <c r="L22" s="138"/>
      <c r="M22" s="138"/>
      <c r="N22" s="138"/>
    </row>
    <row r="23" spans="1:14" ht="13.2" customHeight="1">
      <c r="A23" s="16"/>
      <c r="B23" s="76"/>
      <c r="C23" s="75"/>
      <c r="D23" s="12"/>
      <c r="E23" s="12"/>
      <c r="F23" s="145"/>
      <c r="G23" s="15"/>
      <c r="I23" s="138"/>
      <c r="J23" s="138"/>
      <c r="K23" s="138"/>
      <c r="L23" s="138"/>
      <c r="M23" s="138"/>
      <c r="N23" s="138"/>
    </row>
    <row r="24" spans="1:14" ht="13.2" customHeight="1">
      <c r="A24" s="16"/>
      <c r="B24" s="76"/>
      <c r="C24" s="75"/>
      <c r="D24" s="12"/>
      <c r="E24" s="12"/>
      <c r="F24" s="145"/>
      <c r="G24" s="15"/>
      <c r="I24" s="138"/>
      <c r="J24" s="138"/>
      <c r="K24" s="138"/>
      <c r="L24" s="138"/>
      <c r="M24" s="138"/>
      <c r="N24" s="138"/>
    </row>
    <row r="25" spans="1:14" ht="13.2" customHeight="1">
      <c r="A25" s="16"/>
      <c r="B25" s="76"/>
      <c r="C25" s="75"/>
      <c r="D25" s="12"/>
      <c r="E25" s="12"/>
      <c r="F25" s="145"/>
      <c r="G25" s="15"/>
      <c r="I25" s="138"/>
      <c r="J25" s="138"/>
      <c r="K25" s="138"/>
      <c r="L25" s="138"/>
      <c r="M25" s="138"/>
      <c r="N25" s="138"/>
    </row>
    <row r="26" spans="1:14" ht="13.2" customHeight="1">
      <c r="A26" s="16"/>
      <c r="B26" s="76"/>
      <c r="C26" s="75"/>
      <c r="D26" s="12"/>
      <c r="E26" s="3"/>
      <c r="F26" s="94"/>
      <c r="G26" s="15"/>
      <c r="I26" s="138"/>
      <c r="J26" s="138"/>
      <c r="K26" s="138"/>
      <c r="L26" s="138"/>
      <c r="M26" s="138"/>
      <c r="N26" s="138"/>
    </row>
    <row r="27" spans="1:14" ht="12.6" customHeight="1">
      <c r="A27" s="16"/>
      <c r="B27" s="12"/>
      <c r="C27" s="75"/>
      <c r="D27" s="93"/>
      <c r="E27" s="94"/>
      <c r="F27" s="14"/>
      <c r="G27" s="15"/>
      <c r="I27" s="138"/>
      <c r="J27" s="138"/>
      <c r="K27" s="138"/>
      <c r="L27" s="138"/>
      <c r="M27" s="138"/>
      <c r="N27" s="138"/>
    </row>
    <row r="28" spans="1:14" ht="12.6" customHeight="1">
      <c r="A28" s="16"/>
      <c r="B28" s="12"/>
      <c r="C28" s="74"/>
      <c r="D28" s="12"/>
      <c r="E28" s="94"/>
      <c r="F28" s="14"/>
      <c r="G28" s="15"/>
      <c r="I28" s="138"/>
      <c r="J28" s="138"/>
      <c r="K28" s="138"/>
      <c r="L28" s="138"/>
      <c r="M28" s="138"/>
      <c r="N28" s="138"/>
    </row>
    <row r="29" spans="1:14" ht="12.6" customHeight="1">
      <c r="A29" s="16"/>
      <c r="B29" s="12"/>
      <c r="C29" s="75"/>
      <c r="D29" s="93"/>
      <c r="E29" s="3"/>
      <c r="F29" s="13"/>
      <c r="G29" s="15"/>
      <c r="I29" s="139"/>
      <c r="J29" s="139"/>
      <c r="K29" s="139"/>
      <c r="L29" s="139"/>
      <c r="M29" s="139"/>
      <c r="N29" s="139"/>
    </row>
    <row r="30" spans="1:14" ht="12.6" customHeight="1">
      <c r="A30" s="16"/>
      <c r="B30" s="12"/>
      <c r="C30" s="75"/>
      <c r="D30" s="93"/>
      <c r="E30" s="3"/>
      <c r="F30" s="13"/>
      <c r="G30" s="15"/>
      <c r="I30" s="138"/>
      <c r="J30" s="138"/>
      <c r="K30" s="138"/>
      <c r="L30" s="138"/>
      <c r="M30" s="138"/>
      <c r="N30" s="138"/>
    </row>
    <row r="31" spans="1:14" ht="12.6" customHeight="1">
      <c r="A31" s="16"/>
      <c r="B31" s="12"/>
      <c r="C31" s="75"/>
      <c r="D31" s="93"/>
      <c r="E31" s="3"/>
      <c r="F31" s="13"/>
      <c r="G31" s="15"/>
      <c r="I31" s="139"/>
      <c r="J31" s="139"/>
      <c r="K31" s="139"/>
      <c r="L31" s="139"/>
      <c r="M31" s="139"/>
      <c r="N31" s="139"/>
    </row>
    <row r="32" spans="1:14" ht="12.6" customHeight="1">
      <c r="A32" s="16"/>
      <c r="B32" s="12"/>
      <c r="C32" s="75"/>
      <c r="D32" s="93"/>
      <c r="E32" s="3"/>
      <c r="F32" s="13"/>
      <c r="G32" s="15"/>
      <c r="I32" s="138"/>
      <c r="J32" s="138"/>
      <c r="K32" s="138"/>
      <c r="L32" s="138"/>
      <c r="M32" s="138"/>
      <c r="N32" s="138"/>
    </row>
    <row r="33" spans="1:14" ht="12.6" customHeight="1">
      <c r="A33" s="16"/>
      <c r="B33" s="12"/>
      <c r="C33" s="75"/>
      <c r="D33" s="93"/>
      <c r="E33" s="3"/>
      <c r="F33" s="13"/>
      <c r="G33" s="15"/>
      <c r="I33" s="138"/>
      <c r="J33" s="138"/>
      <c r="K33" s="138"/>
      <c r="L33" s="138"/>
      <c r="M33" s="138"/>
      <c r="N33" s="138"/>
    </row>
    <row r="34" spans="1:14" ht="13.2" customHeight="1">
      <c r="A34" s="16"/>
      <c r="B34" s="12"/>
      <c r="C34" s="75"/>
      <c r="D34" s="93"/>
      <c r="E34" s="3"/>
      <c r="F34" s="13"/>
      <c r="G34" s="15"/>
      <c r="I34" s="138"/>
      <c r="J34" s="138"/>
      <c r="K34" s="138"/>
      <c r="L34" s="138"/>
      <c r="M34" s="138"/>
      <c r="N34" s="138"/>
    </row>
    <row r="35" spans="1:14" ht="13.2" customHeight="1">
      <c r="A35" s="16"/>
      <c r="B35" s="12"/>
      <c r="C35" s="75"/>
      <c r="D35" s="93"/>
      <c r="E35" s="3"/>
      <c r="F35" s="13"/>
      <c r="G35" s="15"/>
      <c r="I35" s="138"/>
      <c r="J35" s="138"/>
      <c r="K35" s="138"/>
      <c r="L35" s="138"/>
      <c r="M35" s="138"/>
      <c r="N35" s="138"/>
    </row>
    <row r="36" spans="1:14" ht="13.2" customHeight="1">
      <c r="A36" s="16"/>
      <c r="B36" s="12"/>
      <c r="C36" s="75"/>
      <c r="D36" s="93"/>
      <c r="E36" s="3"/>
      <c r="F36" s="13"/>
      <c r="G36" s="15"/>
      <c r="I36" s="138"/>
      <c r="J36" s="138"/>
      <c r="K36" s="138"/>
      <c r="L36" s="138"/>
      <c r="M36" s="138"/>
      <c r="N36" s="138"/>
    </row>
    <row r="37" spans="1:14" ht="13.2" customHeight="1">
      <c r="A37" s="16"/>
      <c r="B37" s="12"/>
      <c r="C37" s="75"/>
      <c r="D37" s="93"/>
      <c r="E37" s="3"/>
      <c r="F37" s="13"/>
      <c r="G37" s="15"/>
      <c r="I37" s="139"/>
      <c r="J37" s="139"/>
      <c r="K37" s="139"/>
      <c r="L37" s="139"/>
      <c r="M37" s="139"/>
      <c r="N37" s="139"/>
    </row>
    <row r="38" spans="1:14" ht="13.2" customHeight="1">
      <c r="A38" s="16"/>
      <c r="B38" s="12"/>
      <c r="C38" s="75"/>
      <c r="D38" s="93"/>
      <c r="E38" s="3"/>
      <c r="F38" s="13"/>
      <c r="G38" s="15"/>
      <c r="I38" s="138"/>
      <c r="J38" s="138"/>
      <c r="K38" s="138"/>
      <c r="L38" s="138"/>
      <c r="M38" s="138"/>
      <c r="N38" s="138"/>
    </row>
    <row r="39" spans="1:14" ht="13.2" customHeight="1">
      <c r="A39" s="16"/>
      <c r="B39" s="12"/>
      <c r="C39" s="75"/>
      <c r="D39" s="93"/>
      <c r="E39" s="3"/>
      <c r="F39" s="13"/>
      <c r="G39" s="15"/>
      <c r="I39" s="138"/>
      <c r="J39" s="138"/>
      <c r="K39" s="138"/>
      <c r="L39" s="138"/>
      <c r="M39" s="138"/>
      <c r="N39" s="138"/>
    </row>
    <row r="40" spans="1:14" ht="13.2" customHeight="1">
      <c r="A40" s="16"/>
      <c r="B40" s="12"/>
      <c r="C40" s="75"/>
      <c r="D40" s="93"/>
      <c r="E40" s="3"/>
      <c r="F40" s="13"/>
      <c r="G40" s="15"/>
      <c r="I40" s="138"/>
      <c r="J40" s="138"/>
      <c r="K40" s="138"/>
      <c r="L40" s="138"/>
      <c r="M40" s="138"/>
      <c r="N40" s="138"/>
    </row>
    <row r="41" spans="1:14" ht="13.2" customHeight="1">
      <c r="A41" s="16"/>
      <c r="B41" s="12"/>
      <c r="C41" s="75"/>
      <c r="D41" s="93"/>
      <c r="E41" s="3"/>
      <c r="F41" s="13"/>
      <c r="G41" s="15"/>
      <c r="I41" s="138"/>
      <c r="J41" s="138"/>
      <c r="K41" s="138"/>
      <c r="L41" s="138"/>
      <c r="M41" s="138"/>
      <c r="N41" s="138"/>
    </row>
    <row r="42" spans="1:14" ht="13.2" customHeight="1">
      <c r="A42" s="16"/>
      <c r="B42" s="12"/>
      <c r="C42" s="75"/>
      <c r="D42" s="93"/>
      <c r="E42" s="3"/>
      <c r="F42" s="13"/>
      <c r="G42" s="15"/>
      <c r="I42" s="1"/>
      <c r="J42" s="1"/>
      <c r="K42" s="108"/>
      <c r="L42" s="1"/>
      <c r="M42" s="108"/>
      <c r="N42" s="9"/>
    </row>
    <row r="43" spans="1:14">
      <c r="A43" s="16"/>
      <c r="B43" s="12"/>
      <c r="C43" s="75"/>
      <c r="D43" s="93"/>
      <c r="E43" s="3"/>
      <c r="F43" s="13"/>
      <c r="G43" s="15"/>
      <c r="I43" s="3"/>
      <c r="J43" s="3"/>
      <c r="K43" s="108"/>
      <c r="L43" s="3"/>
      <c r="M43" s="108"/>
      <c r="N43" s="9"/>
    </row>
    <row r="44" spans="1:14" ht="13.95" customHeight="1">
      <c r="A44" s="16"/>
      <c r="B44" s="12"/>
      <c r="C44" s="75"/>
      <c r="D44" s="93"/>
      <c r="E44" s="3"/>
      <c r="F44" s="13"/>
      <c r="G44" s="15"/>
      <c r="I44" s="3"/>
      <c r="J44" s="3"/>
      <c r="K44" s="108"/>
      <c r="L44" s="3"/>
      <c r="M44" s="108"/>
      <c r="N44" s="9"/>
    </row>
    <row r="45" spans="1:14" ht="50.4" customHeight="1">
      <c r="A45" s="16"/>
      <c r="B45" s="12"/>
      <c r="C45" s="75"/>
      <c r="D45" s="93"/>
      <c r="E45" s="3"/>
      <c r="F45" s="13"/>
      <c r="G45" s="15"/>
      <c r="I45" s="9"/>
      <c r="J45" s="9"/>
      <c r="K45" s="108"/>
      <c r="L45" s="9"/>
      <c r="M45" s="108"/>
      <c r="N45" s="9"/>
    </row>
    <row r="46" spans="1:14">
      <c r="A46" s="16"/>
      <c r="B46" s="16"/>
      <c r="C46" s="47"/>
      <c r="D46" s="58"/>
      <c r="E46" s="13"/>
      <c r="F46" s="14"/>
      <c r="G46" s="15"/>
      <c r="I46" s="9"/>
      <c r="J46" s="9"/>
      <c r="K46" s="108"/>
      <c r="L46" s="9"/>
      <c r="M46" s="108"/>
      <c r="N46" s="9"/>
    </row>
    <row r="47" spans="1:14" ht="13.95" customHeight="1">
      <c r="A47" s="16"/>
      <c r="B47" s="16"/>
      <c r="C47" s="47"/>
      <c r="D47" s="58"/>
      <c r="E47" s="13"/>
      <c r="F47" s="14"/>
      <c r="G47" s="15"/>
      <c r="I47" s="9"/>
      <c r="J47" s="9"/>
      <c r="K47" s="108"/>
      <c r="L47" s="9"/>
      <c r="M47" s="108"/>
      <c r="N47" s="9"/>
    </row>
    <row r="48" spans="1:14" ht="20.100000000000001" customHeight="1">
      <c r="A48" s="16"/>
      <c r="B48" s="16"/>
      <c r="C48" s="47"/>
      <c r="D48" s="58"/>
      <c r="E48" s="13"/>
      <c r="F48" s="14"/>
      <c r="G48" s="15"/>
      <c r="I48" s="9"/>
      <c r="J48" s="9"/>
      <c r="K48" s="108"/>
      <c r="L48" s="9"/>
      <c r="M48" s="108"/>
      <c r="N48" s="9"/>
    </row>
    <row r="49" spans="1:14">
      <c r="A49" s="16"/>
      <c r="B49" s="16"/>
      <c r="C49" s="47"/>
      <c r="D49" s="58"/>
      <c r="E49" s="13"/>
      <c r="F49" s="14"/>
      <c r="G49" s="15"/>
      <c r="I49" s="9"/>
      <c r="J49" s="9"/>
      <c r="K49" s="108"/>
      <c r="L49" s="9"/>
      <c r="M49" s="108"/>
      <c r="N49" s="9"/>
    </row>
    <row r="50" spans="1:14" ht="13.95" customHeight="1">
      <c r="A50" s="156" t="s">
        <v>161</v>
      </c>
      <c r="B50" s="157"/>
      <c r="C50" s="157"/>
      <c r="D50" s="157"/>
      <c r="E50" s="157"/>
      <c r="F50" s="158"/>
      <c r="G50" s="78">
        <f>G10</f>
        <v>1410000</v>
      </c>
      <c r="I50" s="9"/>
      <c r="J50" s="9"/>
      <c r="K50" s="108"/>
      <c r="L50" s="9"/>
      <c r="M50" s="108"/>
      <c r="N50" s="9"/>
    </row>
    <row r="51" spans="1:14" ht="24" customHeight="1">
      <c r="I51" s="9"/>
      <c r="J51" s="9"/>
      <c r="K51" s="108"/>
      <c r="L51" s="9"/>
      <c r="M51" s="108"/>
      <c r="N51" s="9"/>
    </row>
    <row r="52" spans="1:14" ht="20.100000000000001" customHeight="1">
      <c r="I52" s="9"/>
      <c r="J52" s="9"/>
      <c r="K52" s="108"/>
      <c r="L52" s="9"/>
      <c r="M52" s="108"/>
      <c r="N52" s="9"/>
    </row>
    <row r="53" spans="1:14" ht="9" customHeight="1">
      <c r="I53" s="3"/>
      <c r="J53" s="3"/>
      <c r="K53" s="108"/>
      <c r="L53" s="3"/>
      <c r="M53" s="108"/>
      <c r="N53" s="9"/>
    </row>
    <row r="54" spans="1:14" ht="13.95" customHeight="1">
      <c r="I54" s="3"/>
      <c r="J54" s="3"/>
      <c r="K54" s="108"/>
      <c r="L54" s="3"/>
      <c r="M54" s="108"/>
      <c r="N54" s="9"/>
    </row>
    <row r="55" spans="1:14" ht="13.95" customHeight="1">
      <c r="I55" s="3"/>
      <c r="J55" s="3"/>
      <c r="K55" s="108"/>
      <c r="L55" s="3"/>
      <c r="M55" s="108"/>
      <c r="N55" s="9"/>
    </row>
    <row r="56" spans="1:14" ht="13.95" customHeight="1">
      <c r="I56" s="3"/>
      <c r="J56" s="3"/>
      <c r="K56" s="108"/>
      <c r="L56" s="3"/>
      <c r="M56" s="108"/>
      <c r="N56" s="9"/>
    </row>
    <row r="57" spans="1:14" ht="13.95" customHeight="1">
      <c r="I57" s="3"/>
      <c r="J57" s="3"/>
      <c r="K57" s="108"/>
      <c r="L57" s="3"/>
      <c r="M57" s="108"/>
      <c r="N57" s="9"/>
    </row>
    <row r="58" spans="1:14" ht="22.95" customHeight="1">
      <c r="I58" s="3"/>
      <c r="J58" s="3"/>
      <c r="K58" s="108"/>
      <c r="L58" s="3"/>
      <c r="M58" s="108"/>
      <c r="N58" s="9"/>
    </row>
    <row r="59" spans="1:14" ht="13.95" customHeight="1">
      <c r="I59" s="3"/>
      <c r="J59" s="3"/>
      <c r="K59" s="108"/>
      <c r="L59" s="3"/>
      <c r="M59" s="108"/>
      <c r="N59" s="9"/>
    </row>
    <row r="60" spans="1:14" ht="13.95" customHeight="1">
      <c r="I60" s="3"/>
      <c r="J60" s="3"/>
      <c r="K60" s="108"/>
      <c r="L60" s="3"/>
      <c r="M60" s="108"/>
      <c r="N60" s="9"/>
    </row>
    <row r="61" spans="1:14" ht="9.75" customHeight="1">
      <c r="I61" s="3"/>
      <c r="J61" s="3"/>
      <c r="K61" s="108"/>
      <c r="L61" s="3"/>
      <c r="M61" s="108"/>
      <c r="N61" s="9"/>
    </row>
    <row r="62" spans="1:14" ht="13.95" customHeight="1">
      <c r="I62" s="3"/>
      <c r="J62" s="3"/>
      <c r="K62" s="108"/>
      <c r="L62" s="3"/>
      <c r="M62" s="108"/>
      <c r="N62" s="9"/>
    </row>
    <row r="63" spans="1:14" ht="9" customHeight="1">
      <c r="I63" s="3"/>
      <c r="J63" s="3"/>
      <c r="K63" s="108"/>
      <c r="L63" s="3"/>
      <c r="M63" s="108"/>
      <c r="N63" s="9"/>
    </row>
    <row r="64" spans="1:14" ht="28.95" customHeight="1">
      <c r="I64" s="3"/>
      <c r="J64" s="3"/>
      <c r="K64" s="108"/>
      <c r="L64" s="3"/>
      <c r="M64" s="108"/>
      <c r="N64" s="9"/>
    </row>
    <row r="65" spans="9:14" ht="13.95" customHeight="1">
      <c r="I65" s="3"/>
      <c r="J65" s="3"/>
      <c r="K65" s="108"/>
      <c r="L65" s="3"/>
      <c r="M65" s="108"/>
      <c r="N65" s="9"/>
    </row>
    <row r="66" spans="9:14" ht="22.2" customHeight="1">
      <c r="I66" s="3"/>
      <c r="J66" s="3"/>
      <c r="K66" s="108"/>
      <c r="L66" s="3"/>
      <c r="M66" s="108"/>
      <c r="N66" s="9"/>
    </row>
    <row r="67" spans="9:14" ht="13.95" customHeight="1">
      <c r="I67" s="3"/>
      <c r="J67" s="3"/>
      <c r="K67" s="108"/>
      <c r="L67" s="3"/>
      <c r="M67" s="108"/>
      <c r="N67" s="9"/>
    </row>
    <row r="68" spans="9:14" ht="13.95" customHeight="1">
      <c r="I68" s="3"/>
      <c r="J68" s="3"/>
      <c r="K68" s="108"/>
      <c r="L68" s="3"/>
      <c r="M68" s="108"/>
      <c r="N68" s="9"/>
    </row>
    <row r="69" spans="9:14" ht="13.95" customHeight="1">
      <c r="I69" s="3"/>
      <c r="J69" s="3"/>
      <c r="K69" s="108"/>
      <c r="L69" s="3"/>
      <c r="M69" s="108"/>
      <c r="N69" s="9"/>
    </row>
    <row r="70" spans="9:14" ht="23.4" customHeight="1">
      <c r="I70" s="3"/>
      <c r="J70" s="3"/>
      <c r="K70" s="108"/>
      <c r="L70" s="3"/>
      <c r="M70" s="108"/>
      <c r="N70" s="9"/>
    </row>
    <row r="71" spans="9:14" ht="13.95" customHeight="1">
      <c r="I71" s="3"/>
      <c r="J71" s="3"/>
      <c r="K71" s="108"/>
      <c r="L71" s="3"/>
      <c r="M71" s="108"/>
      <c r="N71" s="9"/>
    </row>
    <row r="72" spans="9:14" ht="33.6" customHeight="1">
      <c r="I72" s="3"/>
      <c r="J72" s="3"/>
      <c r="K72" s="108"/>
      <c r="L72" s="3"/>
      <c r="M72" s="108"/>
      <c r="N72" s="9"/>
    </row>
    <row r="73" spans="9:14" ht="13.95" customHeight="1">
      <c r="I73" s="3"/>
      <c r="J73" s="3"/>
      <c r="K73" s="108"/>
      <c r="L73" s="3"/>
      <c r="M73" s="108"/>
      <c r="N73" s="9"/>
    </row>
    <row r="74" spans="9:14" ht="21.6" customHeight="1">
      <c r="I74" s="3"/>
      <c r="J74" s="3"/>
      <c r="K74" s="108"/>
      <c r="L74" s="3"/>
      <c r="M74" s="108"/>
      <c r="N74" s="9"/>
    </row>
    <row r="75" spans="9:14" ht="13.95" customHeight="1">
      <c r="I75" s="3"/>
      <c r="J75" s="3"/>
      <c r="K75" s="108"/>
      <c r="L75" s="3"/>
      <c r="M75" s="108"/>
      <c r="N75" s="9"/>
    </row>
    <row r="76" spans="9:14" ht="13.95" customHeight="1">
      <c r="I76" s="3"/>
      <c r="J76" s="3"/>
      <c r="K76" s="108"/>
      <c r="L76" s="3"/>
      <c r="M76" s="108"/>
      <c r="N76" s="9"/>
    </row>
    <row r="77" spans="9:14" ht="13.95" customHeight="1">
      <c r="I77" s="3"/>
      <c r="J77" s="3"/>
      <c r="K77" s="108"/>
      <c r="L77" s="3"/>
      <c r="M77" s="108"/>
      <c r="N77" s="9"/>
    </row>
    <row r="78" spans="9:14" ht="13.95" customHeight="1">
      <c r="I78" s="3"/>
      <c r="J78" s="3"/>
      <c r="K78" s="108"/>
      <c r="L78" s="3"/>
      <c r="M78" s="108"/>
      <c r="N78" s="9"/>
    </row>
    <row r="79" spans="9:14" ht="13.95" customHeight="1">
      <c r="I79" s="3"/>
      <c r="J79" s="3"/>
      <c r="K79" s="108"/>
      <c r="L79" s="3"/>
      <c r="M79" s="108"/>
      <c r="N79" s="9"/>
    </row>
    <row r="80" spans="9:14" ht="13.95" customHeight="1">
      <c r="I80" s="3"/>
      <c r="J80" s="3"/>
      <c r="K80" s="108"/>
      <c r="L80" s="3"/>
      <c r="M80" s="108"/>
      <c r="N80" s="9"/>
    </row>
    <row r="81" spans="9:14" ht="13.95" customHeight="1">
      <c r="I81" s="3"/>
      <c r="J81" s="3"/>
      <c r="K81" s="108"/>
      <c r="L81" s="3"/>
      <c r="M81" s="108"/>
      <c r="N81" s="9"/>
    </row>
    <row r="82" spans="9:14" ht="13.95" customHeight="1">
      <c r="I82" s="3"/>
      <c r="J82" s="3"/>
      <c r="K82" s="108"/>
      <c r="L82" s="3"/>
      <c r="M82" s="108"/>
      <c r="N82" s="9"/>
    </row>
    <row r="83" spans="9:14" ht="13.95" customHeight="1">
      <c r="I83" s="3"/>
      <c r="J83" s="3"/>
      <c r="K83" s="108"/>
      <c r="L83" s="3"/>
      <c r="M83" s="108"/>
      <c r="N83" s="9"/>
    </row>
    <row r="84" spans="9:14" ht="19.95" customHeight="1">
      <c r="I84" s="3"/>
      <c r="J84" s="3"/>
      <c r="K84" s="108"/>
      <c r="L84" s="3"/>
      <c r="M84" s="108"/>
      <c r="N84" s="9"/>
    </row>
    <row r="85" spans="9:14" ht="13.95" customHeight="1">
      <c r="I85" s="3"/>
      <c r="J85" s="3"/>
      <c r="K85" s="108"/>
      <c r="L85" s="3"/>
      <c r="M85" s="108"/>
      <c r="N85" s="9"/>
    </row>
    <row r="86" spans="9:14" ht="13.95" customHeight="1">
      <c r="I86" s="3"/>
      <c r="J86" s="3"/>
      <c r="K86" s="108"/>
      <c r="L86" s="3"/>
      <c r="M86" s="108"/>
      <c r="N86" s="9"/>
    </row>
    <row r="87" spans="9:14" ht="13.95" customHeight="1">
      <c r="I87" s="3"/>
      <c r="J87" s="3"/>
      <c r="K87" s="108"/>
      <c r="L87" s="3"/>
      <c r="M87" s="108"/>
      <c r="N87" s="9"/>
    </row>
    <row r="88" spans="9:14" ht="13.95" customHeight="1">
      <c r="I88" s="3"/>
      <c r="J88" s="3"/>
      <c r="K88" s="108"/>
      <c r="L88" s="3"/>
      <c r="M88" s="108"/>
      <c r="N88" s="9"/>
    </row>
    <row r="89" spans="9:14" ht="13.95" customHeight="1">
      <c r="I89" s="3"/>
      <c r="J89" s="3"/>
      <c r="K89" s="108"/>
      <c r="L89" s="3"/>
      <c r="M89" s="108"/>
      <c r="N89" s="9"/>
    </row>
    <row r="90" spans="9:14" ht="13.95" customHeight="1">
      <c r="I90" s="3"/>
      <c r="J90" s="3"/>
      <c r="K90" s="108"/>
      <c r="L90" s="3"/>
      <c r="M90" s="108"/>
      <c r="N90" s="9"/>
    </row>
    <row r="91" spans="9:14" ht="13.95" customHeight="1">
      <c r="I91" s="3"/>
      <c r="J91" s="3"/>
      <c r="K91" s="108"/>
      <c r="L91" s="3"/>
      <c r="M91" s="108"/>
      <c r="N91" s="9"/>
    </row>
    <row r="92" spans="9:14" ht="13.95" customHeight="1">
      <c r="I92" s="3"/>
      <c r="J92" s="3"/>
      <c r="K92" s="108"/>
      <c r="L92" s="3"/>
      <c r="M92" s="108"/>
      <c r="N92" s="9"/>
    </row>
    <row r="93" spans="9:14" ht="13.95" customHeight="1">
      <c r="I93" s="3"/>
      <c r="J93" s="3"/>
      <c r="K93" s="108"/>
      <c r="L93" s="3"/>
      <c r="M93" s="108"/>
      <c r="N93" s="9"/>
    </row>
    <row r="94" spans="9:14" ht="13.95" customHeight="1">
      <c r="I94" s="3"/>
      <c r="J94" s="3"/>
      <c r="K94" s="108"/>
      <c r="L94" s="3"/>
      <c r="M94" s="108"/>
      <c r="N94" s="9"/>
    </row>
    <row r="95" spans="9:14" ht="13.95" customHeight="1">
      <c r="I95" s="3"/>
      <c r="J95" s="3"/>
      <c r="K95" s="108"/>
      <c r="L95" s="3"/>
      <c r="M95" s="108"/>
      <c r="N95" s="9"/>
    </row>
    <row r="96" spans="9:14" ht="20.100000000000001" customHeight="1">
      <c r="I96" s="9"/>
      <c r="J96" s="9"/>
      <c r="K96" s="108"/>
      <c r="L96" s="9"/>
      <c r="M96" s="108"/>
      <c r="N96" s="9"/>
    </row>
    <row r="97" spans="9:14" ht="13.95" customHeight="1">
      <c r="I97" s="9"/>
      <c r="J97" s="9"/>
      <c r="K97" s="108"/>
      <c r="L97" s="9"/>
      <c r="M97" s="108"/>
      <c r="N97" s="9"/>
    </row>
    <row r="98" spans="9:14" ht="13.95" customHeight="1">
      <c r="I98" s="9"/>
      <c r="J98" s="9"/>
      <c r="K98" s="108"/>
      <c r="L98" s="9"/>
      <c r="M98" s="108"/>
      <c r="N98" s="9"/>
    </row>
    <row r="99" spans="9:14" ht="22.2" customHeight="1">
      <c r="I99" s="9"/>
      <c r="J99" s="9"/>
      <c r="K99" s="108"/>
      <c r="L99" s="9"/>
      <c r="M99" s="108"/>
      <c r="N99" s="9"/>
    </row>
    <row r="100" spans="9:14" ht="20.100000000000001" customHeight="1">
      <c r="I100" s="9"/>
      <c r="J100" s="9"/>
      <c r="K100" s="108"/>
      <c r="L100" s="9"/>
      <c r="M100" s="108"/>
      <c r="N100" s="9"/>
    </row>
    <row r="101" spans="9:14" ht="13.95" customHeight="1">
      <c r="I101" s="9"/>
      <c r="J101" s="9"/>
      <c r="K101" s="108"/>
      <c r="L101" s="9"/>
      <c r="M101" s="108"/>
      <c r="N101" s="9"/>
    </row>
    <row r="102" spans="9:14" ht="13.95" customHeight="1">
      <c r="I102" s="3"/>
      <c r="J102" s="3"/>
      <c r="K102" s="108"/>
      <c r="L102" s="3"/>
      <c r="M102" s="108"/>
      <c r="N102" s="9"/>
    </row>
    <row r="103" spans="9:14" ht="13.95" customHeight="1">
      <c r="I103" s="3"/>
      <c r="J103" s="3"/>
      <c r="K103" s="108"/>
      <c r="L103" s="3"/>
      <c r="M103" s="108"/>
      <c r="N103" s="9"/>
    </row>
    <row r="104" spans="9:14" ht="13.95" customHeight="1">
      <c r="I104" s="3"/>
      <c r="J104" s="3"/>
      <c r="K104" s="108"/>
      <c r="L104" s="3"/>
      <c r="M104" s="108"/>
      <c r="N104" s="9"/>
    </row>
    <row r="105" spans="9:14" ht="13.95" customHeight="1">
      <c r="I105" s="9"/>
      <c r="J105" s="9"/>
      <c r="K105" s="108"/>
      <c r="L105" s="9"/>
      <c r="M105" s="108"/>
      <c r="N105" s="9"/>
    </row>
    <row r="106" spans="9:14" ht="13.95" customHeight="1">
      <c r="I106" s="9"/>
      <c r="J106" s="9"/>
      <c r="K106" s="108"/>
      <c r="L106" s="9"/>
      <c r="M106" s="108"/>
      <c r="N106" s="9"/>
    </row>
    <row r="107" spans="9:14" ht="13.95" customHeight="1">
      <c r="I107" s="9"/>
      <c r="J107" s="9"/>
      <c r="K107" s="108"/>
      <c r="L107" s="9"/>
      <c r="M107" s="108"/>
      <c r="N107" s="9"/>
    </row>
    <row r="108" spans="9:14" ht="13.95" customHeight="1">
      <c r="I108" s="3"/>
      <c r="J108" s="3"/>
      <c r="K108" s="108"/>
      <c r="L108" s="3"/>
      <c r="M108" s="108"/>
      <c r="N108" s="9"/>
    </row>
    <row r="109" spans="9:14" ht="13.95" customHeight="1">
      <c r="I109" s="3"/>
      <c r="J109" s="3"/>
      <c r="K109" s="108"/>
      <c r="L109" s="3"/>
      <c r="M109" s="108"/>
      <c r="N109" s="9"/>
    </row>
    <row r="110" spans="9:14" ht="13.95" customHeight="1">
      <c r="I110" s="3"/>
      <c r="J110" s="3"/>
      <c r="K110" s="108"/>
      <c r="L110" s="3"/>
      <c r="M110" s="108"/>
      <c r="N110" s="9"/>
    </row>
    <row r="111" spans="9:14" ht="13.95" customHeight="1">
      <c r="I111" s="3"/>
      <c r="J111" s="3"/>
      <c r="K111" s="108"/>
      <c r="L111" s="3"/>
      <c r="M111" s="108"/>
      <c r="N111" s="9"/>
    </row>
    <row r="112" spans="9:14" ht="24" customHeight="1">
      <c r="I112" s="3"/>
      <c r="J112" s="3"/>
      <c r="K112" s="108"/>
      <c r="L112" s="3"/>
      <c r="M112" s="108"/>
      <c r="N112" s="9"/>
    </row>
    <row r="113" spans="9:14" ht="13.95" customHeight="1">
      <c r="I113" s="3"/>
      <c r="J113" s="3"/>
      <c r="K113" s="108"/>
      <c r="L113" s="3"/>
      <c r="M113" s="108"/>
      <c r="N113" s="9"/>
    </row>
    <row r="114" spans="9:14" ht="13.95" customHeight="1">
      <c r="I114" s="3"/>
      <c r="J114" s="3"/>
      <c r="K114" s="108"/>
      <c r="L114" s="3"/>
      <c r="M114" s="108"/>
      <c r="N114" s="9"/>
    </row>
    <row r="115" spans="9:14" ht="13.95" customHeight="1">
      <c r="I115" s="3"/>
      <c r="J115" s="3"/>
      <c r="K115" s="108"/>
      <c r="L115" s="3"/>
      <c r="M115" s="108"/>
      <c r="N115" s="9"/>
    </row>
    <row r="116" spans="9:14" ht="13.95" customHeight="1">
      <c r="I116" s="3"/>
      <c r="J116" s="3"/>
      <c r="K116" s="108"/>
      <c r="L116" s="3"/>
      <c r="M116" s="108"/>
      <c r="N116" s="9"/>
    </row>
    <row r="117" spans="9:14" ht="13.95" customHeight="1">
      <c r="I117" s="3"/>
      <c r="J117" s="3"/>
      <c r="K117" s="108"/>
      <c r="L117" s="3"/>
      <c r="M117" s="108"/>
      <c r="N117" s="9"/>
    </row>
    <row r="118" spans="9:14" ht="13.95" customHeight="1">
      <c r="I118" s="3"/>
      <c r="J118" s="3"/>
      <c r="K118" s="108"/>
      <c r="L118" s="3"/>
      <c r="M118" s="108"/>
      <c r="N118" s="9"/>
    </row>
    <row r="119" spans="9:14" ht="13.95" customHeight="1">
      <c r="I119" s="3"/>
      <c r="J119" s="3"/>
      <c r="K119" s="108"/>
      <c r="L119" s="3"/>
      <c r="M119" s="108"/>
      <c r="N119" s="9"/>
    </row>
    <row r="120" spans="9:14" ht="13.95" customHeight="1">
      <c r="I120" s="3"/>
      <c r="J120" s="3"/>
      <c r="K120" s="108"/>
      <c r="L120" s="3"/>
      <c r="M120" s="108"/>
      <c r="N120" s="9"/>
    </row>
    <row r="121" spans="9:14" ht="13.95" customHeight="1">
      <c r="I121" s="3"/>
      <c r="J121" s="3"/>
      <c r="K121" s="108"/>
      <c r="L121" s="3"/>
      <c r="M121" s="108"/>
      <c r="N121" s="9"/>
    </row>
    <row r="122" spans="9:14" ht="13.95" customHeight="1">
      <c r="I122" s="3"/>
      <c r="J122" s="3"/>
      <c r="K122" s="108"/>
      <c r="L122" s="3"/>
      <c r="M122" s="108"/>
      <c r="N122" s="9"/>
    </row>
    <row r="123" spans="9:14" ht="13.95" customHeight="1">
      <c r="I123" s="3"/>
      <c r="J123" s="3"/>
      <c r="K123" s="108"/>
      <c r="L123" s="3"/>
      <c r="M123" s="108"/>
      <c r="N123" s="9"/>
    </row>
    <row r="124" spans="9:14" ht="13.95" customHeight="1">
      <c r="I124" s="3"/>
      <c r="J124" s="3"/>
      <c r="K124" s="108"/>
      <c r="L124" s="3"/>
      <c r="M124" s="108"/>
      <c r="N124" s="9"/>
    </row>
    <row r="125" spans="9:14" ht="13.95" customHeight="1">
      <c r="I125" s="3"/>
      <c r="J125" s="3"/>
      <c r="K125" s="108"/>
      <c r="L125" s="3"/>
      <c r="M125" s="108"/>
      <c r="N125" s="9"/>
    </row>
    <row r="126" spans="9:14" ht="13.95" customHeight="1">
      <c r="I126" s="4"/>
      <c r="J126" s="4"/>
      <c r="K126" s="108"/>
      <c r="L126" s="4"/>
      <c r="M126" s="108"/>
      <c r="N126" s="9"/>
    </row>
    <row r="127" spans="9:14" ht="13.95" customHeight="1">
      <c r="I127" s="3"/>
      <c r="J127" s="3"/>
      <c r="K127" s="108"/>
      <c r="L127" s="3"/>
      <c r="M127" s="108"/>
      <c r="N127" s="9"/>
    </row>
    <row r="128" spans="9:14" ht="13.95" customHeight="1">
      <c r="I128" s="3"/>
      <c r="J128" s="3"/>
      <c r="K128" s="108"/>
      <c r="L128" s="3"/>
      <c r="M128" s="108"/>
      <c r="N128" s="9"/>
    </row>
    <row r="129" spans="9:14" ht="13.95" customHeight="1">
      <c r="I129" s="3"/>
      <c r="J129" s="3"/>
      <c r="K129" s="108"/>
      <c r="L129" s="3"/>
      <c r="M129" s="108"/>
      <c r="N129" s="9"/>
    </row>
    <row r="130" spans="9:14" ht="13.95" customHeight="1">
      <c r="I130" s="3"/>
      <c r="J130" s="3"/>
      <c r="K130" s="108"/>
      <c r="L130" s="3"/>
      <c r="M130" s="108"/>
      <c r="N130" s="9"/>
    </row>
    <row r="131" spans="9:14" ht="13.95" customHeight="1">
      <c r="I131" s="3"/>
      <c r="J131" s="3"/>
      <c r="K131" s="108"/>
      <c r="L131" s="3"/>
      <c r="M131" s="108"/>
      <c r="N131" s="9"/>
    </row>
    <row r="132" spans="9:14" ht="13.95" customHeight="1">
      <c r="I132" s="3"/>
      <c r="J132" s="3"/>
      <c r="K132" s="108"/>
      <c r="L132" s="3"/>
      <c r="M132" s="108"/>
      <c r="N132" s="9"/>
    </row>
    <row r="133" spans="9:14" ht="13.95" customHeight="1">
      <c r="I133" s="3"/>
      <c r="J133" s="3"/>
      <c r="K133" s="108"/>
      <c r="L133" s="3"/>
      <c r="M133" s="108"/>
      <c r="N133" s="9"/>
    </row>
    <row r="134" spans="9:14" ht="13.95" customHeight="1">
      <c r="I134" s="3"/>
      <c r="J134" s="3"/>
      <c r="K134" s="108"/>
      <c r="L134" s="3"/>
      <c r="M134" s="108"/>
      <c r="N134" s="9"/>
    </row>
    <row r="135" spans="9:14" ht="13.95" customHeight="1">
      <c r="I135" s="3"/>
      <c r="J135" s="3"/>
      <c r="K135" s="108"/>
      <c r="L135" s="3"/>
      <c r="M135" s="108"/>
      <c r="N135" s="9"/>
    </row>
    <row r="136" spans="9:14" ht="13.95" customHeight="1">
      <c r="I136" s="3"/>
      <c r="J136" s="3"/>
      <c r="K136" s="108"/>
      <c r="L136" s="3"/>
      <c r="M136" s="108"/>
      <c r="N136" s="9"/>
    </row>
    <row r="137" spans="9:14" ht="13.95" customHeight="1">
      <c r="I137" s="3"/>
      <c r="J137" s="3"/>
      <c r="K137" s="108"/>
      <c r="L137" s="3"/>
      <c r="M137" s="108"/>
      <c r="N137" s="9"/>
    </row>
    <row r="138" spans="9:14" ht="13.95" customHeight="1">
      <c r="I138" s="3"/>
      <c r="J138" s="3"/>
      <c r="K138" s="108"/>
      <c r="L138" s="3"/>
      <c r="M138" s="108"/>
      <c r="N138" s="9"/>
    </row>
    <row r="139" spans="9:14" ht="13.95" customHeight="1">
      <c r="I139" s="3"/>
      <c r="J139" s="3"/>
      <c r="K139" s="108"/>
      <c r="L139" s="3"/>
      <c r="M139" s="108"/>
      <c r="N139" s="9"/>
    </row>
    <row r="140" spans="9:14" ht="13.95" customHeight="1">
      <c r="I140" s="3"/>
      <c r="J140" s="3"/>
      <c r="K140" s="108"/>
      <c r="L140" s="3"/>
      <c r="M140" s="108"/>
      <c r="N140" s="9"/>
    </row>
    <row r="141" spans="9:14" ht="13.95" customHeight="1">
      <c r="I141" s="3"/>
      <c r="J141" s="3"/>
      <c r="K141" s="108"/>
      <c r="L141" s="3"/>
      <c r="M141" s="108"/>
      <c r="N141" s="9"/>
    </row>
    <row r="142" spans="9:14" ht="13.95" customHeight="1">
      <c r="I142" s="3"/>
      <c r="J142" s="3"/>
      <c r="K142" s="108"/>
      <c r="L142" s="3"/>
      <c r="M142" s="108"/>
      <c r="N142" s="9"/>
    </row>
    <row r="143" spans="9:14" ht="13.95" customHeight="1">
      <c r="I143" s="3"/>
      <c r="J143" s="3"/>
      <c r="K143" s="108"/>
      <c r="L143" s="3"/>
      <c r="M143" s="108"/>
      <c r="N143" s="9"/>
    </row>
    <row r="144" spans="9:14" ht="13.95" customHeight="1">
      <c r="I144" s="3"/>
      <c r="J144" s="3"/>
      <c r="K144" s="108"/>
      <c r="L144" s="3"/>
      <c r="M144" s="108"/>
      <c r="N144" s="9"/>
    </row>
    <row r="145" spans="9:14" ht="13.95" customHeight="1">
      <c r="I145" s="3"/>
      <c r="J145" s="3"/>
      <c r="K145" s="108"/>
      <c r="L145" s="3"/>
      <c r="M145" s="108"/>
      <c r="N145" s="9"/>
    </row>
    <row r="146" spans="9:14" ht="13.95" customHeight="1">
      <c r="I146" s="3"/>
      <c r="J146" s="3"/>
      <c r="K146" s="108"/>
      <c r="L146" s="3"/>
      <c r="M146" s="108"/>
      <c r="N146" s="9"/>
    </row>
    <row r="147" spans="9:14" ht="13.95" customHeight="1">
      <c r="I147" s="3"/>
      <c r="J147" s="3"/>
      <c r="K147" s="108"/>
      <c r="L147" s="3"/>
      <c r="M147" s="108"/>
      <c r="N147" s="9"/>
    </row>
    <row r="148" spans="9:14" ht="20.100000000000001" customHeight="1">
      <c r="I148" s="9"/>
      <c r="J148" s="9"/>
      <c r="K148" s="108"/>
      <c r="L148" s="9"/>
      <c r="M148" s="108"/>
      <c r="N148" s="9"/>
    </row>
    <row r="149" spans="9:14" ht="13.95" customHeight="1">
      <c r="I149" s="9"/>
      <c r="J149" s="9"/>
      <c r="K149" s="108"/>
      <c r="L149" s="9"/>
      <c r="M149" s="108"/>
      <c r="N149" s="9"/>
    </row>
    <row r="150" spans="9:14" ht="13.95" customHeight="1">
      <c r="I150" s="9"/>
      <c r="J150" s="9"/>
      <c r="K150" s="108"/>
      <c r="L150" s="9"/>
      <c r="M150" s="108"/>
      <c r="N150" s="9"/>
    </row>
    <row r="151" spans="9:14" ht="22.2" customHeight="1">
      <c r="I151" s="9"/>
      <c r="J151" s="9"/>
      <c r="K151" s="108"/>
      <c r="L151" s="9"/>
      <c r="M151" s="108"/>
      <c r="N151" s="9"/>
    </row>
    <row r="152" spans="9:14" ht="20.100000000000001" customHeight="1">
      <c r="I152" s="9"/>
      <c r="J152" s="9"/>
      <c r="K152" s="108"/>
      <c r="L152" s="9"/>
      <c r="M152" s="108"/>
      <c r="N152" s="9"/>
    </row>
    <row r="153" spans="9:14" ht="13.95" customHeight="1">
      <c r="I153" s="3"/>
      <c r="J153" s="3"/>
      <c r="K153" s="108"/>
      <c r="L153" s="3"/>
      <c r="M153" s="108"/>
      <c r="N153" s="9"/>
    </row>
    <row r="154" spans="9:14" ht="13.95" customHeight="1">
      <c r="I154" s="3"/>
      <c r="J154" s="3"/>
      <c r="K154" s="108"/>
      <c r="L154" s="3"/>
      <c r="M154" s="108"/>
      <c r="N154" s="9"/>
    </row>
    <row r="155" spans="9:14" ht="13.95" customHeight="1">
      <c r="I155" s="3"/>
      <c r="J155" s="3"/>
      <c r="K155" s="108"/>
      <c r="L155" s="3"/>
      <c r="M155" s="108"/>
      <c r="N155" s="9"/>
    </row>
    <row r="156" spans="9:14" ht="13.95" customHeight="1">
      <c r="I156" s="3"/>
      <c r="J156" s="3"/>
      <c r="K156" s="108"/>
      <c r="L156" s="3"/>
      <c r="M156" s="108"/>
      <c r="N156" s="9"/>
    </row>
    <row r="157" spans="9:14" ht="13.95" customHeight="1">
      <c r="I157" s="3"/>
      <c r="J157" s="3"/>
      <c r="K157" s="108"/>
      <c r="L157" s="3"/>
      <c r="M157" s="108"/>
      <c r="N157" s="9"/>
    </row>
    <row r="158" spans="9:14" ht="13.95" customHeight="1">
      <c r="I158" s="3"/>
      <c r="J158" s="3"/>
      <c r="K158" s="108"/>
      <c r="L158" s="3"/>
      <c r="M158" s="108"/>
      <c r="N158" s="9"/>
    </row>
    <row r="159" spans="9:14" ht="13.95" customHeight="1">
      <c r="I159" s="3"/>
      <c r="J159" s="3"/>
      <c r="K159" s="108"/>
      <c r="L159" s="3"/>
      <c r="M159" s="108"/>
      <c r="N159" s="9"/>
    </row>
    <row r="160" spans="9:14" ht="13.95" customHeight="1">
      <c r="I160" s="3"/>
      <c r="J160" s="3"/>
      <c r="K160" s="108"/>
      <c r="L160" s="3"/>
      <c r="M160" s="108"/>
      <c r="N160" s="9"/>
    </row>
    <row r="161" spans="9:14" ht="13.95" customHeight="1">
      <c r="I161" s="3"/>
      <c r="J161" s="3"/>
      <c r="K161" s="108"/>
      <c r="L161" s="3"/>
      <c r="M161" s="108"/>
      <c r="N161" s="9"/>
    </row>
    <row r="162" spans="9:14" ht="13.95" customHeight="1">
      <c r="I162" s="3"/>
      <c r="J162" s="3"/>
      <c r="K162" s="108"/>
      <c r="L162" s="3"/>
      <c r="M162" s="108"/>
      <c r="N162" s="9"/>
    </row>
    <row r="163" spans="9:14" ht="13.95" customHeight="1">
      <c r="I163" s="3"/>
      <c r="J163" s="3"/>
      <c r="K163" s="108"/>
      <c r="L163" s="3"/>
      <c r="M163" s="108"/>
      <c r="N163" s="9"/>
    </row>
    <row r="164" spans="9:14" ht="13.95" customHeight="1">
      <c r="I164" s="3"/>
      <c r="J164" s="3"/>
      <c r="K164" s="108"/>
      <c r="L164" s="3"/>
      <c r="M164" s="108"/>
      <c r="N164" s="9"/>
    </row>
    <row r="165" spans="9:14" ht="13.95" customHeight="1">
      <c r="I165" s="3"/>
      <c r="J165" s="3"/>
      <c r="K165" s="108"/>
      <c r="L165" s="3"/>
      <c r="M165" s="108"/>
      <c r="N165" s="9"/>
    </row>
    <row r="166" spans="9:14" ht="13.95" customHeight="1">
      <c r="I166" s="9"/>
      <c r="J166" s="9"/>
      <c r="K166" s="108"/>
      <c r="L166" s="9"/>
      <c r="M166" s="108"/>
      <c r="N166" s="9"/>
    </row>
    <row r="167" spans="9:14" ht="13.95" customHeight="1">
      <c r="I167" s="9"/>
      <c r="J167" s="9"/>
      <c r="K167" s="108"/>
      <c r="L167" s="9"/>
      <c r="M167" s="108"/>
      <c r="N167" s="9"/>
    </row>
    <row r="168" spans="9:14" ht="13.95" customHeight="1">
      <c r="I168" s="9"/>
      <c r="J168" s="9"/>
      <c r="K168" s="108"/>
      <c r="L168" s="9"/>
      <c r="M168" s="108"/>
      <c r="N168" s="9"/>
    </row>
    <row r="169" spans="9:14" ht="13.95" customHeight="1">
      <c r="I169" s="9"/>
      <c r="J169" s="9"/>
      <c r="K169" s="108"/>
      <c r="L169" s="9"/>
      <c r="M169" s="108"/>
      <c r="N169" s="9"/>
    </row>
    <row r="170" spans="9:14" ht="13.95" customHeight="1">
      <c r="I170" s="3"/>
      <c r="J170" s="3"/>
      <c r="K170" s="108"/>
      <c r="L170" s="3"/>
      <c r="M170" s="108"/>
      <c r="N170" s="9"/>
    </row>
    <row r="171" spans="9:14" ht="13.95" customHeight="1">
      <c r="I171" s="3"/>
      <c r="J171" s="3"/>
      <c r="K171" s="108"/>
      <c r="L171" s="3"/>
      <c r="M171" s="108"/>
      <c r="N171" s="9"/>
    </row>
    <row r="172" spans="9:14" ht="13.95" customHeight="1">
      <c r="I172" s="3"/>
      <c r="J172" s="3"/>
      <c r="K172" s="108"/>
      <c r="L172" s="3"/>
      <c r="M172" s="108"/>
      <c r="N172" s="9"/>
    </row>
    <row r="173" spans="9:14" ht="13.95" customHeight="1">
      <c r="I173" s="3"/>
      <c r="J173" s="3"/>
      <c r="K173" s="108"/>
      <c r="L173" s="3"/>
      <c r="M173" s="108"/>
      <c r="N173" s="9"/>
    </row>
    <row r="174" spans="9:14" ht="13.95" customHeight="1">
      <c r="I174" s="3"/>
      <c r="J174" s="3"/>
      <c r="K174" s="108"/>
      <c r="L174" s="3"/>
      <c r="M174" s="108"/>
      <c r="N174" s="9"/>
    </row>
    <row r="175" spans="9:14" ht="13.95" customHeight="1">
      <c r="I175" s="3"/>
      <c r="J175" s="3"/>
      <c r="K175" s="108"/>
      <c r="L175" s="3"/>
      <c r="M175" s="108"/>
      <c r="N175" s="9"/>
    </row>
    <row r="176" spans="9:14" ht="13.95" customHeight="1">
      <c r="I176" s="3"/>
      <c r="J176" s="3"/>
      <c r="K176" s="108"/>
      <c r="L176" s="3"/>
      <c r="M176" s="108"/>
      <c r="N176" s="9"/>
    </row>
    <row r="177" spans="9:14" ht="13.95" customHeight="1">
      <c r="I177" s="3"/>
      <c r="J177" s="3"/>
      <c r="K177" s="108"/>
      <c r="L177" s="3"/>
      <c r="M177" s="108"/>
      <c r="N177" s="9"/>
    </row>
    <row r="178" spans="9:14" ht="13.95" customHeight="1">
      <c r="I178" s="3"/>
      <c r="J178" s="3"/>
      <c r="K178" s="108"/>
      <c r="L178" s="3"/>
      <c r="M178" s="108"/>
      <c r="N178" s="9"/>
    </row>
    <row r="179" spans="9:14" ht="13.95" customHeight="1">
      <c r="I179" s="3"/>
      <c r="J179" s="3"/>
      <c r="K179" s="108"/>
      <c r="L179" s="3"/>
      <c r="M179" s="108"/>
      <c r="N179" s="9"/>
    </row>
    <row r="180" spans="9:14" ht="27" customHeight="1">
      <c r="I180" s="3"/>
      <c r="J180" s="3"/>
      <c r="K180" s="108"/>
      <c r="L180" s="3"/>
      <c r="M180" s="108"/>
      <c r="N180" s="9"/>
    </row>
    <row r="181" spans="9:14" ht="13.95" customHeight="1">
      <c r="I181" s="3"/>
      <c r="J181" s="3"/>
      <c r="K181" s="108"/>
      <c r="L181" s="3"/>
      <c r="M181" s="108"/>
      <c r="N181" s="9"/>
    </row>
    <row r="182" spans="9:14" ht="24.6" customHeight="1">
      <c r="I182" s="3"/>
      <c r="J182" s="3"/>
      <c r="K182" s="108"/>
      <c r="L182" s="3"/>
      <c r="M182" s="108"/>
      <c r="N182" s="9"/>
    </row>
    <row r="183" spans="9:14" ht="13.95" customHeight="1">
      <c r="I183" s="3"/>
      <c r="J183" s="3"/>
      <c r="K183" s="108"/>
      <c r="L183" s="3"/>
      <c r="M183" s="108"/>
      <c r="N183" s="9"/>
    </row>
    <row r="184" spans="9:14" ht="23.4" customHeight="1">
      <c r="I184" s="3"/>
      <c r="J184" s="3"/>
      <c r="K184" s="108"/>
      <c r="L184" s="3"/>
      <c r="M184" s="108"/>
      <c r="N184" s="9"/>
    </row>
    <row r="185" spans="9:14" ht="13.95" customHeight="1">
      <c r="I185" s="3"/>
      <c r="J185" s="3"/>
      <c r="K185" s="108"/>
      <c r="L185" s="3"/>
      <c r="M185" s="108"/>
      <c r="N185" s="9"/>
    </row>
    <row r="186" spans="9:14" ht="13.95" customHeight="1">
      <c r="I186" s="3"/>
      <c r="J186" s="3"/>
      <c r="K186" s="108"/>
      <c r="L186" s="3"/>
      <c r="M186" s="108"/>
      <c r="N186" s="9"/>
    </row>
    <row r="187" spans="9:14" ht="13.95" customHeight="1">
      <c r="I187" s="3"/>
      <c r="J187" s="3"/>
      <c r="K187" s="108"/>
      <c r="L187" s="3"/>
      <c r="M187" s="108"/>
      <c r="N187" s="9"/>
    </row>
    <row r="188" spans="9:14" ht="13.95" customHeight="1">
      <c r="I188" s="3"/>
      <c r="J188" s="3"/>
      <c r="K188" s="108"/>
      <c r="L188" s="3"/>
      <c r="M188" s="108"/>
      <c r="N188" s="9"/>
    </row>
    <row r="189" spans="9:14" ht="13.95" customHeight="1">
      <c r="I189" s="3"/>
      <c r="J189" s="3"/>
      <c r="K189" s="108"/>
      <c r="L189" s="3"/>
      <c r="M189" s="108"/>
      <c r="N189" s="9"/>
    </row>
    <row r="190" spans="9:14" ht="13.95" customHeight="1">
      <c r="I190" s="3"/>
      <c r="J190" s="3"/>
      <c r="K190" s="108"/>
      <c r="L190" s="3"/>
      <c r="M190" s="108"/>
      <c r="N190" s="9"/>
    </row>
    <row r="191" spans="9:14" ht="13.95" customHeight="1">
      <c r="I191" s="3"/>
      <c r="J191" s="3"/>
      <c r="K191" s="108"/>
      <c r="L191" s="3"/>
      <c r="M191" s="108"/>
      <c r="N191" s="9"/>
    </row>
    <row r="192" spans="9:14" ht="13.95" customHeight="1">
      <c r="I192" s="3"/>
      <c r="J192" s="3"/>
      <c r="K192" s="108"/>
      <c r="L192" s="3"/>
      <c r="M192" s="108"/>
      <c r="N192" s="9"/>
    </row>
    <row r="193" spans="9:14" ht="13.95" customHeight="1">
      <c r="I193" s="3"/>
      <c r="J193" s="3"/>
      <c r="K193" s="108"/>
      <c r="L193" s="3"/>
      <c r="M193" s="108"/>
      <c r="N193" s="9"/>
    </row>
    <row r="194" spans="9:14" ht="13.95" customHeight="1">
      <c r="I194" s="3"/>
      <c r="J194" s="3"/>
      <c r="K194" s="108"/>
      <c r="L194" s="3"/>
      <c r="M194" s="108"/>
      <c r="N194" s="9"/>
    </row>
    <row r="195" spans="9:14" ht="13.95" customHeight="1">
      <c r="I195" s="3"/>
      <c r="J195" s="3"/>
      <c r="K195" s="108"/>
      <c r="L195" s="3"/>
      <c r="M195" s="108"/>
      <c r="N195" s="9"/>
    </row>
    <row r="196" spans="9:14" ht="13.95" customHeight="1">
      <c r="I196" s="3"/>
      <c r="J196" s="3"/>
      <c r="K196" s="108"/>
      <c r="L196" s="3"/>
      <c r="M196" s="108"/>
      <c r="N196" s="9"/>
    </row>
    <row r="197" spans="9:14" ht="13.95" customHeight="1">
      <c r="I197" s="3"/>
      <c r="J197" s="3"/>
      <c r="K197" s="108"/>
      <c r="L197" s="3"/>
      <c r="M197" s="108"/>
      <c r="N197" s="9"/>
    </row>
    <row r="198" spans="9:14" ht="20.100000000000001" customHeight="1">
      <c r="I198" s="9"/>
      <c r="J198" s="9"/>
      <c r="K198" s="108"/>
      <c r="L198" s="9"/>
      <c r="M198" s="108"/>
      <c r="N198" s="9"/>
    </row>
    <row r="199" spans="9:14" ht="13.95" customHeight="1">
      <c r="I199" s="9"/>
      <c r="J199" s="9"/>
      <c r="K199" s="108"/>
      <c r="L199" s="9"/>
      <c r="M199" s="108"/>
      <c r="N199" s="9"/>
    </row>
    <row r="200" spans="9:14" ht="13.95" customHeight="1">
      <c r="I200" s="9"/>
      <c r="J200" s="9"/>
      <c r="K200" s="108"/>
      <c r="L200" s="9"/>
      <c r="M200" s="108"/>
      <c r="N200" s="9"/>
    </row>
    <row r="201" spans="9:14" ht="22.2" customHeight="1">
      <c r="I201" s="9"/>
      <c r="J201" s="9"/>
      <c r="K201" s="108"/>
      <c r="L201" s="9"/>
      <c r="M201" s="108"/>
      <c r="N201" s="9"/>
    </row>
    <row r="202" spans="9:14" ht="20.100000000000001" customHeight="1">
      <c r="I202" s="9"/>
      <c r="J202" s="9"/>
      <c r="K202" s="108"/>
      <c r="L202" s="9"/>
      <c r="M202" s="108"/>
      <c r="N202" s="9"/>
    </row>
    <row r="203" spans="9:14" ht="13.95" customHeight="1">
      <c r="I203" s="3"/>
      <c r="J203" s="3"/>
      <c r="K203" s="108"/>
      <c r="L203" s="3"/>
      <c r="M203" s="108"/>
      <c r="N203" s="9"/>
    </row>
    <row r="204" spans="9:14" ht="13.95" customHeight="1">
      <c r="I204" s="3"/>
      <c r="J204" s="3"/>
      <c r="K204" s="108"/>
      <c r="L204" s="3"/>
      <c r="M204" s="108"/>
      <c r="N204" s="9"/>
    </row>
    <row r="205" spans="9:14" ht="13.95" customHeight="1">
      <c r="I205" s="3"/>
      <c r="J205" s="3"/>
      <c r="K205" s="108"/>
      <c r="L205" s="3"/>
      <c r="M205" s="108"/>
      <c r="N205" s="9"/>
    </row>
    <row r="206" spans="9:14" ht="13.95" customHeight="1">
      <c r="I206" s="3"/>
      <c r="J206" s="3"/>
      <c r="K206" s="108"/>
      <c r="L206" s="3"/>
      <c r="M206" s="108"/>
      <c r="N206" s="9"/>
    </row>
    <row r="207" spans="9:14" ht="13.95" customHeight="1">
      <c r="I207" s="3"/>
      <c r="J207" s="3"/>
      <c r="K207" s="108"/>
      <c r="L207" s="3"/>
      <c r="M207" s="108"/>
      <c r="N207" s="9"/>
    </row>
    <row r="208" spans="9:14" ht="13.95" customHeight="1">
      <c r="I208" s="4"/>
      <c r="J208" s="4"/>
      <c r="K208" s="108"/>
      <c r="L208" s="4"/>
      <c r="M208" s="108"/>
      <c r="N208" s="9"/>
    </row>
    <row r="209" spans="9:14" ht="13.95" customHeight="1">
      <c r="I209" s="4"/>
      <c r="J209" s="4"/>
      <c r="K209" s="108"/>
      <c r="L209" s="4"/>
      <c r="M209" s="108"/>
      <c r="N209" s="9"/>
    </row>
    <row r="210" spans="9:14" ht="13.95" customHeight="1">
      <c r="I210" s="4"/>
      <c r="J210" s="4"/>
      <c r="K210" s="108"/>
      <c r="L210" s="4"/>
      <c r="M210" s="108"/>
      <c r="N210" s="9"/>
    </row>
    <row r="211" spans="9:14" ht="13.95" customHeight="1">
      <c r="I211" s="4"/>
      <c r="J211" s="4"/>
      <c r="K211" s="108"/>
      <c r="L211" s="4"/>
      <c r="M211" s="108"/>
      <c r="N211" s="9"/>
    </row>
    <row r="212" spans="9:14" ht="13.95" customHeight="1">
      <c r="I212" s="4"/>
      <c r="J212" s="4"/>
      <c r="K212" s="108"/>
      <c r="L212" s="4"/>
      <c r="M212" s="108"/>
      <c r="N212" s="9"/>
    </row>
    <row r="213" spans="9:14" ht="13.95" customHeight="1">
      <c r="I213" s="3"/>
      <c r="J213" s="3"/>
      <c r="K213" s="108"/>
      <c r="L213" s="3"/>
      <c r="M213" s="108"/>
      <c r="N213" s="9"/>
    </row>
    <row r="214" spans="9:14" ht="24.6" customHeight="1">
      <c r="I214" s="9"/>
      <c r="J214" s="9"/>
      <c r="K214" s="108"/>
      <c r="L214" s="9"/>
      <c r="M214" s="108"/>
      <c r="N214" s="9"/>
    </row>
    <row r="215" spans="9:14" ht="13.95" customHeight="1">
      <c r="I215" s="9"/>
      <c r="J215" s="9"/>
      <c r="K215" s="108"/>
      <c r="L215" s="9"/>
      <c r="M215" s="108"/>
      <c r="N215" s="9"/>
    </row>
    <row r="216" spans="9:14" ht="22.95" customHeight="1">
      <c r="I216" s="9"/>
      <c r="J216" s="9"/>
      <c r="K216" s="108"/>
      <c r="L216" s="9"/>
      <c r="M216" s="108"/>
      <c r="N216" s="9"/>
    </row>
    <row r="217" spans="9:14" ht="13.95" customHeight="1">
      <c r="I217" s="9"/>
      <c r="J217" s="9"/>
      <c r="K217" s="108"/>
      <c r="L217" s="9"/>
      <c r="M217" s="108"/>
      <c r="N217" s="9"/>
    </row>
    <row r="218" spans="9:14" ht="46.2" customHeight="1">
      <c r="I218" s="9"/>
      <c r="J218" s="9"/>
      <c r="K218" s="108"/>
      <c r="L218" s="9"/>
      <c r="M218" s="108"/>
      <c r="N218" s="9"/>
    </row>
    <row r="219" spans="9:14" ht="13.95" customHeight="1">
      <c r="I219" s="9"/>
      <c r="J219" s="9"/>
      <c r="K219" s="108"/>
      <c r="L219" s="9"/>
      <c r="M219" s="108"/>
      <c r="N219" s="9"/>
    </row>
    <row r="220" spans="9:14" ht="48" customHeight="1">
      <c r="I220" s="45"/>
      <c r="J220" s="45"/>
      <c r="K220" s="108"/>
      <c r="L220" s="45"/>
      <c r="M220" s="108"/>
      <c r="N220" s="9"/>
    </row>
    <row r="221" spans="9:14" ht="12.6" customHeight="1">
      <c r="I221" s="9"/>
      <c r="J221" s="9"/>
      <c r="K221" s="108"/>
      <c r="L221" s="9"/>
      <c r="M221" s="108"/>
      <c r="N221" s="9"/>
    </row>
    <row r="222" spans="9:14" ht="13.95" customHeight="1">
      <c r="I222" s="9"/>
      <c r="J222" s="9"/>
      <c r="K222" s="108"/>
      <c r="L222" s="9"/>
      <c r="M222" s="108"/>
      <c r="N222" s="9"/>
    </row>
    <row r="223" spans="9:14" ht="13.95" customHeight="1">
      <c r="I223" s="9"/>
      <c r="J223" s="9"/>
      <c r="K223" s="108"/>
      <c r="L223" s="9"/>
      <c r="M223" s="108"/>
      <c r="N223" s="9"/>
    </row>
    <row r="224" spans="9:14" ht="13.95" customHeight="1">
      <c r="I224" s="9"/>
      <c r="J224" s="9"/>
      <c r="K224" s="108"/>
      <c r="L224" s="9"/>
      <c r="M224" s="108"/>
      <c r="N224" s="9"/>
    </row>
    <row r="225" spans="9:14" ht="13.95" customHeight="1">
      <c r="I225" s="9"/>
      <c r="J225" s="9"/>
      <c r="K225" s="108"/>
      <c r="L225" s="9"/>
      <c r="M225" s="108"/>
      <c r="N225" s="9"/>
    </row>
    <row r="226" spans="9:14" ht="22.95" customHeight="1">
      <c r="I226" s="9"/>
      <c r="J226" s="9"/>
      <c r="K226" s="108"/>
      <c r="L226" s="9"/>
      <c r="M226" s="108"/>
      <c r="N226" s="9"/>
    </row>
    <row r="227" spans="9:14" ht="13.95" customHeight="1">
      <c r="I227" s="9"/>
      <c r="J227" s="9"/>
      <c r="K227" s="108"/>
      <c r="L227" s="9"/>
      <c r="M227" s="108"/>
      <c r="N227" s="9"/>
    </row>
    <row r="228" spans="9:14" ht="13.95" customHeight="1">
      <c r="I228" s="9"/>
      <c r="J228" s="9"/>
      <c r="K228" s="108"/>
      <c r="L228" s="9"/>
      <c r="M228" s="108"/>
      <c r="N228" s="9"/>
    </row>
    <row r="229" spans="9:14" ht="13.95" customHeight="1">
      <c r="I229" s="9"/>
      <c r="J229" s="9"/>
      <c r="K229" s="108"/>
      <c r="L229" s="9"/>
      <c r="M229" s="108"/>
      <c r="N229" s="9"/>
    </row>
    <row r="230" spans="9:14" ht="48.6" customHeight="1">
      <c r="I230" s="9"/>
      <c r="J230" s="9"/>
      <c r="K230" s="108"/>
      <c r="L230" s="9"/>
      <c r="M230" s="108"/>
      <c r="N230" s="9"/>
    </row>
    <row r="231" spans="9:14">
      <c r="I231" s="9"/>
      <c r="J231" s="9"/>
      <c r="K231" s="108"/>
      <c r="L231" s="9"/>
      <c r="M231" s="108"/>
      <c r="N231" s="9"/>
    </row>
    <row r="232" spans="9:14">
      <c r="I232" s="9"/>
      <c r="J232" s="9"/>
      <c r="K232" s="108"/>
      <c r="L232" s="9"/>
      <c r="M232" s="108"/>
      <c r="N232" s="9"/>
    </row>
    <row r="233" spans="9:14">
      <c r="I233" s="9"/>
      <c r="J233" s="9"/>
      <c r="K233" s="108"/>
      <c r="L233" s="9"/>
      <c r="M233" s="108"/>
      <c r="N233" s="9"/>
    </row>
    <row r="234" spans="9:14">
      <c r="I234" s="9"/>
      <c r="J234" s="9"/>
      <c r="K234" s="108"/>
      <c r="L234" s="9"/>
      <c r="M234" s="108"/>
      <c r="N234" s="9"/>
    </row>
    <row r="235" spans="9:14">
      <c r="I235" s="9"/>
      <c r="J235" s="9"/>
      <c r="K235" s="108"/>
      <c r="L235" s="9"/>
      <c r="M235" s="108"/>
      <c r="N235" s="9"/>
    </row>
    <row r="236" spans="9:14">
      <c r="I236" s="9"/>
      <c r="J236" s="9"/>
      <c r="K236" s="108"/>
      <c r="L236" s="9"/>
      <c r="M236" s="108"/>
      <c r="N236" s="9"/>
    </row>
    <row r="237" spans="9:14" ht="13.95" customHeight="1">
      <c r="I237" s="9"/>
      <c r="J237" s="9"/>
      <c r="K237" s="108"/>
      <c r="L237" s="9"/>
      <c r="M237" s="108"/>
      <c r="N237" s="9"/>
    </row>
    <row r="238" spans="9:14" ht="13.95" customHeight="1">
      <c r="I238" s="9"/>
      <c r="J238" s="9"/>
      <c r="K238" s="108"/>
      <c r="L238" s="9"/>
      <c r="M238" s="108"/>
      <c r="N238" s="9"/>
    </row>
    <row r="239" spans="9:14" ht="13.95" customHeight="1">
      <c r="I239" s="9"/>
      <c r="J239" s="9"/>
      <c r="K239" s="108"/>
      <c r="L239" s="9"/>
      <c r="M239" s="108"/>
      <c r="N239" s="9"/>
    </row>
    <row r="240" spans="9:14" ht="13.95" customHeight="1">
      <c r="I240" s="9"/>
      <c r="J240" s="9"/>
      <c r="K240" s="108"/>
      <c r="L240" s="9"/>
      <c r="M240" s="108"/>
      <c r="N240" s="9"/>
    </row>
    <row r="241" spans="9:14" ht="13.95" customHeight="1">
      <c r="I241" s="9"/>
      <c r="J241" s="9"/>
      <c r="K241" s="108"/>
      <c r="L241" s="9"/>
      <c r="M241" s="108"/>
      <c r="N241" s="9"/>
    </row>
    <row r="242" spans="9:14" ht="20.100000000000001" customHeight="1">
      <c r="I242" s="9"/>
      <c r="J242" s="9"/>
      <c r="K242" s="108"/>
      <c r="L242" s="9"/>
      <c r="M242" s="108"/>
      <c r="N242" s="9"/>
    </row>
    <row r="243" spans="9:14" ht="13.95" customHeight="1">
      <c r="I243" s="9"/>
      <c r="J243" s="9"/>
      <c r="K243" s="108"/>
      <c r="L243" s="9"/>
      <c r="M243" s="108"/>
      <c r="N243" s="9"/>
    </row>
    <row r="244" spans="9:14" ht="13.95" customHeight="1">
      <c r="I244" s="9"/>
      <c r="J244" s="9"/>
      <c r="K244" s="108"/>
      <c r="L244" s="9"/>
      <c r="M244" s="108"/>
      <c r="N244" s="9"/>
    </row>
    <row r="245" spans="9:14" ht="22.2" customHeight="1">
      <c r="I245" s="9"/>
      <c r="J245" s="9"/>
      <c r="K245" s="108"/>
      <c r="L245" s="9"/>
      <c r="M245" s="108"/>
      <c r="N245" s="9"/>
    </row>
    <row r="246" spans="9:14" ht="20.100000000000001" customHeight="1">
      <c r="I246" s="9"/>
      <c r="J246" s="9"/>
      <c r="K246" s="108"/>
      <c r="L246" s="9"/>
      <c r="M246" s="108"/>
      <c r="N246" s="9"/>
    </row>
    <row r="247" spans="9:14" ht="13.95" customHeight="1">
      <c r="I247" s="9"/>
      <c r="J247" s="9"/>
      <c r="K247" s="108"/>
      <c r="L247" s="9"/>
      <c r="M247" s="108"/>
      <c r="N247" s="9"/>
    </row>
    <row r="248" spans="9:14" ht="13.95" customHeight="1">
      <c r="I248" s="9"/>
      <c r="J248" s="9"/>
      <c r="K248" s="108"/>
      <c r="L248" s="9"/>
      <c r="M248" s="108"/>
      <c r="N248" s="9"/>
    </row>
    <row r="249" spans="9:14" ht="13.95" customHeight="1">
      <c r="I249" s="9"/>
      <c r="J249" s="9"/>
      <c r="K249" s="108"/>
      <c r="L249" s="9"/>
      <c r="M249" s="108"/>
      <c r="N249" s="9"/>
    </row>
    <row r="250" spans="9:14" ht="48" customHeight="1">
      <c r="I250" s="9"/>
      <c r="J250" s="9"/>
      <c r="K250" s="108"/>
      <c r="L250" s="9"/>
      <c r="M250" s="108"/>
      <c r="N250" s="9"/>
    </row>
    <row r="251" spans="9:14" ht="13.95" customHeight="1">
      <c r="I251" s="9"/>
      <c r="J251" s="9"/>
      <c r="K251" s="108"/>
      <c r="L251" s="9"/>
      <c r="M251" s="108"/>
      <c r="N251" s="9"/>
    </row>
    <row r="252" spans="9:14" ht="25.95" customHeight="1">
      <c r="I252" s="9"/>
      <c r="J252" s="9"/>
      <c r="K252" s="108"/>
      <c r="L252" s="9"/>
      <c r="M252" s="108"/>
      <c r="N252" s="9"/>
    </row>
    <row r="253" spans="9:14" ht="13.95" customHeight="1">
      <c r="I253" s="9"/>
      <c r="J253" s="9"/>
      <c r="K253" s="108"/>
      <c r="L253" s="9"/>
      <c r="M253" s="108"/>
      <c r="N253" s="9"/>
    </row>
    <row r="254" spans="9:14" ht="38.4" customHeight="1">
      <c r="I254" s="9"/>
      <c r="J254" s="9"/>
      <c r="K254" s="108"/>
      <c r="L254" s="9"/>
      <c r="M254" s="108"/>
      <c r="N254" s="9"/>
    </row>
    <row r="255" spans="9:14" ht="13.95" customHeight="1">
      <c r="I255" s="9"/>
      <c r="J255" s="9"/>
      <c r="K255" s="108"/>
      <c r="L255" s="9"/>
      <c r="M255" s="108"/>
      <c r="N255" s="9"/>
    </row>
    <row r="256" spans="9:14" ht="25.95" customHeight="1">
      <c r="I256" s="9"/>
      <c r="J256" s="9"/>
      <c r="K256" s="108"/>
      <c r="L256" s="9"/>
      <c r="M256" s="108"/>
      <c r="N256" s="9"/>
    </row>
    <row r="257" spans="9:14" ht="13.95" customHeight="1">
      <c r="I257" s="9"/>
      <c r="J257" s="9"/>
      <c r="K257" s="108"/>
      <c r="L257" s="9"/>
      <c r="M257" s="108"/>
      <c r="N257" s="9"/>
    </row>
    <row r="258" spans="9:14" ht="13.95" customHeight="1">
      <c r="I258" s="9"/>
      <c r="J258" s="9"/>
      <c r="K258" s="108"/>
      <c r="L258" s="9"/>
      <c r="M258" s="108"/>
      <c r="N258" s="9"/>
    </row>
    <row r="259" spans="9:14" ht="13.95" customHeight="1">
      <c r="I259" s="9"/>
      <c r="J259" s="9"/>
      <c r="K259" s="108"/>
      <c r="L259" s="9"/>
      <c r="M259" s="108"/>
      <c r="N259" s="9"/>
    </row>
    <row r="260" spans="9:14">
      <c r="I260" s="9"/>
      <c r="J260" s="9"/>
      <c r="K260" s="108"/>
      <c r="L260" s="9"/>
      <c r="M260" s="108"/>
      <c r="N260" s="9"/>
    </row>
    <row r="261" spans="9:14" ht="13.95" customHeight="1">
      <c r="I261" s="9"/>
      <c r="J261" s="9"/>
      <c r="K261" s="108"/>
      <c r="L261" s="9"/>
      <c r="M261" s="108"/>
      <c r="N261" s="9"/>
    </row>
    <row r="262" spans="9:14" ht="22.2" customHeight="1">
      <c r="I262" s="9"/>
      <c r="J262" s="9"/>
      <c r="K262" s="108"/>
      <c r="L262" s="9"/>
      <c r="M262" s="108"/>
      <c r="N262" s="9"/>
    </row>
    <row r="263" spans="9:14" ht="13.95" customHeight="1">
      <c r="I263" s="9"/>
      <c r="J263" s="9"/>
      <c r="K263" s="108"/>
      <c r="L263" s="9"/>
      <c r="M263" s="108"/>
      <c r="N263" s="9"/>
    </row>
    <row r="264" spans="9:14" ht="13.95" customHeight="1">
      <c r="I264" s="9"/>
      <c r="J264" s="9"/>
      <c r="K264" s="108"/>
      <c r="L264" s="9"/>
      <c r="M264" s="108"/>
      <c r="N264" s="9"/>
    </row>
    <row r="265" spans="9:14" ht="13.95" customHeight="1">
      <c r="I265" s="9"/>
      <c r="J265" s="9"/>
      <c r="K265" s="108"/>
      <c r="L265" s="9"/>
      <c r="M265" s="108"/>
      <c r="N265" s="9"/>
    </row>
    <row r="266" spans="9:14" ht="24" customHeight="1">
      <c r="I266" s="9"/>
      <c r="J266" s="9"/>
      <c r="K266" s="108"/>
      <c r="L266" s="9"/>
      <c r="M266" s="108"/>
      <c r="N266" s="9"/>
    </row>
    <row r="267" spans="9:14" ht="13.95" customHeight="1">
      <c r="I267" s="9"/>
      <c r="J267" s="9"/>
      <c r="K267" s="108"/>
      <c r="L267" s="9"/>
      <c r="M267" s="108"/>
      <c r="N267" s="9"/>
    </row>
    <row r="268" spans="9:14" ht="13.95" customHeight="1">
      <c r="I268" s="9"/>
      <c r="J268" s="9"/>
      <c r="K268" s="108"/>
      <c r="L268" s="9"/>
      <c r="M268" s="108"/>
      <c r="N268" s="9"/>
    </row>
    <row r="269" spans="9:14" ht="13.95" customHeight="1">
      <c r="I269" s="9"/>
      <c r="J269" s="9"/>
      <c r="K269" s="108"/>
      <c r="L269" s="9"/>
      <c r="M269" s="108"/>
      <c r="N269" s="9"/>
    </row>
    <row r="270" spans="9:14" ht="12.6" customHeight="1">
      <c r="I270" s="9"/>
      <c r="J270" s="9"/>
      <c r="K270" s="108"/>
      <c r="L270" s="9"/>
      <c r="M270" s="108"/>
      <c r="N270" s="9"/>
    </row>
    <row r="271" spans="9:14" ht="12.6" customHeight="1">
      <c r="I271" s="9"/>
      <c r="J271" s="9"/>
      <c r="K271" s="108"/>
      <c r="L271" s="9"/>
      <c r="M271" s="108"/>
      <c r="N271" s="9"/>
    </row>
    <row r="272" spans="9:14" ht="12.6" customHeight="1">
      <c r="I272" s="9"/>
      <c r="J272" s="9"/>
      <c r="K272" s="108"/>
      <c r="L272" s="9"/>
      <c r="M272" s="108"/>
      <c r="N272" s="9"/>
    </row>
    <row r="273" spans="9:14" ht="12.6" customHeight="1">
      <c r="I273" s="9"/>
      <c r="J273" s="9"/>
      <c r="K273" s="108"/>
      <c r="L273" s="9"/>
      <c r="M273" s="108"/>
      <c r="N273" s="9"/>
    </row>
    <row r="274" spans="9:14" ht="12.6" customHeight="1">
      <c r="I274" s="9"/>
      <c r="J274" s="9"/>
      <c r="K274" s="108"/>
      <c r="L274" s="9"/>
      <c r="M274" s="108"/>
      <c r="N274" s="9"/>
    </row>
    <row r="275" spans="9:14" ht="12.6" customHeight="1">
      <c r="I275" s="9"/>
      <c r="J275" s="9"/>
      <c r="K275" s="108"/>
      <c r="L275" s="9"/>
      <c r="M275" s="108"/>
      <c r="N275" s="9"/>
    </row>
    <row r="276" spans="9:14" ht="38.4" customHeight="1">
      <c r="I276" s="9"/>
      <c r="J276" s="9"/>
      <c r="K276" s="108"/>
      <c r="L276" s="9"/>
      <c r="M276" s="108"/>
      <c r="N276" s="9"/>
    </row>
    <row r="277" spans="9:14" ht="12.6" customHeight="1">
      <c r="I277" s="9"/>
      <c r="J277" s="9"/>
      <c r="K277" s="108"/>
      <c r="L277" s="9"/>
      <c r="M277" s="108"/>
      <c r="N277" s="9"/>
    </row>
    <row r="278" spans="9:14" ht="13.95" customHeight="1">
      <c r="I278" s="9"/>
      <c r="J278" s="9"/>
      <c r="K278" s="108"/>
      <c r="L278" s="9"/>
      <c r="M278" s="108"/>
      <c r="N278" s="9"/>
    </row>
    <row r="279" spans="9:14" ht="13.95" customHeight="1">
      <c r="I279" s="9"/>
      <c r="J279" s="9"/>
      <c r="K279" s="108"/>
      <c r="L279" s="9"/>
      <c r="M279" s="108"/>
      <c r="N279" s="9"/>
    </row>
    <row r="280" spans="9:14" ht="22.2" customHeight="1">
      <c r="I280" s="9"/>
      <c r="J280" s="9"/>
      <c r="K280" s="108"/>
      <c r="L280" s="9"/>
      <c r="M280" s="108"/>
      <c r="N280" s="9"/>
    </row>
    <row r="281" spans="9:14">
      <c r="I281" s="9"/>
      <c r="J281" s="9"/>
      <c r="K281" s="108"/>
      <c r="L281" s="9"/>
      <c r="M281" s="108"/>
      <c r="N281" s="9"/>
    </row>
    <row r="282" spans="9:14" ht="13.95" customHeight="1">
      <c r="I282" s="9"/>
      <c r="J282" s="9"/>
      <c r="K282" s="108"/>
      <c r="L282" s="9"/>
      <c r="M282" s="108"/>
      <c r="N282" s="9"/>
    </row>
    <row r="283" spans="9:14" ht="13.95" customHeight="1">
      <c r="I283" s="9"/>
      <c r="J283" s="9"/>
      <c r="K283" s="108"/>
      <c r="L283" s="9"/>
      <c r="M283" s="108"/>
      <c r="N283" s="9"/>
    </row>
    <row r="284" spans="9:14" ht="13.95" customHeight="1">
      <c r="I284" s="9"/>
      <c r="J284" s="9"/>
      <c r="K284" s="108"/>
      <c r="L284" s="9"/>
      <c r="M284" s="108"/>
      <c r="N284" s="9"/>
    </row>
    <row r="285" spans="9:14" ht="20.100000000000001" customHeight="1">
      <c r="I285" s="9"/>
      <c r="J285" s="9"/>
      <c r="K285" s="108"/>
      <c r="L285" s="9"/>
      <c r="M285" s="108"/>
      <c r="N285" s="9"/>
    </row>
    <row r="286" spans="9:14" ht="13.95" customHeight="1">
      <c r="I286" s="9"/>
      <c r="J286" s="9"/>
      <c r="K286" s="108"/>
      <c r="L286" s="9"/>
      <c r="M286" s="108"/>
      <c r="N286" s="9"/>
    </row>
    <row r="287" spans="9:14" ht="13.95" customHeight="1">
      <c r="I287" s="9"/>
      <c r="J287" s="9"/>
      <c r="K287" s="108"/>
      <c r="L287" s="9"/>
      <c r="M287" s="108"/>
      <c r="N287" s="9"/>
    </row>
    <row r="288" spans="9:14" ht="22.2" customHeight="1">
      <c r="I288" s="9"/>
      <c r="J288" s="9"/>
      <c r="K288" s="108"/>
      <c r="L288" s="9"/>
      <c r="M288" s="108"/>
      <c r="N288" s="9"/>
    </row>
    <row r="289" spans="9:14" ht="20.100000000000001" customHeight="1">
      <c r="I289" s="9"/>
      <c r="J289" s="9"/>
      <c r="K289" s="108"/>
      <c r="L289" s="9"/>
      <c r="M289" s="108"/>
      <c r="N289" s="9"/>
    </row>
    <row r="290" spans="9:14" ht="13.95" customHeight="1">
      <c r="I290" s="9"/>
      <c r="J290" s="9"/>
      <c r="K290" s="108"/>
      <c r="L290" s="9"/>
      <c r="M290" s="108"/>
      <c r="N290" s="9"/>
    </row>
    <row r="291" spans="9:14" ht="13.95" customHeight="1">
      <c r="I291" s="9"/>
      <c r="J291" s="9"/>
      <c r="K291" s="108"/>
      <c r="L291" s="9"/>
      <c r="M291" s="108"/>
      <c r="N291" s="9"/>
    </row>
    <row r="292" spans="9:14" ht="13.95" customHeight="1">
      <c r="I292" s="9"/>
      <c r="J292" s="9"/>
      <c r="K292" s="108"/>
      <c r="L292" s="9"/>
      <c r="M292" s="108"/>
      <c r="N292" s="9"/>
    </row>
    <row r="293" spans="9:14" ht="13.95" customHeight="1">
      <c r="I293" s="9"/>
      <c r="J293" s="9"/>
      <c r="K293" s="108"/>
      <c r="L293" s="9"/>
      <c r="M293" s="108"/>
      <c r="N293" s="9"/>
    </row>
    <row r="294" spans="9:14" ht="13.95" customHeight="1">
      <c r="I294" s="9"/>
      <c r="J294" s="9"/>
      <c r="K294" s="108"/>
      <c r="L294" s="9"/>
      <c r="M294" s="108"/>
      <c r="N294" s="9"/>
    </row>
    <row r="295" spans="9:14" ht="13.95" customHeight="1">
      <c r="I295" s="9"/>
      <c r="J295" s="9"/>
      <c r="K295" s="108"/>
      <c r="L295" s="9"/>
      <c r="M295" s="108"/>
      <c r="N295" s="9"/>
    </row>
    <row r="296" spans="9:14" ht="13.95" customHeight="1">
      <c r="I296" s="9"/>
      <c r="J296" s="9"/>
      <c r="K296" s="108"/>
      <c r="L296" s="9"/>
      <c r="M296" s="108"/>
      <c r="N296" s="9"/>
    </row>
    <row r="297" spans="9:14" ht="13.95" customHeight="1">
      <c r="I297" s="9"/>
      <c r="J297" s="9"/>
      <c r="K297" s="108"/>
      <c r="L297" s="9"/>
      <c r="M297" s="108"/>
      <c r="N297" s="9"/>
    </row>
    <row r="298" spans="9:14" ht="13.95" customHeight="1">
      <c r="I298" s="9"/>
      <c r="J298" s="9"/>
      <c r="K298" s="108"/>
      <c r="L298" s="9"/>
      <c r="M298" s="108"/>
      <c r="N298" s="9"/>
    </row>
    <row r="299" spans="9:14" ht="13.95" customHeight="1">
      <c r="I299" s="9"/>
      <c r="J299" s="9"/>
      <c r="K299" s="108"/>
      <c r="L299" s="9"/>
      <c r="M299" s="108"/>
      <c r="N299" s="9"/>
    </row>
    <row r="300" spans="9:14" ht="13.95" customHeight="1">
      <c r="I300" s="9"/>
      <c r="J300" s="9"/>
      <c r="K300" s="108"/>
      <c r="L300" s="9"/>
      <c r="M300" s="108"/>
      <c r="N300" s="9"/>
    </row>
    <row r="301" spans="9:14">
      <c r="I301" s="9"/>
      <c r="J301" s="9"/>
      <c r="K301" s="108"/>
      <c r="L301" s="9"/>
      <c r="M301" s="108"/>
      <c r="N301" s="9"/>
    </row>
    <row r="302" spans="9:14" ht="13.95" customHeight="1">
      <c r="I302" s="9"/>
      <c r="J302" s="9"/>
      <c r="K302" s="108"/>
      <c r="L302" s="9"/>
      <c r="M302" s="108"/>
      <c r="N302" s="9"/>
    </row>
    <row r="303" spans="9:14" ht="13.95" customHeight="1">
      <c r="I303" s="9"/>
      <c r="J303" s="9"/>
      <c r="K303" s="108"/>
      <c r="L303" s="9"/>
      <c r="M303" s="108"/>
      <c r="N303" s="9"/>
    </row>
    <row r="304" spans="9:14" ht="13.95" customHeight="1">
      <c r="I304" s="9"/>
      <c r="J304" s="9"/>
      <c r="K304" s="108"/>
      <c r="L304" s="9"/>
      <c r="M304" s="108"/>
      <c r="N304" s="9"/>
    </row>
    <row r="305" spans="9:15" ht="13.95" customHeight="1">
      <c r="I305" s="9"/>
      <c r="J305" s="9"/>
      <c r="K305" s="108"/>
      <c r="L305" s="9"/>
      <c r="M305" s="108"/>
      <c r="N305" s="9"/>
    </row>
    <row r="306" spans="9:15" ht="13.95" customHeight="1">
      <c r="I306" s="9"/>
      <c r="J306" s="9"/>
      <c r="K306" s="108"/>
      <c r="L306" s="9"/>
      <c r="M306" s="108"/>
      <c r="N306" s="9"/>
    </row>
    <row r="307" spans="9:15" ht="13.95" customHeight="1">
      <c r="I307" s="9"/>
      <c r="J307" s="9"/>
      <c r="K307" s="108"/>
      <c r="L307" s="9"/>
      <c r="M307" s="108"/>
      <c r="N307" s="9"/>
    </row>
    <row r="308" spans="9:15" ht="13.95" customHeight="1">
      <c r="I308" s="9"/>
      <c r="J308" s="9"/>
      <c r="K308" s="108"/>
      <c r="L308" s="103"/>
      <c r="M308" s="108"/>
      <c r="N308" s="9"/>
    </row>
    <row r="309" spans="9:15" ht="13.95" customHeight="1">
      <c r="I309" s="103"/>
      <c r="J309" s="103"/>
      <c r="K309" s="134"/>
      <c r="L309" s="103"/>
      <c r="M309" s="134"/>
      <c r="N309" s="9"/>
    </row>
    <row r="310" spans="9:15" ht="13.95" customHeight="1">
      <c r="I310" s="103"/>
      <c r="J310" s="103"/>
      <c r="K310" s="134"/>
      <c r="L310" s="103"/>
      <c r="M310" s="134"/>
      <c r="N310" s="9"/>
    </row>
    <row r="311" spans="9:15">
      <c r="I311" s="103"/>
      <c r="J311" s="103"/>
      <c r="K311" s="134"/>
      <c r="L311" s="103"/>
      <c r="M311" s="134"/>
      <c r="N311" s="103"/>
      <c r="O311" s="41"/>
    </row>
    <row r="312" spans="9:15" ht="13.95" customHeight="1">
      <c r="I312" s="103"/>
      <c r="J312" s="103"/>
      <c r="K312" s="134"/>
      <c r="L312" s="103"/>
      <c r="M312" s="134"/>
      <c r="N312" s="103"/>
      <c r="O312" s="41"/>
    </row>
    <row r="313" spans="9:15">
      <c r="I313" s="103"/>
      <c r="J313" s="103"/>
      <c r="K313" s="134"/>
      <c r="L313" s="103"/>
      <c r="M313" s="134"/>
      <c r="N313" s="103"/>
      <c r="O313" s="41"/>
    </row>
    <row r="314" spans="9:15" ht="13.95" customHeight="1">
      <c r="I314" s="103"/>
      <c r="J314" s="103"/>
      <c r="K314" s="134"/>
      <c r="L314" s="103"/>
      <c r="M314" s="134"/>
      <c r="N314" s="103"/>
      <c r="O314" s="41"/>
    </row>
    <row r="315" spans="9:15" ht="13.95" customHeight="1">
      <c r="I315" s="103"/>
      <c r="J315" s="103"/>
      <c r="K315" s="134"/>
      <c r="L315" s="103"/>
      <c r="M315" s="134"/>
      <c r="N315" s="103"/>
      <c r="O315" s="41"/>
    </row>
    <row r="316" spans="9:15" ht="13.95" customHeight="1">
      <c r="I316" s="103"/>
      <c r="J316" s="103"/>
      <c r="K316" s="134"/>
      <c r="L316" s="103"/>
      <c r="M316" s="134"/>
      <c r="N316" s="103"/>
      <c r="O316" s="41"/>
    </row>
    <row r="317" spans="9:15" ht="13.95" customHeight="1">
      <c r="I317" s="103"/>
      <c r="J317" s="103"/>
      <c r="K317" s="134"/>
      <c r="L317" s="103"/>
      <c r="M317" s="134"/>
      <c r="N317" s="103"/>
      <c r="O317" s="41"/>
    </row>
    <row r="318" spans="9:15" ht="13.95" customHeight="1">
      <c r="I318" s="103"/>
      <c r="J318" s="103"/>
      <c r="K318" s="134"/>
      <c r="L318" s="103"/>
      <c r="M318" s="134"/>
      <c r="N318" s="103"/>
      <c r="O318" s="41"/>
    </row>
    <row r="319" spans="9:15" ht="13.95" customHeight="1">
      <c r="I319" s="103"/>
      <c r="J319" s="103"/>
      <c r="K319" s="134"/>
      <c r="L319" s="103"/>
      <c r="M319" s="134"/>
      <c r="N319" s="103"/>
      <c r="O319" s="41"/>
    </row>
    <row r="320" spans="9:15" ht="13.95" customHeight="1">
      <c r="I320" s="103"/>
      <c r="J320" s="103"/>
      <c r="K320" s="103"/>
      <c r="L320" s="103"/>
      <c r="M320" s="134"/>
      <c r="N320" s="103"/>
      <c r="O320" s="41"/>
    </row>
    <row r="321" spans="9:15" ht="13.95" customHeight="1">
      <c r="I321" s="103"/>
      <c r="J321" s="103"/>
      <c r="K321" s="103"/>
      <c r="L321" s="103"/>
      <c r="M321" s="134"/>
      <c r="N321" s="103"/>
      <c r="O321" s="41"/>
    </row>
    <row r="322" spans="9:15" ht="13.95" customHeight="1">
      <c r="I322" s="103"/>
      <c r="J322" s="103"/>
      <c r="K322" s="103"/>
      <c r="L322" s="103"/>
      <c r="M322" s="134"/>
      <c r="N322" s="103"/>
      <c r="O322" s="41"/>
    </row>
    <row r="323" spans="9:15" ht="13.95" customHeight="1">
      <c r="I323" s="103"/>
      <c r="J323" s="103"/>
      <c r="K323" s="103"/>
      <c r="L323" s="103"/>
      <c r="M323" s="134"/>
      <c r="N323" s="103"/>
      <c r="O323" s="41"/>
    </row>
    <row r="324" spans="9:15" ht="13.95" customHeight="1">
      <c r="I324" s="103"/>
      <c r="J324" s="103"/>
      <c r="K324" s="103"/>
      <c r="L324" s="103"/>
      <c r="M324" s="134"/>
      <c r="N324" s="103"/>
      <c r="O324" s="41"/>
    </row>
    <row r="325" spans="9:15" ht="13.95" customHeight="1">
      <c r="I325" s="103"/>
      <c r="J325" s="103"/>
      <c r="K325" s="103"/>
      <c r="L325" s="103"/>
      <c r="M325" s="134"/>
      <c r="N325" s="103"/>
      <c r="O325" s="41"/>
    </row>
    <row r="326" spans="9:15" ht="13.95" customHeight="1">
      <c r="I326" s="103"/>
      <c r="J326" s="103"/>
      <c r="K326" s="103"/>
      <c r="L326" s="103"/>
      <c r="M326" s="134"/>
      <c r="N326" s="103"/>
      <c r="O326" s="41"/>
    </row>
    <row r="327" spans="9:15" ht="13.95" customHeight="1">
      <c r="I327" s="103"/>
      <c r="J327" s="103"/>
      <c r="K327" s="103"/>
      <c r="L327" s="103"/>
      <c r="M327" s="134"/>
      <c r="N327" s="103"/>
      <c r="O327" s="41"/>
    </row>
    <row r="328" spans="9:15" ht="13.95" customHeight="1">
      <c r="I328" s="103"/>
      <c r="J328" s="103"/>
      <c r="K328" s="103"/>
      <c r="L328" s="103"/>
      <c r="M328" s="134"/>
      <c r="N328" s="103"/>
      <c r="O328" s="41"/>
    </row>
    <row r="329" spans="9:15" ht="13.95" customHeight="1">
      <c r="I329" s="103"/>
      <c r="J329" s="103"/>
      <c r="K329" s="103"/>
      <c r="L329" s="103"/>
      <c r="M329" s="134"/>
      <c r="N329" s="103"/>
      <c r="O329" s="41"/>
    </row>
    <row r="330" spans="9:15" ht="13.95" customHeight="1">
      <c r="I330" s="103"/>
      <c r="J330" s="103"/>
      <c r="K330" s="103"/>
      <c r="L330" s="103"/>
      <c r="M330" s="134"/>
      <c r="N330" s="103"/>
      <c r="O330" s="41"/>
    </row>
    <row r="331" spans="9:15" ht="13.95" customHeight="1">
      <c r="I331" s="105"/>
      <c r="J331" s="105"/>
      <c r="K331" s="105"/>
      <c r="L331" s="105"/>
      <c r="M331" s="135"/>
      <c r="N331" s="53"/>
      <c r="O331" s="41"/>
    </row>
    <row r="335" spans="9:15" ht="20.399999999999999" customHeight="1"/>
  </sheetData>
  <mergeCells count="1">
    <mergeCell ref="A50:F50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A7D57-4876-4CB4-A916-FA5AFF4577D5}">
  <dimension ref="A1:O335"/>
  <sheetViews>
    <sheetView showGridLines="0" view="pageBreakPreview" topLeftCell="A2" zoomScaleNormal="100" zoomScaleSheetLayoutView="100" workbookViewId="0">
      <selection activeCell="I2" sqref="I1:Q1048576"/>
    </sheetView>
  </sheetViews>
  <sheetFormatPr defaultColWidth="13.109375" defaultRowHeight="12"/>
  <cols>
    <col min="1" max="1" width="4.88671875" style="22" customWidth="1"/>
    <col min="2" max="2" width="8.33203125" style="20" customWidth="1"/>
    <col min="3" max="3" width="40.6640625" style="21" customWidth="1"/>
    <col min="4" max="4" width="5.109375" style="22" customWidth="1"/>
    <col min="5" max="5" width="7.6640625" style="22" customWidth="1"/>
    <col min="6" max="6" width="8.6640625" style="23" customWidth="1"/>
    <col min="7" max="7" width="11.6640625" style="24" customWidth="1"/>
    <col min="8" max="8" width="4.33203125" style="6" customWidth="1"/>
    <col min="9" max="9" width="11.33203125" style="22" hidden="1" customWidth="1"/>
    <col min="10" max="10" width="11.109375" style="22" hidden="1" customWidth="1"/>
    <col min="11" max="11" width="10.88671875" style="22" hidden="1" customWidth="1"/>
    <col min="12" max="12" width="11.6640625" style="22" hidden="1" customWidth="1"/>
    <col min="13" max="13" width="13.109375" style="106" hidden="1" customWidth="1"/>
    <col min="14" max="14" width="0" style="22" hidden="1" customWidth="1"/>
    <col min="15" max="17" width="0" style="6" hidden="1" customWidth="1"/>
    <col min="18" max="16384" width="13.109375" style="6"/>
  </cols>
  <sheetData>
    <row r="1" spans="1:14" ht="20.399999999999999" hidden="1" customHeight="1">
      <c r="A1" s="19" t="s">
        <v>80</v>
      </c>
    </row>
    <row r="2" spans="1:14" ht="15" customHeight="1">
      <c r="A2" s="142" t="str">
        <f>Summary!A2</f>
        <v>NAFASI WATER - ARNOT WASTE TREATMENT PLANT</v>
      </c>
      <c r="G2" s="25" t="str">
        <f>Summary!C2</f>
        <v>Revision T1</v>
      </c>
    </row>
    <row r="3" spans="1:14" ht="15" customHeight="1">
      <c r="A3" s="19" t="str">
        <f>Summary!A3</f>
        <v>PILING AND CIVIL WORK</v>
      </c>
      <c r="G3" s="26"/>
    </row>
    <row r="4" spans="1:14" ht="15" customHeight="1">
      <c r="A4" s="19" t="s">
        <v>318</v>
      </c>
      <c r="G4" s="143">
        <f>Summary!C4</f>
        <v>45183</v>
      </c>
    </row>
    <row r="5" spans="1:14" ht="15" customHeight="1">
      <c r="A5" s="27"/>
      <c r="B5" s="28"/>
      <c r="C5" s="28"/>
      <c r="E5" s="29"/>
      <c r="G5" s="30"/>
    </row>
    <row r="6" spans="1:14" s="42" customFormat="1" ht="37.200000000000003" customHeight="1">
      <c r="A6" s="44" t="s">
        <v>8</v>
      </c>
      <c r="B6" s="48" t="s">
        <v>9</v>
      </c>
      <c r="C6" s="44" t="s">
        <v>10</v>
      </c>
      <c r="D6" s="48" t="s">
        <v>11</v>
      </c>
      <c r="E6" s="48" t="s">
        <v>59</v>
      </c>
      <c r="F6" s="49" t="s">
        <v>12</v>
      </c>
      <c r="G6" s="49" t="s">
        <v>13</v>
      </c>
      <c r="I6" s="100"/>
      <c r="J6" s="100"/>
      <c r="K6" s="100"/>
      <c r="L6" s="100"/>
      <c r="M6" s="100"/>
      <c r="N6" s="48"/>
    </row>
    <row r="7" spans="1:14" s="42" customFormat="1" ht="4.95" customHeight="1">
      <c r="A7" s="2"/>
      <c r="B7" s="40"/>
      <c r="C7" s="50"/>
      <c r="D7" s="40"/>
      <c r="E7" s="40"/>
      <c r="F7" s="54"/>
      <c r="G7" s="54"/>
      <c r="I7" s="40"/>
      <c r="J7" s="40"/>
      <c r="K7" s="107"/>
      <c r="L7" s="40"/>
      <c r="M7" s="107"/>
      <c r="N7" s="109"/>
    </row>
    <row r="8" spans="1:14" ht="19.2" customHeight="1">
      <c r="A8" s="1"/>
      <c r="B8" s="2"/>
      <c r="C8" s="11" t="s">
        <v>317</v>
      </c>
      <c r="D8" s="1"/>
      <c r="E8" s="1"/>
      <c r="F8" s="4"/>
      <c r="G8" s="5"/>
      <c r="I8" s="9"/>
      <c r="J8" s="9"/>
      <c r="K8" s="108"/>
      <c r="L8" s="9"/>
      <c r="M8" s="108"/>
      <c r="N8" s="9"/>
    </row>
    <row r="9" spans="1:14" ht="10.95" customHeight="1">
      <c r="A9" s="1"/>
      <c r="B9" s="2"/>
      <c r="C9" s="11"/>
      <c r="D9" s="1"/>
      <c r="E9" s="1"/>
      <c r="F9" s="4"/>
      <c r="G9" s="5"/>
      <c r="I9" s="9"/>
      <c r="J9" s="9"/>
      <c r="K9" s="108"/>
      <c r="L9" s="9"/>
      <c r="M9" s="108"/>
      <c r="N9" s="9"/>
    </row>
    <row r="10" spans="1:14">
      <c r="A10" s="1">
        <v>1</v>
      </c>
      <c r="B10" s="1"/>
      <c r="C10" s="32" t="s">
        <v>310</v>
      </c>
      <c r="D10" s="9" t="s">
        <v>60</v>
      </c>
      <c r="E10" s="13">
        <f>112</f>
        <v>112</v>
      </c>
      <c r="F10" s="4">
        <v>24000</v>
      </c>
      <c r="G10" s="5">
        <f t="shared" ref="G10" si="0">+E10*F10</f>
        <v>2688000</v>
      </c>
      <c r="I10" s="9"/>
      <c r="J10" s="9"/>
      <c r="K10" s="108"/>
      <c r="L10" s="9"/>
      <c r="M10" s="108"/>
      <c r="N10" s="9"/>
    </row>
    <row r="11" spans="1:14" ht="24">
      <c r="A11" s="1"/>
      <c r="B11" s="1"/>
      <c r="C11" s="33" t="s">
        <v>309</v>
      </c>
      <c r="D11" s="1"/>
      <c r="E11" s="3" t="str">
        <f>IF(SUM(H11:M11)&gt;0,SUM(H11:M11),"")</f>
        <v/>
      </c>
      <c r="F11" s="4"/>
      <c r="G11" s="5"/>
      <c r="I11" s="9"/>
      <c r="J11" s="9"/>
      <c r="K11" s="108"/>
      <c r="L11" s="9"/>
      <c r="M11" s="108"/>
      <c r="N11" s="9"/>
    </row>
    <row r="12" spans="1:14" ht="13.95" customHeight="1">
      <c r="A12" s="16"/>
      <c r="B12" s="76"/>
      <c r="C12" s="74"/>
      <c r="D12" s="93"/>
      <c r="E12" s="94"/>
      <c r="F12" s="14"/>
      <c r="G12" s="15"/>
      <c r="I12" s="9"/>
      <c r="J12" s="9"/>
      <c r="K12" s="108"/>
      <c r="L12" s="9"/>
      <c r="M12" s="108"/>
      <c r="N12" s="9"/>
    </row>
    <row r="13" spans="1:14" ht="13.95" customHeight="1">
      <c r="A13" s="16"/>
      <c r="B13" s="12"/>
      <c r="C13" s="75"/>
      <c r="D13" s="93"/>
      <c r="E13" s="94"/>
      <c r="F13" s="14"/>
      <c r="G13" s="15"/>
      <c r="I13" s="9"/>
      <c r="J13" s="9"/>
      <c r="K13" s="108"/>
      <c r="L13" s="9"/>
      <c r="M13" s="108"/>
      <c r="N13" s="9"/>
    </row>
    <row r="14" spans="1:14">
      <c r="A14" s="16"/>
      <c r="B14" s="12"/>
      <c r="C14" s="70"/>
      <c r="D14" s="12"/>
      <c r="E14" s="94"/>
      <c r="F14" s="14"/>
      <c r="G14" s="15"/>
      <c r="I14" s="137"/>
      <c r="J14" s="137"/>
      <c r="K14" s="137"/>
      <c r="L14" s="137"/>
      <c r="M14" s="137"/>
      <c r="N14" s="137"/>
    </row>
    <row r="15" spans="1:14" ht="13.95" customHeight="1">
      <c r="A15" s="16"/>
      <c r="B15" s="73"/>
      <c r="C15" s="62"/>
      <c r="D15" s="12"/>
      <c r="E15" s="94"/>
      <c r="F15" s="14"/>
      <c r="G15" s="15"/>
      <c r="I15" s="13"/>
      <c r="J15" s="13"/>
      <c r="K15" s="13"/>
      <c r="L15" s="13"/>
      <c r="M15" s="13"/>
      <c r="N15" s="13"/>
    </row>
    <row r="16" spans="1:14" ht="13.95" customHeight="1">
      <c r="A16" s="16"/>
      <c r="B16" s="73"/>
      <c r="C16" s="75"/>
      <c r="D16" s="12"/>
      <c r="E16" s="3"/>
      <c r="F16" s="13"/>
      <c r="G16" s="15"/>
      <c r="I16" s="13"/>
      <c r="J16" s="13"/>
      <c r="K16" s="13"/>
      <c r="L16" s="13"/>
      <c r="M16" s="13"/>
      <c r="N16" s="13"/>
    </row>
    <row r="17" spans="1:14">
      <c r="A17" s="16"/>
      <c r="B17" s="73"/>
      <c r="C17" s="62"/>
      <c r="D17" s="12"/>
      <c r="E17" s="94"/>
      <c r="F17" s="14"/>
      <c r="G17" s="15"/>
      <c r="I17" s="13"/>
      <c r="J17" s="13"/>
      <c r="K17" s="13"/>
      <c r="L17" s="13"/>
      <c r="M17" s="13"/>
      <c r="N17" s="13"/>
    </row>
    <row r="18" spans="1:14" ht="10.95" customHeight="1">
      <c r="A18" s="16"/>
      <c r="B18" s="12"/>
      <c r="C18" s="70"/>
      <c r="D18" s="12"/>
      <c r="E18" s="94"/>
      <c r="F18" s="14"/>
      <c r="G18" s="15"/>
      <c r="I18" s="13"/>
      <c r="J18" s="13"/>
      <c r="K18" s="13"/>
      <c r="L18" s="13"/>
      <c r="M18" s="13"/>
      <c r="N18" s="13"/>
    </row>
    <row r="19" spans="1:14" ht="13.2" customHeight="1">
      <c r="A19" s="16"/>
      <c r="B19" s="73"/>
      <c r="C19" s="62"/>
      <c r="D19" s="12"/>
      <c r="E19" s="94"/>
      <c r="F19" s="14"/>
      <c r="G19" s="15"/>
      <c r="I19" s="138"/>
      <c r="J19" s="138"/>
      <c r="K19" s="138"/>
      <c r="L19" s="138"/>
      <c r="M19" s="138"/>
      <c r="N19" s="138"/>
    </row>
    <row r="20" spans="1:14" ht="13.2" customHeight="1">
      <c r="A20" s="16"/>
      <c r="B20" s="73"/>
      <c r="C20" s="75"/>
      <c r="D20" s="12"/>
      <c r="E20" s="3"/>
      <c r="F20" s="14"/>
      <c r="G20" s="15"/>
      <c r="I20" s="138"/>
      <c r="J20" s="138"/>
      <c r="K20" s="138"/>
      <c r="L20" s="138"/>
      <c r="M20" s="138"/>
      <c r="N20" s="138"/>
    </row>
    <row r="21" spans="1:14" ht="13.2" customHeight="1">
      <c r="A21" s="16"/>
      <c r="B21" s="12"/>
      <c r="C21" s="75"/>
      <c r="D21" s="93"/>
      <c r="E21" s="94"/>
      <c r="F21" s="14"/>
      <c r="G21" s="15"/>
      <c r="I21" s="138"/>
      <c r="J21" s="138"/>
      <c r="K21" s="138"/>
      <c r="L21" s="138"/>
      <c r="M21" s="138"/>
      <c r="N21" s="138"/>
    </row>
    <row r="22" spans="1:14" ht="13.2" customHeight="1">
      <c r="A22" s="16"/>
      <c r="B22" s="76"/>
      <c r="C22" s="46"/>
      <c r="D22" s="12"/>
      <c r="E22" s="12"/>
      <c r="F22" s="145"/>
      <c r="G22" s="15"/>
      <c r="I22" s="138"/>
      <c r="J22" s="138"/>
      <c r="K22" s="138"/>
      <c r="L22" s="138"/>
      <c r="M22" s="138"/>
      <c r="N22" s="138"/>
    </row>
    <row r="23" spans="1:14" ht="13.2" customHeight="1">
      <c r="A23" s="16"/>
      <c r="B23" s="76"/>
      <c r="C23" s="75"/>
      <c r="D23" s="12"/>
      <c r="E23" s="12"/>
      <c r="F23" s="145"/>
      <c r="G23" s="15"/>
      <c r="I23" s="138"/>
      <c r="J23" s="138"/>
      <c r="K23" s="138"/>
      <c r="L23" s="138"/>
      <c r="M23" s="138"/>
      <c r="N23" s="138"/>
    </row>
    <row r="24" spans="1:14" ht="13.2" customHeight="1">
      <c r="A24" s="16"/>
      <c r="B24" s="76"/>
      <c r="C24" s="75"/>
      <c r="D24" s="12"/>
      <c r="E24" s="12"/>
      <c r="F24" s="145"/>
      <c r="G24" s="15"/>
      <c r="I24" s="138"/>
      <c r="J24" s="138"/>
      <c r="K24" s="138"/>
      <c r="L24" s="138"/>
      <c r="M24" s="138"/>
      <c r="N24" s="138"/>
    </row>
    <row r="25" spans="1:14" ht="13.2" customHeight="1">
      <c r="A25" s="16"/>
      <c r="B25" s="76"/>
      <c r="C25" s="75"/>
      <c r="D25" s="12"/>
      <c r="E25" s="12"/>
      <c r="F25" s="145"/>
      <c r="G25" s="15"/>
      <c r="I25" s="138"/>
      <c r="J25" s="138"/>
      <c r="K25" s="138"/>
      <c r="L25" s="138"/>
      <c r="M25" s="138"/>
      <c r="N25" s="138"/>
    </row>
    <row r="26" spans="1:14" ht="13.2" customHeight="1">
      <c r="A26" s="16"/>
      <c r="B26" s="76"/>
      <c r="C26" s="75"/>
      <c r="D26" s="12"/>
      <c r="E26" s="3"/>
      <c r="F26" s="94"/>
      <c r="G26" s="15"/>
      <c r="I26" s="138"/>
      <c r="J26" s="138"/>
      <c r="K26" s="138"/>
      <c r="L26" s="138"/>
      <c r="M26" s="138"/>
      <c r="N26" s="138"/>
    </row>
    <row r="27" spans="1:14" ht="12.6" customHeight="1">
      <c r="A27" s="16"/>
      <c r="B27" s="12"/>
      <c r="C27" s="75"/>
      <c r="D27" s="93"/>
      <c r="E27" s="94"/>
      <c r="F27" s="14"/>
      <c r="G27" s="15"/>
      <c r="I27" s="138"/>
      <c r="J27" s="138"/>
      <c r="K27" s="138"/>
      <c r="L27" s="138"/>
      <c r="M27" s="138"/>
      <c r="N27" s="138"/>
    </row>
    <row r="28" spans="1:14" ht="12.6" customHeight="1">
      <c r="A28" s="16"/>
      <c r="B28" s="12"/>
      <c r="C28" s="74"/>
      <c r="D28" s="12"/>
      <c r="E28" s="94"/>
      <c r="F28" s="14"/>
      <c r="G28" s="15"/>
      <c r="I28" s="138"/>
      <c r="J28" s="138"/>
      <c r="K28" s="138"/>
      <c r="L28" s="138"/>
      <c r="M28" s="138"/>
      <c r="N28" s="138"/>
    </row>
    <row r="29" spans="1:14" ht="12.6" customHeight="1">
      <c r="A29" s="16"/>
      <c r="B29" s="12"/>
      <c r="C29" s="75"/>
      <c r="D29" s="93"/>
      <c r="E29" s="3"/>
      <c r="F29" s="13"/>
      <c r="G29" s="15"/>
      <c r="I29" s="139"/>
      <c r="J29" s="139"/>
      <c r="K29" s="139"/>
      <c r="L29" s="139"/>
      <c r="M29" s="139"/>
      <c r="N29" s="139"/>
    </row>
    <row r="30" spans="1:14" ht="12.6" customHeight="1">
      <c r="A30" s="16"/>
      <c r="B30" s="12"/>
      <c r="C30" s="75"/>
      <c r="D30" s="93"/>
      <c r="E30" s="3"/>
      <c r="F30" s="13"/>
      <c r="G30" s="15"/>
      <c r="I30" s="138"/>
      <c r="J30" s="138"/>
      <c r="K30" s="138"/>
      <c r="L30" s="138"/>
      <c r="M30" s="138"/>
      <c r="N30" s="138"/>
    </row>
    <row r="31" spans="1:14" ht="12.6" customHeight="1">
      <c r="A31" s="16"/>
      <c r="B31" s="12"/>
      <c r="C31" s="75"/>
      <c r="D31" s="93"/>
      <c r="E31" s="3"/>
      <c r="F31" s="13"/>
      <c r="G31" s="15"/>
      <c r="I31" s="139"/>
      <c r="J31" s="139"/>
      <c r="K31" s="139"/>
      <c r="L31" s="139"/>
      <c r="M31" s="139"/>
      <c r="N31" s="139"/>
    </row>
    <row r="32" spans="1:14" ht="12.6" customHeight="1">
      <c r="A32" s="16"/>
      <c r="B32" s="12"/>
      <c r="C32" s="75"/>
      <c r="D32" s="93"/>
      <c r="E32" s="3"/>
      <c r="F32" s="13"/>
      <c r="G32" s="15"/>
      <c r="I32" s="138"/>
      <c r="J32" s="138"/>
      <c r="K32" s="138"/>
      <c r="L32" s="138"/>
      <c r="M32" s="138"/>
      <c r="N32" s="138"/>
    </row>
    <row r="33" spans="1:14" ht="12.6" customHeight="1">
      <c r="A33" s="16"/>
      <c r="B33" s="12"/>
      <c r="C33" s="75"/>
      <c r="D33" s="93"/>
      <c r="E33" s="3"/>
      <c r="F33" s="13"/>
      <c r="G33" s="15"/>
      <c r="I33" s="138"/>
      <c r="J33" s="138"/>
      <c r="K33" s="138"/>
      <c r="L33" s="138"/>
      <c r="M33" s="138"/>
      <c r="N33" s="138"/>
    </row>
    <row r="34" spans="1:14" ht="13.2" customHeight="1">
      <c r="A34" s="16"/>
      <c r="B34" s="12"/>
      <c r="C34" s="75"/>
      <c r="D34" s="93"/>
      <c r="E34" s="3"/>
      <c r="F34" s="13"/>
      <c r="G34" s="15"/>
      <c r="I34" s="138"/>
      <c r="J34" s="138"/>
      <c r="K34" s="138"/>
      <c r="L34" s="138"/>
      <c r="M34" s="138"/>
      <c r="N34" s="138"/>
    </row>
    <row r="35" spans="1:14" ht="13.2" customHeight="1">
      <c r="A35" s="16"/>
      <c r="B35" s="12"/>
      <c r="C35" s="75"/>
      <c r="D35" s="93"/>
      <c r="E35" s="3"/>
      <c r="F35" s="13"/>
      <c r="G35" s="15"/>
      <c r="I35" s="138"/>
      <c r="J35" s="138"/>
      <c r="K35" s="138"/>
      <c r="L35" s="138"/>
      <c r="M35" s="138"/>
      <c r="N35" s="138"/>
    </row>
    <row r="36" spans="1:14" ht="13.2" customHeight="1">
      <c r="A36" s="16"/>
      <c r="B36" s="12"/>
      <c r="C36" s="75"/>
      <c r="D36" s="93"/>
      <c r="E36" s="3"/>
      <c r="F36" s="13"/>
      <c r="G36" s="15"/>
      <c r="I36" s="138"/>
      <c r="J36" s="138"/>
      <c r="K36" s="138"/>
      <c r="L36" s="138"/>
      <c r="M36" s="138"/>
      <c r="N36" s="138"/>
    </row>
    <row r="37" spans="1:14" ht="13.2" customHeight="1">
      <c r="A37" s="16"/>
      <c r="B37" s="12"/>
      <c r="C37" s="75"/>
      <c r="D37" s="93"/>
      <c r="E37" s="3"/>
      <c r="F37" s="13"/>
      <c r="G37" s="15"/>
      <c r="I37" s="139"/>
      <c r="J37" s="139"/>
      <c r="K37" s="139"/>
      <c r="L37" s="139"/>
      <c r="M37" s="139"/>
      <c r="N37" s="139"/>
    </row>
    <row r="38" spans="1:14" ht="13.2" customHeight="1">
      <c r="A38" s="16"/>
      <c r="B38" s="12"/>
      <c r="C38" s="75"/>
      <c r="D38" s="93"/>
      <c r="E38" s="3"/>
      <c r="F38" s="13"/>
      <c r="G38" s="15"/>
      <c r="I38" s="138"/>
      <c r="J38" s="138"/>
      <c r="K38" s="138"/>
      <c r="L38" s="138"/>
      <c r="M38" s="138"/>
      <c r="N38" s="138"/>
    </row>
    <row r="39" spans="1:14" ht="13.2" customHeight="1">
      <c r="A39" s="16"/>
      <c r="B39" s="12"/>
      <c r="C39" s="75"/>
      <c r="D39" s="93"/>
      <c r="E39" s="3"/>
      <c r="F39" s="13"/>
      <c r="G39" s="15"/>
      <c r="I39" s="138"/>
      <c r="J39" s="138"/>
      <c r="K39" s="138"/>
      <c r="L39" s="138"/>
      <c r="M39" s="138"/>
      <c r="N39" s="138"/>
    </row>
    <row r="40" spans="1:14" ht="13.2" customHeight="1">
      <c r="A40" s="16"/>
      <c r="B40" s="12"/>
      <c r="C40" s="75"/>
      <c r="D40" s="93"/>
      <c r="E40" s="3"/>
      <c r="F40" s="13"/>
      <c r="G40" s="15"/>
      <c r="I40" s="138"/>
      <c r="J40" s="138"/>
      <c r="K40" s="138"/>
      <c r="L40" s="138"/>
      <c r="M40" s="138"/>
      <c r="N40" s="138"/>
    </row>
    <row r="41" spans="1:14" ht="13.2" customHeight="1">
      <c r="A41" s="16"/>
      <c r="B41" s="12"/>
      <c r="C41" s="75"/>
      <c r="D41" s="93"/>
      <c r="E41" s="3"/>
      <c r="F41" s="13"/>
      <c r="G41" s="15"/>
      <c r="I41" s="138"/>
      <c r="J41" s="138"/>
      <c r="K41" s="138"/>
      <c r="L41" s="138"/>
      <c r="M41" s="138"/>
      <c r="N41" s="138"/>
    </row>
    <row r="42" spans="1:14" ht="13.2" customHeight="1">
      <c r="A42" s="16"/>
      <c r="B42" s="12"/>
      <c r="C42" s="75"/>
      <c r="D42" s="93"/>
      <c r="E42" s="3"/>
      <c r="F42" s="13"/>
      <c r="G42" s="15"/>
      <c r="I42" s="1"/>
      <c r="J42" s="1"/>
      <c r="K42" s="108"/>
      <c r="L42" s="1"/>
      <c r="M42" s="108"/>
      <c r="N42" s="9"/>
    </row>
    <row r="43" spans="1:14">
      <c r="A43" s="16"/>
      <c r="B43" s="12"/>
      <c r="C43" s="75"/>
      <c r="D43" s="93"/>
      <c r="E43" s="3"/>
      <c r="F43" s="13"/>
      <c r="G43" s="15"/>
      <c r="I43" s="3"/>
      <c r="J43" s="3"/>
      <c r="K43" s="108"/>
      <c r="L43" s="3"/>
      <c r="M43" s="108"/>
      <c r="N43" s="9"/>
    </row>
    <row r="44" spans="1:14" ht="13.95" customHeight="1">
      <c r="A44" s="16"/>
      <c r="B44" s="12"/>
      <c r="C44" s="75"/>
      <c r="D44" s="93"/>
      <c r="E44" s="3"/>
      <c r="F44" s="13"/>
      <c r="G44" s="15"/>
      <c r="I44" s="3"/>
      <c r="J44" s="3"/>
      <c r="K44" s="108"/>
      <c r="L44" s="3"/>
      <c r="M44" s="108"/>
      <c r="N44" s="9"/>
    </row>
    <row r="45" spans="1:14" ht="50.4" customHeight="1">
      <c r="A45" s="16"/>
      <c r="B45" s="12"/>
      <c r="C45" s="75"/>
      <c r="D45" s="93"/>
      <c r="E45" s="3"/>
      <c r="F45" s="13"/>
      <c r="G45" s="15"/>
      <c r="I45" s="9"/>
      <c r="J45" s="9"/>
      <c r="K45" s="108"/>
      <c r="L45" s="9"/>
      <c r="M45" s="108"/>
      <c r="N45" s="9"/>
    </row>
    <row r="46" spans="1:14">
      <c r="A46" s="16"/>
      <c r="B46" s="16"/>
      <c r="C46" s="47"/>
      <c r="D46" s="58"/>
      <c r="E46" s="13"/>
      <c r="F46" s="14"/>
      <c r="G46" s="15"/>
      <c r="I46" s="9"/>
      <c r="J46" s="9"/>
      <c r="K46" s="108"/>
      <c r="L46" s="9"/>
      <c r="M46" s="108"/>
      <c r="N46" s="9"/>
    </row>
    <row r="47" spans="1:14" ht="13.95" customHeight="1">
      <c r="A47" s="16"/>
      <c r="B47" s="16"/>
      <c r="C47" s="47"/>
      <c r="D47" s="58"/>
      <c r="E47" s="13"/>
      <c r="F47" s="14"/>
      <c r="G47" s="15"/>
      <c r="I47" s="9"/>
      <c r="J47" s="9"/>
      <c r="K47" s="108"/>
      <c r="L47" s="9"/>
      <c r="M47" s="108"/>
      <c r="N47" s="9"/>
    </row>
    <row r="48" spans="1:14" ht="20.100000000000001" customHeight="1">
      <c r="A48" s="16"/>
      <c r="B48" s="16"/>
      <c r="C48" s="47"/>
      <c r="D48" s="58"/>
      <c r="E48" s="13"/>
      <c r="F48" s="14"/>
      <c r="G48" s="15"/>
      <c r="I48" s="9"/>
      <c r="J48" s="9"/>
      <c r="K48" s="108"/>
      <c r="L48" s="9"/>
      <c r="M48" s="108"/>
      <c r="N48" s="9"/>
    </row>
    <row r="49" spans="1:14">
      <c r="A49" s="16"/>
      <c r="B49" s="16"/>
      <c r="C49" s="47"/>
      <c r="D49" s="58"/>
      <c r="E49" s="13"/>
      <c r="F49" s="14"/>
      <c r="G49" s="15"/>
      <c r="I49" s="9"/>
      <c r="J49" s="9"/>
      <c r="K49" s="108"/>
      <c r="L49" s="9"/>
      <c r="M49" s="108"/>
      <c r="N49" s="9"/>
    </row>
    <row r="50" spans="1:14" ht="13.95" customHeight="1">
      <c r="A50" s="156" t="s">
        <v>161</v>
      </c>
      <c r="B50" s="157"/>
      <c r="C50" s="157"/>
      <c r="D50" s="157"/>
      <c r="E50" s="157"/>
      <c r="F50" s="158"/>
      <c r="G50" s="78">
        <f>G10</f>
        <v>2688000</v>
      </c>
      <c r="I50" s="9"/>
      <c r="J50" s="9"/>
      <c r="K50" s="108"/>
      <c r="L50" s="9"/>
      <c r="M50" s="108"/>
      <c r="N50" s="9"/>
    </row>
    <row r="51" spans="1:14" ht="24" customHeight="1">
      <c r="I51" s="9"/>
      <c r="J51" s="9"/>
      <c r="K51" s="108"/>
      <c r="L51" s="9"/>
      <c r="M51" s="108"/>
      <c r="N51" s="9"/>
    </row>
    <row r="52" spans="1:14" ht="20.100000000000001" customHeight="1">
      <c r="I52" s="9"/>
      <c r="J52" s="9"/>
      <c r="K52" s="108"/>
      <c r="L52" s="9"/>
      <c r="M52" s="108"/>
      <c r="N52" s="9"/>
    </row>
    <row r="53" spans="1:14" ht="9" customHeight="1">
      <c r="I53" s="3"/>
      <c r="J53" s="3"/>
      <c r="K53" s="108"/>
      <c r="L53" s="3"/>
      <c r="M53" s="108"/>
      <c r="N53" s="9"/>
    </row>
    <row r="54" spans="1:14" ht="13.95" customHeight="1">
      <c r="I54" s="3"/>
      <c r="J54" s="3"/>
      <c r="K54" s="108"/>
      <c r="L54" s="3"/>
      <c r="M54" s="108"/>
      <c r="N54" s="9"/>
    </row>
    <row r="55" spans="1:14" ht="13.95" customHeight="1">
      <c r="I55" s="3"/>
      <c r="J55" s="3"/>
      <c r="K55" s="108"/>
      <c r="L55" s="3"/>
      <c r="M55" s="108"/>
      <c r="N55" s="9"/>
    </row>
    <row r="56" spans="1:14" ht="13.95" customHeight="1">
      <c r="I56" s="3"/>
      <c r="J56" s="3"/>
      <c r="K56" s="108"/>
      <c r="L56" s="3"/>
      <c r="M56" s="108"/>
      <c r="N56" s="9"/>
    </row>
    <row r="57" spans="1:14" ht="13.95" customHeight="1">
      <c r="I57" s="3"/>
      <c r="J57" s="3"/>
      <c r="K57" s="108"/>
      <c r="L57" s="3"/>
      <c r="M57" s="108"/>
      <c r="N57" s="9"/>
    </row>
    <row r="58" spans="1:14" ht="22.95" customHeight="1">
      <c r="I58" s="3"/>
      <c r="J58" s="3"/>
      <c r="K58" s="108"/>
      <c r="L58" s="3"/>
      <c r="M58" s="108"/>
      <c r="N58" s="9"/>
    </row>
    <row r="59" spans="1:14" ht="13.95" customHeight="1">
      <c r="I59" s="3"/>
      <c r="J59" s="3"/>
      <c r="K59" s="108"/>
      <c r="L59" s="3"/>
      <c r="M59" s="108"/>
      <c r="N59" s="9"/>
    </row>
    <row r="60" spans="1:14" ht="13.95" customHeight="1">
      <c r="I60" s="3"/>
      <c r="J60" s="3"/>
      <c r="K60" s="108"/>
      <c r="L60" s="3"/>
      <c r="M60" s="108"/>
      <c r="N60" s="9"/>
    </row>
    <row r="61" spans="1:14" ht="9.75" customHeight="1">
      <c r="I61" s="3"/>
      <c r="J61" s="3"/>
      <c r="K61" s="108"/>
      <c r="L61" s="3"/>
      <c r="M61" s="108"/>
      <c r="N61" s="9"/>
    </row>
    <row r="62" spans="1:14" ht="13.95" customHeight="1">
      <c r="I62" s="3"/>
      <c r="J62" s="3"/>
      <c r="K62" s="108"/>
      <c r="L62" s="3"/>
      <c r="M62" s="108"/>
      <c r="N62" s="9"/>
    </row>
    <row r="63" spans="1:14" ht="9" customHeight="1">
      <c r="I63" s="3"/>
      <c r="J63" s="3"/>
      <c r="K63" s="108"/>
      <c r="L63" s="3"/>
      <c r="M63" s="108"/>
      <c r="N63" s="9"/>
    </row>
    <row r="64" spans="1:14" ht="28.95" customHeight="1">
      <c r="I64" s="3"/>
      <c r="J64" s="3"/>
      <c r="K64" s="108"/>
      <c r="L64" s="3"/>
      <c r="M64" s="108"/>
      <c r="N64" s="9"/>
    </row>
    <row r="65" spans="9:14" ht="13.95" customHeight="1">
      <c r="I65" s="3"/>
      <c r="J65" s="3"/>
      <c r="K65" s="108"/>
      <c r="L65" s="3"/>
      <c r="M65" s="108"/>
      <c r="N65" s="9"/>
    </row>
    <row r="66" spans="9:14" ht="22.2" customHeight="1">
      <c r="I66" s="3"/>
      <c r="J66" s="3"/>
      <c r="K66" s="108"/>
      <c r="L66" s="3"/>
      <c r="M66" s="108"/>
      <c r="N66" s="9"/>
    </row>
    <row r="67" spans="9:14" ht="13.95" customHeight="1">
      <c r="I67" s="3"/>
      <c r="J67" s="3"/>
      <c r="K67" s="108"/>
      <c r="L67" s="3"/>
      <c r="M67" s="108"/>
      <c r="N67" s="9"/>
    </row>
    <row r="68" spans="9:14" ht="13.95" customHeight="1">
      <c r="I68" s="3"/>
      <c r="J68" s="3"/>
      <c r="K68" s="108"/>
      <c r="L68" s="3"/>
      <c r="M68" s="108"/>
      <c r="N68" s="9"/>
    </row>
    <row r="69" spans="9:14" ht="13.95" customHeight="1">
      <c r="I69" s="3"/>
      <c r="J69" s="3"/>
      <c r="K69" s="108"/>
      <c r="L69" s="3"/>
      <c r="M69" s="108"/>
      <c r="N69" s="9"/>
    </row>
    <row r="70" spans="9:14" ht="23.4" customHeight="1">
      <c r="I70" s="3"/>
      <c r="J70" s="3"/>
      <c r="K70" s="108"/>
      <c r="L70" s="3"/>
      <c r="M70" s="108"/>
      <c r="N70" s="9"/>
    </row>
    <row r="71" spans="9:14" ht="13.95" customHeight="1">
      <c r="I71" s="3"/>
      <c r="J71" s="3"/>
      <c r="K71" s="108"/>
      <c r="L71" s="3"/>
      <c r="M71" s="108"/>
      <c r="N71" s="9"/>
    </row>
    <row r="72" spans="9:14" ht="33.6" customHeight="1">
      <c r="I72" s="3"/>
      <c r="J72" s="3"/>
      <c r="K72" s="108"/>
      <c r="L72" s="3"/>
      <c r="M72" s="108"/>
      <c r="N72" s="9"/>
    </row>
    <row r="73" spans="9:14" ht="13.95" customHeight="1">
      <c r="I73" s="3"/>
      <c r="J73" s="3"/>
      <c r="K73" s="108"/>
      <c r="L73" s="3"/>
      <c r="M73" s="108"/>
      <c r="N73" s="9"/>
    </row>
    <row r="74" spans="9:14" ht="21.6" customHeight="1">
      <c r="I74" s="3"/>
      <c r="J74" s="3"/>
      <c r="K74" s="108"/>
      <c r="L74" s="3"/>
      <c r="M74" s="108"/>
      <c r="N74" s="9"/>
    </row>
    <row r="75" spans="9:14" ht="13.95" customHeight="1">
      <c r="I75" s="3"/>
      <c r="J75" s="3"/>
      <c r="K75" s="108"/>
      <c r="L75" s="3"/>
      <c r="M75" s="108"/>
      <c r="N75" s="9"/>
    </row>
    <row r="76" spans="9:14" ht="13.95" customHeight="1">
      <c r="I76" s="3"/>
      <c r="J76" s="3"/>
      <c r="K76" s="108"/>
      <c r="L76" s="3"/>
      <c r="M76" s="108"/>
      <c r="N76" s="9"/>
    </row>
    <row r="77" spans="9:14" ht="13.95" customHeight="1">
      <c r="I77" s="3"/>
      <c r="J77" s="3"/>
      <c r="K77" s="108"/>
      <c r="L77" s="3"/>
      <c r="M77" s="108"/>
      <c r="N77" s="9"/>
    </row>
    <row r="78" spans="9:14" ht="13.95" customHeight="1">
      <c r="I78" s="3"/>
      <c r="J78" s="3"/>
      <c r="K78" s="108"/>
      <c r="L78" s="3"/>
      <c r="M78" s="108"/>
      <c r="N78" s="9"/>
    </row>
    <row r="79" spans="9:14" ht="13.95" customHeight="1">
      <c r="I79" s="3"/>
      <c r="J79" s="3"/>
      <c r="K79" s="108"/>
      <c r="L79" s="3"/>
      <c r="M79" s="108"/>
      <c r="N79" s="9"/>
    </row>
    <row r="80" spans="9:14" ht="13.95" customHeight="1">
      <c r="I80" s="3"/>
      <c r="J80" s="3"/>
      <c r="K80" s="108"/>
      <c r="L80" s="3"/>
      <c r="M80" s="108"/>
      <c r="N80" s="9"/>
    </row>
    <row r="81" spans="9:14" ht="13.95" customHeight="1">
      <c r="I81" s="3"/>
      <c r="J81" s="3"/>
      <c r="K81" s="108"/>
      <c r="L81" s="3"/>
      <c r="M81" s="108"/>
      <c r="N81" s="9"/>
    </row>
    <row r="82" spans="9:14" ht="13.95" customHeight="1">
      <c r="I82" s="3"/>
      <c r="J82" s="3"/>
      <c r="K82" s="108"/>
      <c r="L82" s="3"/>
      <c r="M82" s="108"/>
      <c r="N82" s="9"/>
    </row>
    <row r="83" spans="9:14" ht="13.95" customHeight="1">
      <c r="I83" s="3"/>
      <c r="J83" s="3"/>
      <c r="K83" s="108"/>
      <c r="L83" s="3"/>
      <c r="M83" s="108"/>
      <c r="N83" s="9"/>
    </row>
    <row r="84" spans="9:14" ht="19.95" customHeight="1">
      <c r="I84" s="3"/>
      <c r="J84" s="3"/>
      <c r="K84" s="108"/>
      <c r="L84" s="3"/>
      <c r="M84" s="108"/>
      <c r="N84" s="9"/>
    </row>
    <row r="85" spans="9:14" ht="13.95" customHeight="1">
      <c r="I85" s="3"/>
      <c r="J85" s="3"/>
      <c r="K85" s="108"/>
      <c r="L85" s="3"/>
      <c r="M85" s="108"/>
      <c r="N85" s="9"/>
    </row>
    <row r="86" spans="9:14" ht="13.95" customHeight="1">
      <c r="I86" s="3"/>
      <c r="J86" s="3"/>
      <c r="K86" s="108"/>
      <c r="L86" s="3"/>
      <c r="M86" s="108"/>
      <c r="N86" s="9"/>
    </row>
    <row r="87" spans="9:14" ht="13.95" customHeight="1">
      <c r="I87" s="3"/>
      <c r="J87" s="3"/>
      <c r="K87" s="108"/>
      <c r="L87" s="3"/>
      <c r="M87" s="108"/>
      <c r="N87" s="9"/>
    </row>
    <row r="88" spans="9:14" ht="13.95" customHeight="1">
      <c r="I88" s="3"/>
      <c r="J88" s="3"/>
      <c r="K88" s="108"/>
      <c r="L88" s="3"/>
      <c r="M88" s="108"/>
      <c r="N88" s="9"/>
    </row>
    <row r="89" spans="9:14" ht="13.95" customHeight="1">
      <c r="I89" s="3"/>
      <c r="J89" s="3"/>
      <c r="K89" s="108"/>
      <c r="L89" s="3"/>
      <c r="M89" s="108"/>
      <c r="N89" s="9"/>
    </row>
    <row r="90" spans="9:14" ht="13.95" customHeight="1">
      <c r="I90" s="3"/>
      <c r="J90" s="3"/>
      <c r="K90" s="108"/>
      <c r="L90" s="3"/>
      <c r="M90" s="108"/>
      <c r="N90" s="9"/>
    </row>
    <row r="91" spans="9:14" ht="13.95" customHeight="1">
      <c r="I91" s="3"/>
      <c r="J91" s="3"/>
      <c r="K91" s="108"/>
      <c r="L91" s="3"/>
      <c r="M91" s="108"/>
      <c r="N91" s="9"/>
    </row>
    <row r="92" spans="9:14" ht="13.95" customHeight="1">
      <c r="I92" s="3"/>
      <c r="J92" s="3"/>
      <c r="K92" s="108"/>
      <c r="L92" s="3"/>
      <c r="M92" s="108"/>
      <c r="N92" s="9"/>
    </row>
    <row r="93" spans="9:14" ht="13.95" customHeight="1">
      <c r="I93" s="3"/>
      <c r="J93" s="3"/>
      <c r="K93" s="108"/>
      <c r="L93" s="3"/>
      <c r="M93" s="108"/>
      <c r="N93" s="9"/>
    </row>
    <row r="94" spans="9:14" ht="13.95" customHeight="1">
      <c r="I94" s="3"/>
      <c r="J94" s="3"/>
      <c r="K94" s="108"/>
      <c r="L94" s="3"/>
      <c r="M94" s="108"/>
      <c r="N94" s="9"/>
    </row>
    <row r="95" spans="9:14" ht="13.95" customHeight="1">
      <c r="I95" s="3"/>
      <c r="J95" s="3"/>
      <c r="K95" s="108"/>
      <c r="L95" s="3"/>
      <c r="M95" s="108"/>
      <c r="N95" s="9"/>
    </row>
    <row r="96" spans="9:14" ht="20.100000000000001" customHeight="1">
      <c r="I96" s="9"/>
      <c r="J96" s="9"/>
      <c r="K96" s="108"/>
      <c r="L96" s="9"/>
      <c r="M96" s="108"/>
      <c r="N96" s="9"/>
    </row>
    <row r="97" spans="9:14" ht="13.95" customHeight="1">
      <c r="I97" s="9"/>
      <c r="J97" s="9"/>
      <c r="K97" s="108"/>
      <c r="L97" s="9"/>
      <c r="M97" s="108"/>
      <c r="N97" s="9"/>
    </row>
    <row r="98" spans="9:14" ht="13.95" customHeight="1">
      <c r="I98" s="9"/>
      <c r="J98" s="9"/>
      <c r="K98" s="108"/>
      <c r="L98" s="9"/>
      <c r="M98" s="108"/>
      <c r="N98" s="9"/>
    </row>
    <row r="99" spans="9:14" ht="22.2" customHeight="1">
      <c r="I99" s="9"/>
      <c r="J99" s="9"/>
      <c r="K99" s="108"/>
      <c r="L99" s="9"/>
      <c r="M99" s="108"/>
      <c r="N99" s="9"/>
    </row>
    <row r="100" spans="9:14" ht="20.100000000000001" customHeight="1">
      <c r="I100" s="9"/>
      <c r="J100" s="9"/>
      <c r="K100" s="108"/>
      <c r="L100" s="9"/>
      <c r="M100" s="108"/>
      <c r="N100" s="9"/>
    </row>
    <row r="101" spans="9:14" ht="13.95" customHeight="1">
      <c r="I101" s="9"/>
      <c r="J101" s="9"/>
      <c r="K101" s="108"/>
      <c r="L101" s="9"/>
      <c r="M101" s="108"/>
      <c r="N101" s="9"/>
    </row>
    <row r="102" spans="9:14" ht="13.95" customHeight="1">
      <c r="I102" s="3"/>
      <c r="J102" s="3"/>
      <c r="K102" s="108"/>
      <c r="L102" s="3"/>
      <c r="M102" s="108"/>
      <c r="N102" s="9"/>
    </row>
    <row r="103" spans="9:14" ht="13.95" customHeight="1">
      <c r="I103" s="3"/>
      <c r="J103" s="3"/>
      <c r="K103" s="108"/>
      <c r="L103" s="3"/>
      <c r="M103" s="108"/>
      <c r="N103" s="9"/>
    </row>
    <row r="104" spans="9:14" ht="13.95" customHeight="1">
      <c r="I104" s="3"/>
      <c r="J104" s="3"/>
      <c r="K104" s="108"/>
      <c r="L104" s="3"/>
      <c r="M104" s="108"/>
      <c r="N104" s="9"/>
    </row>
    <row r="105" spans="9:14" ht="13.95" customHeight="1">
      <c r="I105" s="9"/>
      <c r="J105" s="9"/>
      <c r="K105" s="108"/>
      <c r="L105" s="9"/>
      <c r="M105" s="108"/>
      <c r="N105" s="9"/>
    </row>
    <row r="106" spans="9:14" ht="13.95" customHeight="1">
      <c r="I106" s="9"/>
      <c r="J106" s="9"/>
      <c r="K106" s="108"/>
      <c r="L106" s="9"/>
      <c r="M106" s="108"/>
      <c r="N106" s="9"/>
    </row>
    <row r="107" spans="9:14" ht="13.95" customHeight="1">
      <c r="I107" s="9"/>
      <c r="J107" s="9"/>
      <c r="K107" s="108"/>
      <c r="L107" s="9"/>
      <c r="M107" s="108"/>
      <c r="N107" s="9"/>
    </row>
    <row r="108" spans="9:14" ht="13.95" customHeight="1">
      <c r="I108" s="3"/>
      <c r="J108" s="3"/>
      <c r="K108" s="108"/>
      <c r="L108" s="3"/>
      <c r="M108" s="108"/>
      <c r="N108" s="9"/>
    </row>
    <row r="109" spans="9:14" ht="13.95" customHeight="1">
      <c r="I109" s="3"/>
      <c r="J109" s="3"/>
      <c r="K109" s="108"/>
      <c r="L109" s="3"/>
      <c r="M109" s="108"/>
      <c r="N109" s="9"/>
    </row>
    <row r="110" spans="9:14" ht="13.95" customHeight="1">
      <c r="I110" s="3"/>
      <c r="J110" s="3"/>
      <c r="K110" s="108"/>
      <c r="L110" s="3"/>
      <c r="M110" s="108"/>
      <c r="N110" s="9"/>
    </row>
    <row r="111" spans="9:14" ht="13.95" customHeight="1">
      <c r="I111" s="3"/>
      <c r="J111" s="3"/>
      <c r="K111" s="108"/>
      <c r="L111" s="3"/>
      <c r="M111" s="108"/>
      <c r="N111" s="9"/>
    </row>
    <row r="112" spans="9:14" ht="24" customHeight="1">
      <c r="I112" s="3"/>
      <c r="J112" s="3"/>
      <c r="K112" s="108"/>
      <c r="L112" s="3"/>
      <c r="M112" s="108"/>
      <c r="N112" s="9"/>
    </row>
    <row r="113" spans="9:14" ht="13.95" customHeight="1">
      <c r="I113" s="3"/>
      <c r="J113" s="3"/>
      <c r="K113" s="108"/>
      <c r="L113" s="3"/>
      <c r="M113" s="108"/>
      <c r="N113" s="9"/>
    </row>
    <row r="114" spans="9:14" ht="13.95" customHeight="1">
      <c r="I114" s="3"/>
      <c r="J114" s="3"/>
      <c r="K114" s="108"/>
      <c r="L114" s="3"/>
      <c r="M114" s="108"/>
      <c r="N114" s="9"/>
    </row>
    <row r="115" spans="9:14" ht="13.95" customHeight="1">
      <c r="I115" s="3"/>
      <c r="J115" s="3"/>
      <c r="K115" s="108"/>
      <c r="L115" s="3"/>
      <c r="M115" s="108"/>
      <c r="N115" s="9"/>
    </row>
    <row r="116" spans="9:14" ht="13.95" customHeight="1">
      <c r="I116" s="3"/>
      <c r="J116" s="3"/>
      <c r="K116" s="108"/>
      <c r="L116" s="3"/>
      <c r="M116" s="108"/>
      <c r="N116" s="9"/>
    </row>
    <row r="117" spans="9:14" ht="13.95" customHeight="1">
      <c r="I117" s="3"/>
      <c r="J117" s="3"/>
      <c r="K117" s="108"/>
      <c r="L117" s="3"/>
      <c r="M117" s="108"/>
      <c r="N117" s="9"/>
    </row>
    <row r="118" spans="9:14" ht="13.95" customHeight="1">
      <c r="I118" s="3"/>
      <c r="J118" s="3"/>
      <c r="K118" s="108"/>
      <c r="L118" s="3"/>
      <c r="M118" s="108"/>
      <c r="N118" s="9"/>
    </row>
    <row r="119" spans="9:14" ht="13.95" customHeight="1">
      <c r="I119" s="3"/>
      <c r="J119" s="3"/>
      <c r="K119" s="108"/>
      <c r="L119" s="3"/>
      <c r="M119" s="108"/>
      <c r="N119" s="9"/>
    </row>
    <row r="120" spans="9:14" ht="13.95" customHeight="1">
      <c r="I120" s="3"/>
      <c r="J120" s="3"/>
      <c r="K120" s="108"/>
      <c r="L120" s="3"/>
      <c r="M120" s="108"/>
      <c r="N120" s="9"/>
    </row>
    <row r="121" spans="9:14" ht="13.95" customHeight="1">
      <c r="I121" s="3"/>
      <c r="J121" s="3"/>
      <c r="K121" s="108"/>
      <c r="L121" s="3"/>
      <c r="M121" s="108"/>
      <c r="N121" s="9"/>
    </row>
    <row r="122" spans="9:14" ht="13.95" customHeight="1">
      <c r="I122" s="3"/>
      <c r="J122" s="3"/>
      <c r="K122" s="108"/>
      <c r="L122" s="3"/>
      <c r="M122" s="108"/>
      <c r="N122" s="9"/>
    </row>
    <row r="123" spans="9:14" ht="13.95" customHeight="1">
      <c r="I123" s="3"/>
      <c r="J123" s="3"/>
      <c r="K123" s="108"/>
      <c r="L123" s="3"/>
      <c r="M123" s="108"/>
      <c r="N123" s="9"/>
    </row>
    <row r="124" spans="9:14" ht="13.95" customHeight="1">
      <c r="I124" s="3"/>
      <c r="J124" s="3"/>
      <c r="K124" s="108"/>
      <c r="L124" s="3"/>
      <c r="M124" s="108"/>
      <c r="N124" s="9"/>
    </row>
    <row r="125" spans="9:14" ht="13.95" customHeight="1">
      <c r="I125" s="3"/>
      <c r="J125" s="3"/>
      <c r="K125" s="108"/>
      <c r="L125" s="3"/>
      <c r="M125" s="108"/>
      <c r="N125" s="9"/>
    </row>
    <row r="126" spans="9:14" ht="13.95" customHeight="1">
      <c r="I126" s="4"/>
      <c r="J126" s="4"/>
      <c r="K126" s="108"/>
      <c r="L126" s="4"/>
      <c r="M126" s="108"/>
      <c r="N126" s="9"/>
    </row>
    <row r="127" spans="9:14" ht="13.95" customHeight="1">
      <c r="I127" s="3"/>
      <c r="J127" s="3"/>
      <c r="K127" s="108"/>
      <c r="L127" s="3"/>
      <c r="M127" s="108"/>
      <c r="N127" s="9"/>
    </row>
    <row r="128" spans="9:14" ht="13.95" customHeight="1">
      <c r="I128" s="3"/>
      <c r="J128" s="3"/>
      <c r="K128" s="108"/>
      <c r="L128" s="3"/>
      <c r="M128" s="108"/>
      <c r="N128" s="9"/>
    </row>
    <row r="129" spans="9:14" ht="13.95" customHeight="1">
      <c r="I129" s="3"/>
      <c r="J129" s="3"/>
      <c r="K129" s="108"/>
      <c r="L129" s="3"/>
      <c r="M129" s="108"/>
      <c r="N129" s="9"/>
    </row>
    <row r="130" spans="9:14" ht="13.95" customHeight="1">
      <c r="I130" s="3"/>
      <c r="J130" s="3"/>
      <c r="K130" s="108"/>
      <c r="L130" s="3"/>
      <c r="M130" s="108"/>
      <c r="N130" s="9"/>
    </row>
    <row r="131" spans="9:14" ht="13.95" customHeight="1">
      <c r="I131" s="3"/>
      <c r="J131" s="3"/>
      <c r="K131" s="108"/>
      <c r="L131" s="3"/>
      <c r="M131" s="108"/>
      <c r="N131" s="9"/>
    </row>
    <row r="132" spans="9:14" ht="13.95" customHeight="1">
      <c r="I132" s="3"/>
      <c r="J132" s="3"/>
      <c r="K132" s="108"/>
      <c r="L132" s="3"/>
      <c r="M132" s="108"/>
      <c r="N132" s="9"/>
    </row>
    <row r="133" spans="9:14" ht="13.95" customHeight="1">
      <c r="I133" s="3"/>
      <c r="J133" s="3"/>
      <c r="K133" s="108"/>
      <c r="L133" s="3"/>
      <c r="M133" s="108"/>
      <c r="N133" s="9"/>
    </row>
    <row r="134" spans="9:14" ht="13.95" customHeight="1">
      <c r="I134" s="3"/>
      <c r="J134" s="3"/>
      <c r="K134" s="108"/>
      <c r="L134" s="3"/>
      <c r="M134" s="108"/>
      <c r="N134" s="9"/>
    </row>
    <row r="135" spans="9:14" ht="13.95" customHeight="1">
      <c r="I135" s="3"/>
      <c r="J135" s="3"/>
      <c r="K135" s="108"/>
      <c r="L135" s="3"/>
      <c r="M135" s="108"/>
      <c r="N135" s="9"/>
    </row>
    <row r="136" spans="9:14" ht="13.95" customHeight="1">
      <c r="I136" s="3"/>
      <c r="J136" s="3"/>
      <c r="K136" s="108"/>
      <c r="L136" s="3"/>
      <c r="M136" s="108"/>
      <c r="N136" s="9"/>
    </row>
    <row r="137" spans="9:14" ht="13.95" customHeight="1">
      <c r="I137" s="3"/>
      <c r="J137" s="3"/>
      <c r="K137" s="108"/>
      <c r="L137" s="3"/>
      <c r="M137" s="108"/>
      <c r="N137" s="9"/>
    </row>
    <row r="138" spans="9:14" ht="13.95" customHeight="1">
      <c r="I138" s="3"/>
      <c r="J138" s="3"/>
      <c r="K138" s="108"/>
      <c r="L138" s="3"/>
      <c r="M138" s="108"/>
      <c r="N138" s="9"/>
    </row>
    <row r="139" spans="9:14" ht="13.95" customHeight="1">
      <c r="I139" s="3"/>
      <c r="J139" s="3"/>
      <c r="K139" s="108"/>
      <c r="L139" s="3"/>
      <c r="M139" s="108"/>
      <c r="N139" s="9"/>
    </row>
    <row r="140" spans="9:14" ht="13.95" customHeight="1">
      <c r="I140" s="3"/>
      <c r="J140" s="3"/>
      <c r="K140" s="108"/>
      <c r="L140" s="3"/>
      <c r="M140" s="108"/>
      <c r="N140" s="9"/>
    </row>
    <row r="141" spans="9:14" ht="13.95" customHeight="1">
      <c r="I141" s="3"/>
      <c r="J141" s="3"/>
      <c r="K141" s="108"/>
      <c r="L141" s="3"/>
      <c r="M141" s="108"/>
      <c r="N141" s="9"/>
    </row>
    <row r="142" spans="9:14" ht="13.95" customHeight="1">
      <c r="I142" s="3"/>
      <c r="J142" s="3"/>
      <c r="K142" s="108"/>
      <c r="L142" s="3"/>
      <c r="M142" s="108"/>
      <c r="N142" s="9"/>
    </row>
    <row r="143" spans="9:14" ht="13.95" customHeight="1">
      <c r="I143" s="3"/>
      <c r="J143" s="3"/>
      <c r="K143" s="108"/>
      <c r="L143" s="3"/>
      <c r="M143" s="108"/>
      <c r="N143" s="9"/>
    </row>
    <row r="144" spans="9:14" ht="13.95" customHeight="1">
      <c r="I144" s="3"/>
      <c r="J144" s="3"/>
      <c r="K144" s="108"/>
      <c r="L144" s="3"/>
      <c r="M144" s="108"/>
      <c r="N144" s="9"/>
    </row>
    <row r="145" spans="9:14" ht="13.95" customHeight="1">
      <c r="I145" s="3"/>
      <c r="J145" s="3"/>
      <c r="K145" s="108"/>
      <c r="L145" s="3"/>
      <c r="M145" s="108"/>
      <c r="N145" s="9"/>
    </row>
    <row r="146" spans="9:14" ht="13.95" customHeight="1">
      <c r="I146" s="3"/>
      <c r="J146" s="3"/>
      <c r="K146" s="108"/>
      <c r="L146" s="3"/>
      <c r="M146" s="108"/>
      <c r="N146" s="9"/>
    </row>
    <row r="147" spans="9:14" ht="13.95" customHeight="1">
      <c r="I147" s="3"/>
      <c r="J147" s="3"/>
      <c r="K147" s="108"/>
      <c r="L147" s="3"/>
      <c r="M147" s="108"/>
      <c r="N147" s="9"/>
    </row>
    <row r="148" spans="9:14" ht="20.100000000000001" customHeight="1">
      <c r="I148" s="9"/>
      <c r="J148" s="9"/>
      <c r="K148" s="108"/>
      <c r="L148" s="9"/>
      <c r="M148" s="108"/>
      <c r="N148" s="9"/>
    </row>
    <row r="149" spans="9:14" ht="13.95" customHeight="1">
      <c r="I149" s="9"/>
      <c r="J149" s="9"/>
      <c r="K149" s="108"/>
      <c r="L149" s="9"/>
      <c r="M149" s="108"/>
      <c r="N149" s="9"/>
    </row>
    <row r="150" spans="9:14" ht="13.95" customHeight="1">
      <c r="I150" s="9"/>
      <c r="J150" s="9"/>
      <c r="K150" s="108"/>
      <c r="L150" s="9"/>
      <c r="M150" s="108"/>
      <c r="N150" s="9"/>
    </row>
    <row r="151" spans="9:14" ht="22.2" customHeight="1">
      <c r="I151" s="9"/>
      <c r="J151" s="9"/>
      <c r="K151" s="108"/>
      <c r="L151" s="9"/>
      <c r="M151" s="108"/>
      <c r="N151" s="9"/>
    </row>
    <row r="152" spans="9:14" ht="20.100000000000001" customHeight="1">
      <c r="I152" s="9"/>
      <c r="J152" s="9"/>
      <c r="K152" s="108"/>
      <c r="L152" s="9"/>
      <c r="M152" s="108"/>
      <c r="N152" s="9"/>
    </row>
    <row r="153" spans="9:14" ht="13.95" customHeight="1">
      <c r="I153" s="3"/>
      <c r="J153" s="3"/>
      <c r="K153" s="108"/>
      <c r="L153" s="3"/>
      <c r="M153" s="108"/>
      <c r="N153" s="9"/>
    </row>
    <row r="154" spans="9:14" ht="13.95" customHeight="1">
      <c r="I154" s="3"/>
      <c r="J154" s="3"/>
      <c r="K154" s="108"/>
      <c r="L154" s="3"/>
      <c r="M154" s="108"/>
      <c r="N154" s="9"/>
    </row>
    <row r="155" spans="9:14" ht="13.95" customHeight="1">
      <c r="I155" s="3"/>
      <c r="J155" s="3"/>
      <c r="K155" s="108"/>
      <c r="L155" s="3"/>
      <c r="M155" s="108"/>
      <c r="N155" s="9"/>
    </row>
    <row r="156" spans="9:14" ht="13.95" customHeight="1">
      <c r="I156" s="3"/>
      <c r="J156" s="3"/>
      <c r="K156" s="108"/>
      <c r="L156" s="3"/>
      <c r="M156" s="108"/>
      <c r="N156" s="9"/>
    </row>
    <row r="157" spans="9:14" ht="13.95" customHeight="1">
      <c r="I157" s="3"/>
      <c r="J157" s="3"/>
      <c r="K157" s="108"/>
      <c r="L157" s="3"/>
      <c r="M157" s="108"/>
      <c r="N157" s="9"/>
    </row>
    <row r="158" spans="9:14" ht="13.95" customHeight="1">
      <c r="I158" s="3"/>
      <c r="J158" s="3"/>
      <c r="K158" s="108"/>
      <c r="L158" s="3"/>
      <c r="M158" s="108"/>
      <c r="N158" s="9"/>
    </row>
    <row r="159" spans="9:14" ht="13.95" customHeight="1">
      <c r="I159" s="3"/>
      <c r="J159" s="3"/>
      <c r="K159" s="108"/>
      <c r="L159" s="3"/>
      <c r="M159" s="108"/>
      <c r="N159" s="9"/>
    </row>
    <row r="160" spans="9:14" ht="13.95" customHeight="1">
      <c r="I160" s="3"/>
      <c r="J160" s="3"/>
      <c r="K160" s="108"/>
      <c r="L160" s="3"/>
      <c r="M160" s="108"/>
      <c r="N160" s="9"/>
    </row>
    <row r="161" spans="9:14" ht="13.95" customHeight="1">
      <c r="I161" s="3"/>
      <c r="J161" s="3"/>
      <c r="K161" s="108"/>
      <c r="L161" s="3"/>
      <c r="M161" s="108"/>
      <c r="N161" s="9"/>
    </row>
    <row r="162" spans="9:14" ht="13.95" customHeight="1">
      <c r="I162" s="3"/>
      <c r="J162" s="3"/>
      <c r="K162" s="108"/>
      <c r="L162" s="3"/>
      <c r="M162" s="108"/>
      <c r="N162" s="9"/>
    </row>
    <row r="163" spans="9:14" ht="13.95" customHeight="1">
      <c r="I163" s="3"/>
      <c r="J163" s="3"/>
      <c r="K163" s="108"/>
      <c r="L163" s="3"/>
      <c r="M163" s="108"/>
      <c r="N163" s="9"/>
    </row>
    <row r="164" spans="9:14" ht="13.95" customHeight="1">
      <c r="I164" s="3"/>
      <c r="J164" s="3"/>
      <c r="K164" s="108"/>
      <c r="L164" s="3"/>
      <c r="M164" s="108"/>
      <c r="N164" s="9"/>
    </row>
    <row r="165" spans="9:14" ht="13.95" customHeight="1">
      <c r="I165" s="3"/>
      <c r="J165" s="3"/>
      <c r="K165" s="108"/>
      <c r="L165" s="3"/>
      <c r="M165" s="108"/>
      <c r="N165" s="9"/>
    </row>
    <row r="166" spans="9:14" ht="13.95" customHeight="1">
      <c r="I166" s="9"/>
      <c r="J166" s="9"/>
      <c r="K166" s="108"/>
      <c r="L166" s="9"/>
      <c r="M166" s="108"/>
      <c r="N166" s="9"/>
    </row>
    <row r="167" spans="9:14" ht="13.95" customHeight="1">
      <c r="I167" s="9"/>
      <c r="J167" s="9"/>
      <c r="K167" s="108"/>
      <c r="L167" s="9"/>
      <c r="M167" s="108"/>
      <c r="N167" s="9"/>
    </row>
    <row r="168" spans="9:14" ht="13.95" customHeight="1">
      <c r="I168" s="9"/>
      <c r="J168" s="9"/>
      <c r="K168" s="108"/>
      <c r="L168" s="9"/>
      <c r="M168" s="108"/>
      <c r="N168" s="9"/>
    </row>
    <row r="169" spans="9:14" ht="13.95" customHeight="1">
      <c r="I169" s="9"/>
      <c r="J169" s="9"/>
      <c r="K169" s="108"/>
      <c r="L169" s="9"/>
      <c r="M169" s="108"/>
      <c r="N169" s="9"/>
    </row>
    <row r="170" spans="9:14" ht="13.95" customHeight="1">
      <c r="I170" s="3"/>
      <c r="J170" s="3"/>
      <c r="K170" s="108"/>
      <c r="L170" s="3"/>
      <c r="M170" s="108"/>
      <c r="N170" s="9"/>
    </row>
    <row r="171" spans="9:14" ht="13.95" customHeight="1">
      <c r="I171" s="3"/>
      <c r="J171" s="3"/>
      <c r="K171" s="108"/>
      <c r="L171" s="3"/>
      <c r="M171" s="108"/>
      <c r="N171" s="9"/>
    </row>
    <row r="172" spans="9:14" ht="13.95" customHeight="1">
      <c r="I172" s="3"/>
      <c r="J172" s="3"/>
      <c r="K172" s="108"/>
      <c r="L172" s="3"/>
      <c r="M172" s="108"/>
      <c r="N172" s="9"/>
    </row>
    <row r="173" spans="9:14" ht="13.95" customHeight="1">
      <c r="I173" s="3"/>
      <c r="J173" s="3"/>
      <c r="K173" s="108"/>
      <c r="L173" s="3"/>
      <c r="M173" s="108"/>
      <c r="N173" s="9"/>
    </row>
    <row r="174" spans="9:14" ht="13.95" customHeight="1">
      <c r="I174" s="3"/>
      <c r="J174" s="3"/>
      <c r="K174" s="108"/>
      <c r="L174" s="3"/>
      <c r="M174" s="108"/>
      <c r="N174" s="9"/>
    </row>
    <row r="175" spans="9:14" ht="13.95" customHeight="1">
      <c r="I175" s="3"/>
      <c r="J175" s="3"/>
      <c r="K175" s="108"/>
      <c r="L175" s="3"/>
      <c r="M175" s="108"/>
      <c r="N175" s="9"/>
    </row>
    <row r="176" spans="9:14" ht="13.95" customHeight="1">
      <c r="I176" s="3"/>
      <c r="J176" s="3"/>
      <c r="K176" s="108"/>
      <c r="L176" s="3"/>
      <c r="M176" s="108"/>
      <c r="N176" s="9"/>
    </row>
    <row r="177" spans="9:14" ht="13.95" customHeight="1">
      <c r="I177" s="3"/>
      <c r="J177" s="3"/>
      <c r="K177" s="108"/>
      <c r="L177" s="3"/>
      <c r="M177" s="108"/>
      <c r="N177" s="9"/>
    </row>
    <row r="178" spans="9:14" ht="13.95" customHeight="1">
      <c r="I178" s="3"/>
      <c r="J178" s="3"/>
      <c r="K178" s="108"/>
      <c r="L178" s="3"/>
      <c r="M178" s="108"/>
      <c r="N178" s="9"/>
    </row>
    <row r="179" spans="9:14" ht="13.95" customHeight="1">
      <c r="I179" s="3"/>
      <c r="J179" s="3"/>
      <c r="K179" s="108"/>
      <c r="L179" s="3"/>
      <c r="M179" s="108"/>
      <c r="N179" s="9"/>
    </row>
    <row r="180" spans="9:14" ht="27" customHeight="1">
      <c r="I180" s="3"/>
      <c r="J180" s="3"/>
      <c r="K180" s="108"/>
      <c r="L180" s="3"/>
      <c r="M180" s="108"/>
      <c r="N180" s="9"/>
    </row>
    <row r="181" spans="9:14" ht="13.95" customHeight="1">
      <c r="I181" s="3"/>
      <c r="J181" s="3"/>
      <c r="K181" s="108"/>
      <c r="L181" s="3"/>
      <c r="M181" s="108"/>
      <c r="N181" s="9"/>
    </row>
    <row r="182" spans="9:14" ht="24.6" customHeight="1">
      <c r="I182" s="3"/>
      <c r="J182" s="3"/>
      <c r="K182" s="108"/>
      <c r="L182" s="3"/>
      <c r="M182" s="108"/>
      <c r="N182" s="9"/>
    </row>
    <row r="183" spans="9:14" ht="13.95" customHeight="1">
      <c r="I183" s="3"/>
      <c r="J183" s="3"/>
      <c r="K183" s="108"/>
      <c r="L183" s="3"/>
      <c r="M183" s="108"/>
      <c r="N183" s="9"/>
    </row>
    <row r="184" spans="9:14" ht="23.4" customHeight="1">
      <c r="I184" s="3"/>
      <c r="J184" s="3"/>
      <c r="K184" s="108"/>
      <c r="L184" s="3"/>
      <c r="M184" s="108"/>
      <c r="N184" s="9"/>
    </row>
    <row r="185" spans="9:14" ht="13.95" customHeight="1">
      <c r="I185" s="3"/>
      <c r="J185" s="3"/>
      <c r="K185" s="108"/>
      <c r="L185" s="3"/>
      <c r="M185" s="108"/>
      <c r="N185" s="9"/>
    </row>
    <row r="186" spans="9:14" ht="13.95" customHeight="1">
      <c r="I186" s="3"/>
      <c r="J186" s="3"/>
      <c r="K186" s="108"/>
      <c r="L186" s="3"/>
      <c r="M186" s="108"/>
      <c r="N186" s="9"/>
    </row>
    <row r="187" spans="9:14" ht="13.95" customHeight="1">
      <c r="I187" s="3"/>
      <c r="J187" s="3"/>
      <c r="K187" s="108"/>
      <c r="L187" s="3"/>
      <c r="M187" s="108"/>
      <c r="N187" s="9"/>
    </row>
    <row r="188" spans="9:14" ht="13.95" customHeight="1">
      <c r="I188" s="3"/>
      <c r="J188" s="3"/>
      <c r="K188" s="108"/>
      <c r="L188" s="3"/>
      <c r="M188" s="108"/>
      <c r="N188" s="9"/>
    </row>
    <row r="189" spans="9:14" ht="13.95" customHeight="1">
      <c r="I189" s="3"/>
      <c r="J189" s="3"/>
      <c r="K189" s="108"/>
      <c r="L189" s="3"/>
      <c r="M189" s="108"/>
      <c r="N189" s="9"/>
    </row>
    <row r="190" spans="9:14" ht="13.95" customHeight="1">
      <c r="I190" s="3"/>
      <c r="J190" s="3"/>
      <c r="K190" s="108"/>
      <c r="L190" s="3"/>
      <c r="M190" s="108"/>
      <c r="N190" s="9"/>
    </row>
    <row r="191" spans="9:14" ht="13.95" customHeight="1">
      <c r="I191" s="3"/>
      <c r="J191" s="3"/>
      <c r="K191" s="108"/>
      <c r="L191" s="3"/>
      <c r="M191" s="108"/>
      <c r="N191" s="9"/>
    </row>
    <row r="192" spans="9:14" ht="13.95" customHeight="1">
      <c r="I192" s="3"/>
      <c r="J192" s="3"/>
      <c r="K192" s="108"/>
      <c r="L192" s="3"/>
      <c r="M192" s="108"/>
      <c r="N192" s="9"/>
    </row>
    <row r="193" spans="9:14" ht="13.95" customHeight="1">
      <c r="I193" s="3"/>
      <c r="J193" s="3"/>
      <c r="K193" s="108"/>
      <c r="L193" s="3"/>
      <c r="M193" s="108"/>
      <c r="N193" s="9"/>
    </row>
    <row r="194" spans="9:14" ht="13.95" customHeight="1">
      <c r="I194" s="3"/>
      <c r="J194" s="3"/>
      <c r="K194" s="108"/>
      <c r="L194" s="3"/>
      <c r="M194" s="108"/>
      <c r="N194" s="9"/>
    </row>
    <row r="195" spans="9:14" ht="13.95" customHeight="1">
      <c r="I195" s="3"/>
      <c r="J195" s="3"/>
      <c r="K195" s="108"/>
      <c r="L195" s="3"/>
      <c r="M195" s="108"/>
      <c r="N195" s="9"/>
    </row>
    <row r="196" spans="9:14" ht="13.95" customHeight="1">
      <c r="I196" s="3"/>
      <c r="J196" s="3"/>
      <c r="K196" s="108"/>
      <c r="L196" s="3"/>
      <c r="M196" s="108"/>
      <c r="N196" s="9"/>
    </row>
    <row r="197" spans="9:14" ht="13.95" customHeight="1">
      <c r="I197" s="3"/>
      <c r="J197" s="3"/>
      <c r="K197" s="108"/>
      <c r="L197" s="3"/>
      <c r="M197" s="108"/>
      <c r="N197" s="9"/>
    </row>
    <row r="198" spans="9:14" ht="20.100000000000001" customHeight="1">
      <c r="I198" s="9"/>
      <c r="J198" s="9"/>
      <c r="K198" s="108"/>
      <c r="L198" s="9"/>
      <c r="M198" s="108"/>
      <c r="N198" s="9"/>
    </row>
    <row r="199" spans="9:14" ht="13.95" customHeight="1">
      <c r="I199" s="9"/>
      <c r="J199" s="9"/>
      <c r="K199" s="108"/>
      <c r="L199" s="9"/>
      <c r="M199" s="108"/>
      <c r="N199" s="9"/>
    </row>
    <row r="200" spans="9:14" ht="13.95" customHeight="1">
      <c r="I200" s="9"/>
      <c r="J200" s="9"/>
      <c r="K200" s="108"/>
      <c r="L200" s="9"/>
      <c r="M200" s="108"/>
      <c r="N200" s="9"/>
    </row>
    <row r="201" spans="9:14" ht="22.2" customHeight="1">
      <c r="I201" s="9"/>
      <c r="J201" s="9"/>
      <c r="K201" s="108"/>
      <c r="L201" s="9"/>
      <c r="M201" s="108"/>
      <c r="N201" s="9"/>
    </row>
    <row r="202" spans="9:14" ht="20.100000000000001" customHeight="1">
      <c r="I202" s="9"/>
      <c r="J202" s="9"/>
      <c r="K202" s="108"/>
      <c r="L202" s="9"/>
      <c r="M202" s="108"/>
      <c r="N202" s="9"/>
    </row>
    <row r="203" spans="9:14" ht="13.95" customHeight="1">
      <c r="I203" s="3"/>
      <c r="J203" s="3"/>
      <c r="K203" s="108"/>
      <c r="L203" s="3"/>
      <c r="M203" s="108"/>
      <c r="N203" s="9"/>
    </row>
    <row r="204" spans="9:14" ht="13.95" customHeight="1">
      <c r="I204" s="3"/>
      <c r="J204" s="3"/>
      <c r="K204" s="108"/>
      <c r="L204" s="3"/>
      <c r="M204" s="108"/>
      <c r="N204" s="9"/>
    </row>
    <row r="205" spans="9:14" ht="13.95" customHeight="1">
      <c r="I205" s="3"/>
      <c r="J205" s="3"/>
      <c r="K205" s="108"/>
      <c r="L205" s="3"/>
      <c r="M205" s="108"/>
      <c r="N205" s="9"/>
    </row>
    <row r="206" spans="9:14" ht="13.95" customHeight="1">
      <c r="I206" s="3"/>
      <c r="J206" s="3"/>
      <c r="K206" s="108"/>
      <c r="L206" s="3"/>
      <c r="M206" s="108"/>
      <c r="N206" s="9"/>
    </row>
    <row r="207" spans="9:14" ht="13.95" customHeight="1">
      <c r="I207" s="3"/>
      <c r="J207" s="3"/>
      <c r="K207" s="108"/>
      <c r="L207" s="3"/>
      <c r="M207" s="108"/>
      <c r="N207" s="9"/>
    </row>
    <row r="208" spans="9:14" ht="13.95" customHeight="1">
      <c r="I208" s="4"/>
      <c r="J208" s="4"/>
      <c r="K208" s="108"/>
      <c r="L208" s="4"/>
      <c r="M208" s="108"/>
      <c r="N208" s="9"/>
    </row>
    <row r="209" spans="9:14" ht="13.95" customHeight="1">
      <c r="I209" s="4"/>
      <c r="J209" s="4"/>
      <c r="K209" s="108"/>
      <c r="L209" s="4"/>
      <c r="M209" s="108"/>
      <c r="N209" s="9"/>
    </row>
    <row r="210" spans="9:14" ht="13.95" customHeight="1">
      <c r="I210" s="4"/>
      <c r="J210" s="4"/>
      <c r="K210" s="108"/>
      <c r="L210" s="4"/>
      <c r="M210" s="108"/>
      <c r="N210" s="9"/>
    </row>
    <row r="211" spans="9:14" ht="13.95" customHeight="1">
      <c r="I211" s="4"/>
      <c r="J211" s="4"/>
      <c r="K211" s="108"/>
      <c r="L211" s="4"/>
      <c r="M211" s="108"/>
      <c r="N211" s="9"/>
    </row>
    <row r="212" spans="9:14" ht="13.95" customHeight="1">
      <c r="I212" s="4"/>
      <c r="J212" s="4"/>
      <c r="K212" s="108"/>
      <c r="L212" s="4"/>
      <c r="M212" s="108"/>
      <c r="N212" s="9"/>
    </row>
    <row r="213" spans="9:14" ht="13.95" customHeight="1">
      <c r="I213" s="3"/>
      <c r="J213" s="3"/>
      <c r="K213" s="108"/>
      <c r="L213" s="3"/>
      <c r="M213" s="108"/>
      <c r="N213" s="9"/>
    </row>
    <row r="214" spans="9:14" ht="24.6" customHeight="1">
      <c r="I214" s="9"/>
      <c r="J214" s="9"/>
      <c r="K214" s="108"/>
      <c r="L214" s="9"/>
      <c r="M214" s="108"/>
      <c r="N214" s="9"/>
    </row>
    <row r="215" spans="9:14" ht="13.95" customHeight="1">
      <c r="I215" s="9"/>
      <c r="J215" s="9"/>
      <c r="K215" s="108"/>
      <c r="L215" s="9"/>
      <c r="M215" s="108"/>
      <c r="N215" s="9"/>
    </row>
    <row r="216" spans="9:14" ht="22.95" customHeight="1">
      <c r="I216" s="9"/>
      <c r="J216" s="9"/>
      <c r="K216" s="108"/>
      <c r="L216" s="9"/>
      <c r="M216" s="108"/>
      <c r="N216" s="9"/>
    </row>
    <row r="217" spans="9:14" ht="13.95" customHeight="1">
      <c r="I217" s="9"/>
      <c r="J217" s="9"/>
      <c r="K217" s="108"/>
      <c r="L217" s="9"/>
      <c r="M217" s="108"/>
      <c r="N217" s="9"/>
    </row>
    <row r="218" spans="9:14" ht="46.2" customHeight="1">
      <c r="I218" s="9"/>
      <c r="J218" s="9"/>
      <c r="K218" s="108"/>
      <c r="L218" s="9"/>
      <c r="M218" s="108"/>
      <c r="N218" s="9"/>
    </row>
    <row r="219" spans="9:14" ht="13.95" customHeight="1">
      <c r="I219" s="9"/>
      <c r="J219" s="9"/>
      <c r="K219" s="108"/>
      <c r="L219" s="9"/>
      <c r="M219" s="108"/>
      <c r="N219" s="9"/>
    </row>
    <row r="220" spans="9:14" ht="48" customHeight="1">
      <c r="I220" s="45"/>
      <c r="J220" s="45"/>
      <c r="K220" s="108"/>
      <c r="L220" s="45"/>
      <c r="M220" s="108"/>
      <c r="N220" s="9"/>
    </row>
    <row r="221" spans="9:14" ht="12.6" customHeight="1">
      <c r="I221" s="9"/>
      <c r="J221" s="9"/>
      <c r="K221" s="108"/>
      <c r="L221" s="9"/>
      <c r="M221" s="108"/>
      <c r="N221" s="9"/>
    </row>
    <row r="222" spans="9:14" ht="13.95" customHeight="1">
      <c r="I222" s="9"/>
      <c r="J222" s="9"/>
      <c r="K222" s="108"/>
      <c r="L222" s="9"/>
      <c r="M222" s="108"/>
      <c r="N222" s="9"/>
    </row>
    <row r="223" spans="9:14" ht="13.95" customHeight="1">
      <c r="I223" s="9"/>
      <c r="J223" s="9"/>
      <c r="K223" s="108"/>
      <c r="L223" s="9"/>
      <c r="M223" s="108"/>
      <c r="N223" s="9"/>
    </row>
    <row r="224" spans="9:14" ht="13.95" customHeight="1">
      <c r="I224" s="9"/>
      <c r="J224" s="9"/>
      <c r="K224" s="108"/>
      <c r="L224" s="9"/>
      <c r="M224" s="108"/>
      <c r="N224" s="9"/>
    </row>
    <row r="225" spans="9:14" ht="13.95" customHeight="1">
      <c r="I225" s="9"/>
      <c r="J225" s="9"/>
      <c r="K225" s="108"/>
      <c r="L225" s="9"/>
      <c r="M225" s="108"/>
      <c r="N225" s="9"/>
    </row>
    <row r="226" spans="9:14" ht="22.95" customHeight="1">
      <c r="I226" s="9"/>
      <c r="J226" s="9"/>
      <c r="K226" s="108"/>
      <c r="L226" s="9"/>
      <c r="M226" s="108"/>
      <c r="N226" s="9"/>
    </row>
    <row r="227" spans="9:14" ht="13.95" customHeight="1">
      <c r="I227" s="9"/>
      <c r="J227" s="9"/>
      <c r="K227" s="108"/>
      <c r="L227" s="9"/>
      <c r="M227" s="108"/>
      <c r="N227" s="9"/>
    </row>
    <row r="228" spans="9:14" ht="13.95" customHeight="1">
      <c r="I228" s="9"/>
      <c r="J228" s="9"/>
      <c r="K228" s="108"/>
      <c r="L228" s="9"/>
      <c r="M228" s="108"/>
      <c r="N228" s="9"/>
    </row>
    <row r="229" spans="9:14" ht="13.95" customHeight="1">
      <c r="I229" s="9"/>
      <c r="J229" s="9"/>
      <c r="K229" s="108"/>
      <c r="L229" s="9"/>
      <c r="M229" s="108"/>
      <c r="N229" s="9"/>
    </row>
    <row r="230" spans="9:14" ht="48.6" customHeight="1">
      <c r="I230" s="9"/>
      <c r="J230" s="9"/>
      <c r="K230" s="108"/>
      <c r="L230" s="9"/>
      <c r="M230" s="108"/>
      <c r="N230" s="9"/>
    </row>
    <row r="231" spans="9:14">
      <c r="I231" s="9"/>
      <c r="J231" s="9"/>
      <c r="K231" s="108"/>
      <c r="L231" s="9"/>
      <c r="M231" s="108"/>
      <c r="N231" s="9"/>
    </row>
    <row r="232" spans="9:14">
      <c r="I232" s="9"/>
      <c r="J232" s="9"/>
      <c r="K232" s="108"/>
      <c r="L232" s="9"/>
      <c r="M232" s="108"/>
      <c r="N232" s="9"/>
    </row>
    <row r="233" spans="9:14">
      <c r="I233" s="9"/>
      <c r="J233" s="9"/>
      <c r="K233" s="108"/>
      <c r="L233" s="9"/>
      <c r="M233" s="108"/>
      <c r="N233" s="9"/>
    </row>
    <row r="234" spans="9:14">
      <c r="I234" s="9"/>
      <c r="J234" s="9"/>
      <c r="K234" s="108"/>
      <c r="L234" s="9"/>
      <c r="M234" s="108"/>
      <c r="N234" s="9"/>
    </row>
    <row r="235" spans="9:14">
      <c r="I235" s="9"/>
      <c r="J235" s="9"/>
      <c r="K235" s="108"/>
      <c r="L235" s="9"/>
      <c r="M235" s="108"/>
      <c r="N235" s="9"/>
    </row>
    <row r="236" spans="9:14">
      <c r="I236" s="9"/>
      <c r="J236" s="9"/>
      <c r="K236" s="108"/>
      <c r="L236" s="9"/>
      <c r="M236" s="108"/>
      <c r="N236" s="9"/>
    </row>
    <row r="237" spans="9:14" ht="13.95" customHeight="1">
      <c r="I237" s="9"/>
      <c r="J237" s="9"/>
      <c r="K237" s="108"/>
      <c r="L237" s="9"/>
      <c r="M237" s="108"/>
      <c r="N237" s="9"/>
    </row>
    <row r="238" spans="9:14" ht="13.95" customHeight="1">
      <c r="I238" s="9"/>
      <c r="J238" s="9"/>
      <c r="K238" s="108"/>
      <c r="L238" s="9"/>
      <c r="M238" s="108"/>
      <c r="N238" s="9"/>
    </row>
    <row r="239" spans="9:14" ht="13.95" customHeight="1">
      <c r="I239" s="9"/>
      <c r="J239" s="9"/>
      <c r="K239" s="108"/>
      <c r="L239" s="9"/>
      <c r="M239" s="108"/>
      <c r="N239" s="9"/>
    </row>
    <row r="240" spans="9:14" ht="13.95" customHeight="1">
      <c r="I240" s="9"/>
      <c r="J240" s="9"/>
      <c r="K240" s="108"/>
      <c r="L240" s="9"/>
      <c r="M240" s="108"/>
      <c r="N240" s="9"/>
    </row>
    <row r="241" spans="9:14" ht="13.95" customHeight="1">
      <c r="I241" s="9"/>
      <c r="J241" s="9"/>
      <c r="K241" s="108"/>
      <c r="L241" s="9"/>
      <c r="M241" s="108"/>
      <c r="N241" s="9"/>
    </row>
    <row r="242" spans="9:14" ht="20.100000000000001" customHeight="1">
      <c r="I242" s="9"/>
      <c r="J242" s="9"/>
      <c r="K242" s="108"/>
      <c r="L242" s="9"/>
      <c r="M242" s="108"/>
      <c r="N242" s="9"/>
    </row>
    <row r="243" spans="9:14" ht="13.95" customHeight="1">
      <c r="I243" s="9"/>
      <c r="J243" s="9"/>
      <c r="K243" s="108"/>
      <c r="L243" s="9"/>
      <c r="M243" s="108"/>
      <c r="N243" s="9"/>
    </row>
    <row r="244" spans="9:14" ht="13.95" customHeight="1">
      <c r="I244" s="9"/>
      <c r="J244" s="9"/>
      <c r="K244" s="108"/>
      <c r="L244" s="9"/>
      <c r="M244" s="108"/>
      <c r="N244" s="9"/>
    </row>
    <row r="245" spans="9:14" ht="22.2" customHeight="1">
      <c r="I245" s="9"/>
      <c r="J245" s="9"/>
      <c r="K245" s="108"/>
      <c r="L245" s="9"/>
      <c r="M245" s="108"/>
      <c r="N245" s="9"/>
    </row>
    <row r="246" spans="9:14" ht="20.100000000000001" customHeight="1">
      <c r="I246" s="9"/>
      <c r="J246" s="9"/>
      <c r="K246" s="108"/>
      <c r="L246" s="9"/>
      <c r="M246" s="108"/>
      <c r="N246" s="9"/>
    </row>
    <row r="247" spans="9:14" ht="13.95" customHeight="1">
      <c r="I247" s="9"/>
      <c r="J247" s="9"/>
      <c r="K247" s="108"/>
      <c r="L247" s="9"/>
      <c r="M247" s="108"/>
      <c r="N247" s="9"/>
    </row>
    <row r="248" spans="9:14" ht="13.95" customHeight="1">
      <c r="I248" s="9"/>
      <c r="J248" s="9"/>
      <c r="K248" s="108"/>
      <c r="L248" s="9"/>
      <c r="M248" s="108"/>
      <c r="N248" s="9"/>
    </row>
    <row r="249" spans="9:14" ht="13.95" customHeight="1">
      <c r="I249" s="9"/>
      <c r="J249" s="9"/>
      <c r="K249" s="108"/>
      <c r="L249" s="9"/>
      <c r="M249" s="108"/>
      <c r="N249" s="9"/>
    </row>
    <row r="250" spans="9:14" ht="48" customHeight="1">
      <c r="I250" s="9"/>
      <c r="J250" s="9"/>
      <c r="K250" s="108"/>
      <c r="L250" s="9"/>
      <c r="M250" s="108"/>
      <c r="N250" s="9"/>
    </row>
    <row r="251" spans="9:14" ht="13.95" customHeight="1">
      <c r="I251" s="9"/>
      <c r="J251" s="9"/>
      <c r="K251" s="108"/>
      <c r="L251" s="9"/>
      <c r="M251" s="108"/>
      <c r="N251" s="9"/>
    </row>
    <row r="252" spans="9:14" ht="25.95" customHeight="1">
      <c r="I252" s="9"/>
      <c r="J252" s="9"/>
      <c r="K252" s="108"/>
      <c r="L252" s="9"/>
      <c r="M252" s="108"/>
      <c r="N252" s="9"/>
    </row>
    <row r="253" spans="9:14" ht="13.95" customHeight="1">
      <c r="I253" s="9"/>
      <c r="J253" s="9"/>
      <c r="K253" s="108"/>
      <c r="L253" s="9"/>
      <c r="M253" s="108"/>
      <c r="N253" s="9"/>
    </row>
    <row r="254" spans="9:14" ht="38.4" customHeight="1">
      <c r="I254" s="9"/>
      <c r="J254" s="9"/>
      <c r="K254" s="108"/>
      <c r="L254" s="9"/>
      <c r="M254" s="108"/>
      <c r="N254" s="9"/>
    </row>
    <row r="255" spans="9:14" ht="13.95" customHeight="1">
      <c r="I255" s="9"/>
      <c r="J255" s="9"/>
      <c r="K255" s="108"/>
      <c r="L255" s="9"/>
      <c r="M255" s="108"/>
      <c r="N255" s="9"/>
    </row>
    <row r="256" spans="9:14" ht="25.95" customHeight="1">
      <c r="I256" s="9"/>
      <c r="J256" s="9"/>
      <c r="K256" s="108"/>
      <c r="L256" s="9"/>
      <c r="M256" s="108"/>
      <c r="N256" s="9"/>
    </row>
    <row r="257" spans="9:14" ht="13.95" customHeight="1">
      <c r="I257" s="9"/>
      <c r="J257" s="9"/>
      <c r="K257" s="108"/>
      <c r="L257" s="9"/>
      <c r="M257" s="108"/>
      <c r="N257" s="9"/>
    </row>
    <row r="258" spans="9:14" ht="13.95" customHeight="1">
      <c r="I258" s="9"/>
      <c r="J258" s="9"/>
      <c r="K258" s="108"/>
      <c r="L258" s="9"/>
      <c r="M258" s="108"/>
      <c r="N258" s="9"/>
    </row>
    <row r="259" spans="9:14" ht="13.95" customHeight="1">
      <c r="I259" s="9"/>
      <c r="J259" s="9"/>
      <c r="K259" s="108"/>
      <c r="L259" s="9"/>
      <c r="M259" s="108"/>
      <c r="N259" s="9"/>
    </row>
    <row r="260" spans="9:14">
      <c r="I260" s="9"/>
      <c r="J260" s="9"/>
      <c r="K260" s="108"/>
      <c r="L260" s="9"/>
      <c r="M260" s="108"/>
      <c r="N260" s="9"/>
    </row>
    <row r="261" spans="9:14" ht="13.95" customHeight="1">
      <c r="I261" s="9"/>
      <c r="J261" s="9"/>
      <c r="K261" s="108"/>
      <c r="L261" s="9"/>
      <c r="M261" s="108"/>
      <c r="N261" s="9"/>
    </row>
    <row r="262" spans="9:14" ht="22.2" customHeight="1">
      <c r="I262" s="9"/>
      <c r="J262" s="9"/>
      <c r="K262" s="108"/>
      <c r="L262" s="9"/>
      <c r="M262" s="108"/>
      <c r="N262" s="9"/>
    </row>
    <row r="263" spans="9:14" ht="13.95" customHeight="1">
      <c r="I263" s="9"/>
      <c r="J263" s="9"/>
      <c r="K263" s="108"/>
      <c r="L263" s="9"/>
      <c r="M263" s="108"/>
      <c r="N263" s="9"/>
    </row>
    <row r="264" spans="9:14" ht="13.95" customHeight="1">
      <c r="I264" s="9"/>
      <c r="J264" s="9"/>
      <c r="K264" s="108"/>
      <c r="L264" s="9"/>
      <c r="M264" s="108"/>
      <c r="N264" s="9"/>
    </row>
    <row r="265" spans="9:14" ht="13.95" customHeight="1">
      <c r="I265" s="9"/>
      <c r="J265" s="9"/>
      <c r="K265" s="108"/>
      <c r="L265" s="9"/>
      <c r="M265" s="108"/>
      <c r="N265" s="9"/>
    </row>
    <row r="266" spans="9:14" ht="24" customHeight="1">
      <c r="I266" s="9"/>
      <c r="J266" s="9"/>
      <c r="K266" s="108"/>
      <c r="L266" s="9"/>
      <c r="M266" s="108"/>
      <c r="N266" s="9"/>
    </row>
    <row r="267" spans="9:14" ht="13.95" customHeight="1">
      <c r="I267" s="9"/>
      <c r="J267" s="9"/>
      <c r="K267" s="108"/>
      <c r="L267" s="9"/>
      <c r="M267" s="108"/>
      <c r="N267" s="9"/>
    </row>
    <row r="268" spans="9:14" ht="13.95" customHeight="1">
      <c r="I268" s="9"/>
      <c r="J268" s="9"/>
      <c r="K268" s="108"/>
      <c r="L268" s="9"/>
      <c r="M268" s="108"/>
      <c r="N268" s="9"/>
    </row>
    <row r="269" spans="9:14" ht="13.95" customHeight="1">
      <c r="I269" s="9"/>
      <c r="J269" s="9"/>
      <c r="K269" s="108"/>
      <c r="L269" s="9"/>
      <c r="M269" s="108"/>
      <c r="N269" s="9"/>
    </row>
    <row r="270" spans="9:14" ht="12.6" customHeight="1">
      <c r="I270" s="9"/>
      <c r="J270" s="9"/>
      <c r="K270" s="108"/>
      <c r="L270" s="9"/>
      <c r="M270" s="108"/>
      <c r="N270" s="9"/>
    </row>
    <row r="271" spans="9:14" ht="12.6" customHeight="1">
      <c r="I271" s="9"/>
      <c r="J271" s="9"/>
      <c r="K271" s="108"/>
      <c r="L271" s="9"/>
      <c r="M271" s="108"/>
      <c r="N271" s="9"/>
    </row>
    <row r="272" spans="9:14" ht="12.6" customHeight="1">
      <c r="I272" s="9"/>
      <c r="J272" s="9"/>
      <c r="K272" s="108"/>
      <c r="L272" s="9"/>
      <c r="M272" s="108"/>
      <c r="N272" s="9"/>
    </row>
    <row r="273" spans="9:14" ht="12.6" customHeight="1">
      <c r="I273" s="9"/>
      <c r="J273" s="9"/>
      <c r="K273" s="108"/>
      <c r="L273" s="9"/>
      <c r="M273" s="108"/>
      <c r="N273" s="9"/>
    </row>
    <row r="274" spans="9:14" ht="12.6" customHeight="1">
      <c r="I274" s="9"/>
      <c r="J274" s="9"/>
      <c r="K274" s="108"/>
      <c r="L274" s="9"/>
      <c r="M274" s="108"/>
      <c r="N274" s="9"/>
    </row>
    <row r="275" spans="9:14" ht="12.6" customHeight="1">
      <c r="I275" s="9"/>
      <c r="J275" s="9"/>
      <c r="K275" s="108"/>
      <c r="L275" s="9"/>
      <c r="M275" s="108"/>
      <c r="N275" s="9"/>
    </row>
    <row r="276" spans="9:14" ht="38.4" customHeight="1">
      <c r="I276" s="9"/>
      <c r="J276" s="9"/>
      <c r="K276" s="108"/>
      <c r="L276" s="9"/>
      <c r="M276" s="108"/>
      <c r="N276" s="9"/>
    </row>
    <row r="277" spans="9:14" ht="12.6" customHeight="1">
      <c r="I277" s="9"/>
      <c r="J277" s="9"/>
      <c r="K277" s="108"/>
      <c r="L277" s="9"/>
      <c r="M277" s="108"/>
      <c r="N277" s="9"/>
    </row>
    <row r="278" spans="9:14" ht="13.95" customHeight="1">
      <c r="I278" s="9"/>
      <c r="J278" s="9"/>
      <c r="K278" s="108"/>
      <c r="L278" s="9"/>
      <c r="M278" s="108"/>
      <c r="N278" s="9"/>
    </row>
    <row r="279" spans="9:14" ht="13.95" customHeight="1">
      <c r="I279" s="9"/>
      <c r="J279" s="9"/>
      <c r="K279" s="108"/>
      <c r="L279" s="9"/>
      <c r="M279" s="108"/>
      <c r="N279" s="9"/>
    </row>
    <row r="280" spans="9:14" ht="22.2" customHeight="1">
      <c r="I280" s="9"/>
      <c r="J280" s="9"/>
      <c r="K280" s="108"/>
      <c r="L280" s="9"/>
      <c r="M280" s="108"/>
      <c r="N280" s="9"/>
    </row>
    <row r="281" spans="9:14">
      <c r="I281" s="9"/>
      <c r="J281" s="9"/>
      <c r="K281" s="108"/>
      <c r="L281" s="9"/>
      <c r="M281" s="108"/>
      <c r="N281" s="9"/>
    </row>
    <row r="282" spans="9:14" ht="13.95" customHeight="1">
      <c r="I282" s="9"/>
      <c r="J282" s="9"/>
      <c r="K282" s="108"/>
      <c r="L282" s="9"/>
      <c r="M282" s="108"/>
      <c r="N282" s="9"/>
    </row>
    <row r="283" spans="9:14" ht="13.95" customHeight="1">
      <c r="I283" s="9"/>
      <c r="J283" s="9"/>
      <c r="K283" s="108"/>
      <c r="L283" s="9"/>
      <c r="M283" s="108"/>
      <c r="N283" s="9"/>
    </row>
    <row r="284" spans="9:14" ht="13.95" customHeight="1">
      <c r="I284" s="9"/>
      <c r="J284" s="9"/>
      <c r="K284" s="108"/>
      <c r="L284" s="9"/>
      <c r="M284" s="108"/>
      <c r="N284" s="9"/>
    </row>
    <row r="285" spans="9:14" ht="20.100000000000001" customHeight="1">
      <c r="I285" s="9"/>
      <c r="J285" s="9"/>
      <c r="K285" s="108"/>
      <c r="L285" s="9"/>
      <c r="M285" s="108"/>
      <c r="N285" s="9"/>
    </row>
    <row r="286" spans="9:14" ht="13.95" customHeight="1">
      <c r="I286" s="9"/>
      <c r="J286" s="9"/>
      <c r="K286" s="108"/>
      <c r="L286" s="9"/>
      <c r="M286" s="108"/>
      <c r="N286" s="9"/>
    </row>
    <row r="287" spans="9:14" ht="13.95" customHeight="1">
      <c r="I287" s="9"/>
      <c r="J287" s="9"/>
      <c r="K287" s="108"/>
      <c r="L287" s="9"/>
      <c r="M287" s="108"/>
      <c r="N287" s="9"/>
    </row>
    <row r="288" spans="9:14" ht="22.2" customHeight="1">
      <c r="I288" s="9"/>
      <c r="J288" s="9"/>
      <c r="K288" s="108"/>
      <c r="L288" s="9"/>
      <c r="M288" s="108"/>
      <c r="N288" s="9"/>
    </row>
    <row r="289" spans="9:14" ht="20.100000000000001" customHeight="1">
      <c r="I289" s="9"/>
      <c r="J289" s="9"/>
      <c r="K289" s="108"/>
      <c r="L289" s="9"/>
      <c r="M289" s="108"/>
      <c r="N289" s="9"/>
    </row>
    <row r="290" spans="9:14" ht="13.95" customHeight="1">
      <c r="I290" s="9"/>
      <c r="J290" s="9"/>
      <c r="K290" s="108"/>
      <c r="L290" s="9"/>
      <c r="M290" s="108"/>
      <c r="N290" s="9"/>
    </row>
    <row r="291" spans="9:14" ht="13.95" customHeight="1">
      <c r="I291" s="9"/>
      <c r="J291" s="9"/>
      <c r="K291" s="108"/>
      <c r="L291" s="9"/>
      <c r="M291" s="108"/>
      <c r="N291" s="9"/>
    </row>
    <row r="292" spans="9:14" ht="13.95" customHeight="1">
      <c r="I292" s="9"/>
      <c r="J292" s="9"/>
      <c r="K292" s="108"/>
      <c r="L292" s="9"/>
      <c r="M292" s="108"/>
      <c r="N292" s="9"/>
    </row>
    <row r="293" spans="9:14" ht="13.95" customHeight="1">
      <c r="I293" s="9"/>
      <c r="J293" s="9"/>
      <c r="K293" s="108"/>
      <c r="L293" s="9"/>
      <c r="M293" s="108"/>
      <c r="N293" s="9"/>
    </row>
    <row r="294" spans="9:14" ht="13.95" customHeight="1">
      <c r="I294" s="9"/>
      <c r="J294" s="9"/>
      <c r="K294" s="108"/>
      <c r="L294" s="9"/>
      <c r="M294" s="108"/>
      <c r="N294" s="9"/>
    </row>
    <row r="295" spans="9:14" ht="13.95" customHeight="1">
      <c r="I295" s="9"/>
      <c r="J295" s="9"/>
      <c r="K295" s="108"/>
      <c r="L295" s="9"/>
      <c r="M295" s="108"/>
      <c r="N295" s="9"/>
    </row>
    <row r="296" spans="9:14" ht="13.95" customHeight="1">
      <c r="I296" s="9"/>
      <c r="J296" s="9"/>
      <c r="K296" s="108"/>
      <c r="L296" s="9"/>
      <c r="M296" s="108"/>
      <c r="N296" s="9"/>
    </row>
    <row r="297" spans="9:14" ht="13.95" customHeight="1">
      <c r="I297" s="9"/>
      <c r="J297" s="9"/>
      <c r="K297" s="108"/>
      <c r="L297" s="9"/>
      <c r="M297" s="108"/>
      <c r="N297" s="9"/>
    </row>
    <row r="298" spans="9:14" ht="13.95" customHeight="1">
      <c r="I298" s="9"/>
      <c r="J298" s="9"/>
      <c r="K298" s="108"/>
      <c r="L298" s="9"/>
      <c r="M298" s="108"/>
      <c r="N298" s="9"/>
    </row>
    <row r="299" spans="9:14" ht="13.95" customHeight="1">
      <c r="I299" s="9"/>
      <c r="J299" s="9"/>
      <c r="K299" s="108"/>
      <c r="L299" s="9"/>
      <c r="M299" s="108"/>
      <c r="N299" s="9"/>
    </row>
    <row r="300" spans="9:14" ht="13.95" customHeight="1">
      <c r="I300" s="9"/>
      <c r="J300" s="9"/>
      <c r="K300" s="108"/>
      <c r="L300" s="9"/>
      <c r="M300" s="108"/>
      <c r="N300" s="9"/>
    </row>
    <row r="301" spans="9:14">
      <c r="I301" s="9"/>
      <c r="J301" s="9"/>
      <c r="K301" s="108"/>
      <c r="L301" s="9"/>
      <c r="M301" s="108"/>
      <c r="N301" s="9"/>
    </row>
    <row r="302" spans="9:14" ht="13.95" customHeight="1">
      <c r="I302" s="9"/>
      <c r="J302" s="9"/>
      <c r="K302" s="108"/>
      <c r="L302" s="9"/>
      <c r="M302" s="108"/>
      <c r="N302" s="9"/>
    </row>
    <row r="303" spans="9:14" ht="13.95" customHeight="1">
      <c r="I303" s="9"/>
      <c r="J303" s="9"/>
      <c r="K303" s="108"/>
      <c r="L303" s="9"/>
      <c r="M303" s="108"/>
      <c r="N303" s="9"/>
    </row>
    <row r="304" spans="9:14" ht="13.95" customHeight="1">
      <c r="I304" s="9"/>
      <c r="J304" s="9"/>
      <c r="K304" s="108"/>
      <c r="L304" s="9"/>
      <c r="M304" s="108"/>
      <c r="N304" s="9"/>
    </row>
    <row r="305" spans="9:15" ht="13.95" customHeight="1">
      <c r="I305" s="9"/>
      <c r="J305" s="9"/>
      <c r="K305" s="108"/>
      <c r="L305" s="9"/>
      <c r="M305" s="108"/>
      <c r="N305" s="9"/>
    </row>
    <row r="306" spans="9:15" ht="13.95" customHeight="1">
      <c r="I306" s="9"/>
      <c r="J306" s="9"/>
      <c r="K306" s="108"/>
      <c r="L306" s="9"/>
      <c r="M306" s="108"/>
      <c r="N306" s="9"/>
    </row>
    <row r="307" spans="9:15" ht="13.95" customHeight="1">
      <c r="I307" s="9"/>
      <c r="J307" s="9"/>
      <c r="K307" s="108"/>
      <c r="L307" s="9"/>
      <c r="M307" s="108"/>
      <c r="N307" s="9"/>
    </row>
    <row r="308" spans="9:15" ht="13.95" customHeight="1">
      <c r="I308" s="9"/>
      <c r="J308" s="9"/>
      <c r="K308" s="108"/>
      <c r="L308" s="103"/>
      <c r="M308" s="108"/>
      <c r="N308" s="9"/>
    </row>
    <row r="309" spans="9:15" ht="13.95" customHeight="1">
      <c r="I309" s="103"/>
      <c r="J309" s="103"/>
      <c r="K309" s="134"/>
      <c r="L309" s="103"/>
      <c r="M309" s="134"/>
      <c r="N309" s="9"/>
    </row>
    <row r="310" spans="9:15" ht="13.95" customHeight="1">
      <c r="I310" s="103"/>
      <c r="J310" s="103"/>
      <c r="K310" s="134"/>
      <c r="L310" s="103"/>
      <c r="M310" s="134"/>
      <c r="N310" s="9"/>
    </row>
    <row r="311" spans="9:15">
      <c r="I311" s="103"/>
      <c r="J311" s="103"/>
      <c r="K311" s="134"/>
      <c r="L311" s="103"/>
      <c r="M311" s="134"/>
      <c r="N311" s="103"/>
      <c r="O311" s="41"/>
    </row>
    <row r="312" spans="9:15" ht="13.95" customHeight="1">
      <c r="I312" s="103"/>
      <c r="J312" s="103"/>
      <c r="K312" s="134"/>
      <c r="L312" s="103"/>
      <c r="M312" s="134"/>
      <c r="N312" s="103"/>
      <c r="O312" s="41"/>
    </row>
    <row r="313" spans="9:15">
      <c r="I313" s="103"/>
      <c r="J313" s="103"/>
      <c r="K313" s="134"/>
      <c r="L313" s="103"/>
      <c r="M313" s="134"/>
      <c r="N313" s="103"/>
      <c r="O313" s="41"/>
    </row>
    <row r="314" spans="9:15" ht="13.95" customHeight="1">
      <c r="I314" s="103"/>
      <c r="J314" s="103"/>
      <c r="K314" s="134"/>
      <c r="L314" s="103"/>
      <c r="M314" s="134"/>
      <c r="N314" s="103"/>
      <c r="O314" s="41"/>
    </row>
    <row r="315" spans="9:15" ht="13.95" customHeight="1">
      <c r="I315" s="103"/>
      <c r="J315" s="103"/>
      <c r="K315" s="134"/>
      <c r="L315" s="103"/>
      <c r="M315" s="134"/>
      <c r="N315" s="103"/>
      <c r="O315" s="41"/>
    </row>
    <row r="316" spans="9:15" ht="13.95" customHeight="1">
      <c r="I316" s="103"/>
      <c r="J316" s="103"/>
      <c r="K316" s="134"/>
      <c r="L316" s="103"/>
      <c r="M316" s="134"/>
      <c r="N316" s="103"/>
      <c r="O316" s="41"/>
    </row>
    <row r="317" spans="9:15" ht="13.95" customHeight="1">
      <c r="I317" s="103"/>
      <c r="J317" s="103"/>
      <c r="K317" s="134"/>
      <c r="L317" s="103"/>
      <c r="M317" s="134"/>
      <c r="N317" s="103"/>
      <c r="O317" s="41"/>
    </row>
    <row r="318" spans="9:15" ht="13.95" customHeight="1">
      <c r="I318" s="103"/>
      <c r="J318" s="103"/>
      <c r="K318" s="134"/>
      <c r="L318" s="103"/>
      <c r="M318" s="134"/>
      <c r="N318" s="103"/>
      <c r="O318" s="41"/>
    </row>
    <row r="319" spans="9:15" ht="13.95" customHeight="1">
      <c r="I319" s="103"/>
      <c r="J319" s="103"/>
      <c r="K319" s="134"/>
      <c r="L319" s="103"/>
      <c r="M319" s="134"/>
      <c r="N319" s="103"/>
      <c r="O319" s="41"/>
    </row>
    <row r="320" spans="9:15" ht="13.95" customHeight="1">
      <c r="I320" s="103"/>
      <c r="J320" s="103"/>
      <c r="K320" s="103"/>
      <c r="L320" s="103"/>
      <c r="M320" s="134"/>
      <c r="N320" s="103"/>
      <c r="O320" s="41"/>
    </row>
    <row r="321" spans="9:15" ht="13.95" customHeight="1">
      <c r="I321" s="103"/>
      <c r="J321" s="103"/>
      <c r="K321" s="103"/>
      <c r="L321" s="103"/>
      <c r="M321" s="134"/>
      <c r="N321" s="103"/>
      <c r="O321" s="41"/>
    </row>
    <row r="322" spans="9:15" ht="13.95" customHeight="1">
      <c r="I322" s="103"/>
      <c r="J322" s="103"/>
      <c r="K322" s="103"/>
      <c r="L322" s="103"/>
      <c r="M322" s="134"/>
      <c r="N322" s="103"/>
      <c r="O322" s="41"/>
    </row>
    <row r="323" spans="9:15" ht="13.95" customHeight="1">
      <c r="I323" s="103"/>
      <c r="J323" s="103"/>
      <c r="K323" s="103"/>
      <c r="L323" s="103"/>
      <c r="M323" s="134"/>
      <c r="N323" s="103"/>
      <c r="O323" s="41"/>
    </row>
    <row r="324" spans="9:15" ht="13.95" customHeight="1">
      <c r="I324" s="103"/>
      <c r="J324" s="103"/>
      <c r="K324" s="103"/>
      <c r="L324" s="103"/>
      <c r="M324" s="134"/>
      <c r="N324" s="103"/>
      <c r="O324" s="41"/>
    </row>
    <row r="325" spans="9:15" ht="13.95" customHeight="1">
      <c r="I325" s="103"/>
      <c r="J325" s="103"/>
      <c r="K325" s="103"/>
      <c r="L325" s="103"/>
      <c r="M325" s="134"/>
      <c r="N325" s="103"/>
      <c r="O325" s="41"/>
    </row>
    <row r="326" spans="9:15" ht="13.95" customHeight="1">
      <c r="I326" s="103"/>
      <c r="J326" s="103"/>
      <c r="K326" s="103"/>
      <c r="L326" s="103"/>
      <c r="M326" s="134"/>
      <c r="N326" s="103"/>
      <c r="O326" s="41"/>
    </row>
    <row r="327" spans="9:15" ht="13.95" customHeight="1">
      <c r="I327" s="103"/>
      <c r="J327" s="103"/>
      <c r="K327" s="103"/>
      <c r="L327" s="103"/>
      <c r="M327" s="134"/>
      <c r="N327" s="103"/>
      <c r="O327" s="41"/>
    </row>
    <row r="328" spans="9:15" ht="13.95" customHeight="1">
      <c r="I328" s="103"/>
      <c r="J328" s="103"/>
      <c r="K328" s="103"/>
      <c r="L328" s="103"/>
      <c r="M328" s="134"/>
      <c r="N328" s="103"/>
      <c r="O328" s="41"/>
    </row>
    <row r="329" spans="9:15" ht="13.95" customHeight="1">
      <c r="I329" s="103"/>
      <c r="J329" s="103"/>
      <c r="K329" s="103"/>
      <c r="L329" s="103"/>
      <c r="M329" s="134"/>
      <c r="N329" s="103"/>
      <c r="O329" s="41"/>
    </row>
    <row r="330" spans="9:15" ht="13.95" customHeight="1">
      <c r="I330" s="103"/>
      <c r="J330" s="103"/>
      <c r="K330" s="103"/>
      <c r="L330" s="103"/>
      <c r="M330" s="134"/>
      <c r="N330" s="103"/>
      <c r="O330" s="41"/>
    </row>
    <row r="331" spans="9:15" ht="13.95" customHeight="1">
      <c r="I331" s="105"/>
      <c r="J331" s="105"/>
      <c r="K331" s="105"/>
      <c r="L331" s="105"/>
      <c r="M331" s="135"/>
      <c r="N331" s="53"/>
      <c r="O331" s="41"/>
    </row>
    <row r="335" spans="9:15" ht="20.399999999999999" customHeight="1"/>
  </sheetData>
  <mergeCells count="1">
    <mergeCell ref="A50:F50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J56"/>
  <sheetViews>
    <sheetView showZeros="0" tabSelected="1" view="pageBreakPreview" topLeftCell="A2" zoomScaleNormal="100" zoomScaleSheetLayoutView="100" workbookViewId="0">
      <selection activeCell="I13" sqref="I13"/>
    </sheetView>
  </sheetViews>
  <sheetFormatPr defaultColWidth="9.109375" defaultRowHeight="12.75" customHeight="1"/>
  <cols>
    <col min="1" max="1" width="8.5546875" style="91" customWidth="1"/>
    <col min="2" max="2" width="68.88671875" style="90" customWidth="1"/>
    <col min="3" max="3" width="14.44140625" style="83" bestFit="1" customWidth="1"/>
    <col min="4" max="4" width="10.109375" style="83" hidden="1" customWidth="1"/>
    <col min="5" max="5" width="12.33203125" style="83" hidden="1" customWidth="1"/>
    <col min="6" max="6" width="23" style="83" hidden="1" customWidth="1"/>
    <col min="7" max="8" width="9.109375" style="83" customWidth="1"/>
    <col min="9" max="16384" width="9.109375" style="83"/>
  </cols>
  <sheetData>
    <row r="1" spans="1:6" s="62" customFormat="1" ht="15.6" hidden="1" customHeight="1">
      <c r="A1" s="59"/>
      <c r="B1" s="60"/>
      <c r="C1" s="71"/>
      <c r="D1" s="61"/>
      <c r="E1" s="61"/>
    </row>
    <row r="2" spans="1:6" s="62" customFormat="1" ht="15.6" customHeight="1">
      <c r="A2" s="63" t="s">
        <v>263</v>
      </c>
      <c r="B2" s="64"/>
      <c r="C2" s="67" t="s">
        <v>260</v>
      </c>
      <c r="D2" s="65"/>
      <c r="E2" s="65"/>
      <c r="F2" s="66"/>
    </row>
    <row r="3" spans="1:6" s="62" customFormat="1" ht="15.6" customHeight="1">
      <c r="A3" s="63" t="s">
        <v>261</v>
      </c>
      <c r="B3" s="64"/>
      <c r="C3" s="68"/>
      <c r="D3" s="65"/>
      <c r="E3" s="65"/>
      <c r="F3" s="66"/>
    </row>
    <row r="4" spans="1:6" s="62" customFormat="1" ht="15.6" customHeight="1">
      <c r="A4" s="63" t="s">
        <v>113</v>
      </c>
      <c r="B4" s="64"/>
      <c r="C4" s="143">
        <v>45183</v>
      </c>
      <c r="D4" s="65"/>
      <c r="E4" s="65"/>
      <c r="F4" s="66"/>
    </row>
    <row r="5" spans="1:6" ht="12.75" customHeight="1">
      <c r="A5" s="79"/>
      <c r="B5" s="80"/>
      <c r="C5" s="81"/>
      <c r="D5" s="82"/>
    </row>
    <row r="6" spans="1:6" ht="27" customHeight="1">
      <c r="A6" s="69" t="s">
        <v>70</v>
      </c>
      <c r="B6" s="69" t="s">
        <v>10</v>
      </c>
      <c r="C6" s="84" t="s">
        <v>110</v>
      </c>
      <c r="D6" s="71"/>
    </row>
    <row r="7" spans="1:6" ht="12">
      <c r="A7" s="85"/>
      <c r="B7" s="85"/>
      <c r="C7" s="86"/>
      <c r="D7" s="71"/>
    </row>
    <row r="8" spans="1:6" s="62" customFormat="1" ht="12" customHeight="1">
      <c r="A8" s="12">
        <v>1</v>
      </c>
      <c r="B8" s="55" t="s">
        <v>65</v>
      </c>
      <c r="C8" s="87">
        <f>'P&amp;G'!G175</f>
        <v>19004796.357749995</v>
      </c>
      <c r="D8" s="88"/>
      <c r="E8" s="110"/>
    </row>
    <row r="9" spans="1:6" s="62" customFormat="1" ht="12" customHeight="1">
      <c r="A9" s="12"/>
      <c r="B9" s="55"/>
      <c r="C9" s="87"/>
      <c r="D9" s="88"/>
    </row>
    <row r="10" spans="1:6" s="62" customFormat="1" ht="12" customHeight="1">
      <c r="A10" s="12">
        <v>2</v>
      </c>
      <c r="B10" s="55" t="str">
        <f>'RO Building'!C8</f>
        <v>RO BUILDING</v>
      </c>
      <c r="C10" s="87">
        <f>'RO Building'!G332</f>
        <v>5735617</v>
      </c>
      <c r="D10" s="88"/>
      <c r="E10" s="148">
        <f>C10</f>
        <v>5735617</v>
      </c>
    </row>
    <row r="11" spans="1:6" s="62" customFormat="1" ht="12" customHeight="1">
      <c r="A11" s="12"/>
      <c r="B11" s="55"/>
      <c r="C11" s="87"/>
      <c r="D11" s="88"/>
      <c r="E11" s="148"/>
    </row>
    <row r="12" spans="1:6" s="62" customFormat="1" ht="15.6" customHeight="1">
      <c r="A12" s="12">
        <v>3</v>
      </c>
      <c r="B12" s="47" t="str">
        <f>'Chemical Store'!C8</f>
        <v>CHEMICAL STORE</v>
      </c>
      <c r="C12" s="87">
        <f>'Chemical Store'!G335</f>
        <v>1413483</v>
      </c>
      <c r="D12" s="88"/>
      <c r="E12" s="148">
        <f t="shared" ref="E12:E54" si="0">C12</f>
        <v>1413483</v>
      </c>
    </row>
    <row r="13" spans="1:6" s="62" customFormat="1" ht="12" customHeight="1">
      <c r="A13" s="12"/>
      <c r="B13" s="47"/>
      <c r="C13" s="87"/>
      <c r="D13" s="88"/>
      <c r="E13" s="148"/>
    </row>
    <row r="14" spans="1:6" s="62" customFormat="1" ht="12" customHeight="1">
      <c r="A14" s="12">
        <v>4</v>
      </c>
      <c r="B14" s="47" t="str">
        <f>Workshop!C8</f>
        <v>WORKSHOP BUILDING</v>
      </c>
      <c r="C14" s="87">
        <f>Workshop!G335</f>
        <v>1609581</v>
      </c>
      <c r="D14" s="88"/>
      <c r="E14" s="148">
        <f t="shared" si="0"/>
        <v>1609581</v>
      </c>
    </row>
    <row r="15" spans="1:6" s="62" customFormat="1" ht="12" customHeight="1">
      <c r="A15" s="12"/>
      <c r="B15" s="47"/>
      <c r="C15" s="87"/>
      <c r="D15" s="88"/>
      <c r="E15" s="148"/>
    </row>
    <row r="16" spans="1:6" s="62" customFormat="1" ht="12" customHeight="1">
      <c r="A16" s="12">
        <v>5</v>
      </c>
      <c r="B16" s="47" t="str">
        <f>'MCC2 Foundations'!C8</f>
        <v>MCC 2 BUILDING FOUNDATIONS</v>
      </c>
      <c r="C16" s="87">
        <f>'MCC2 Foundations'!G335</f>
        <v>119393</v>
      </c>
      <c r="D16" s="88"/>
      <c r="E16" s="148">
        <f t="shared" si="0"/>
        <v>119393</v>
      </c>
    </row>
    <row r="17" spans="1:10" s="62" customFormat="1" ht="12" customHeight="1">
      <c r="A17" s="12"/>
      <c r="B17" s="47"/>
      <c r="D17" s="88"/>
      <c r="E17" s="148"/>
    </row>
    <row r="18" spans="1:10" s="62" customFormat="1" ht="12" customHeight="1">
      <c r="A18" s="12">
        <v>6</v>
      </c>
      <c r="B18" s="47" t="str">
        <f>'Ozone Foundations'!C8</f>
        <v>OZONE BUILDING FOUNDATIONS</v>
      </c>
      <c r="C18" s="87">
        <f>'Ozone Foundations'!G335</f>
        <v>129518</v>
      </c>
      <c r="D18" s="88"/>
      <c r="E18" s="148">
        <f t="shared" si="0"/>
        <v>129518</v>
      </c>
    </row>
    <row r="19" spans="1:10" s="62" customFormat="1" ht="12" customHeight="1">
      <c r="A19" s="12"/>
      <c r="B19" s="47"/>
      <c r="C19" s="87"/>
      <c r="D19" s="88"/>
      <c r="E19" s="148"/>
    </row>
    <row r="20" spans="1:10" s="62" customFormat="1" ht="12" customHeight="1">
      <c r="A20" s="12">
        <v>7</v>
      </c>
      <c r="B20" s="47" t="str">
        <f>'Water Tanks Foundations'!C8</f>
        <v>WATER TANKS FOUNDATIONS</v>
      </c>
      <c r="C20" s="87">
        <f>'Water Tanks Foundations'!G335</f>
        <v>1941979.44</v>
      </c>
      <c r="D20" s="88"/>
      <c r="E20" s="148">
        <f t="shared" si="0"/>
        <v>1941979.44</v>
      </c>
    </row>
    <row r="21" spans="1:10" s="62" customFormat="1" ht="12" customHeight="1">
      <c r="A21" s="12"/>
      <c r="B21" s="47"/>
      <c r="C21" s="87"/>
      <c r="D21" s="88"/>
      <c r="E21" s="148"/>
    </row>
    <row r="22" spans="1:10" s="62" customFormat="1" ht="12" customHeight="1">
      <c r="A22" s="12">
        <v>8</v>
      </c>
      <c r="B22" s="47" t="str">
        <f>'Sulpheric Tank Bunded '!C8</f>
        <v>SULPHERIC TANKS BUNDED AREA</v>
      </c>
      <c r="C22" s="87">
        <f>'Sulpheric Tank Bunded '!G335</f>
        <v>583707.34000000008</v>
      </c>
      <c r="D22" s="88"/>
      <c r="E22" s="148">
        <f t="shared" si="0"/>
        <v>583707.34000000008</v>
      </c>
    </row>
    <row r="23" spans="1:10" s="62" customFormat="1" ht="12" customHeight="1">
      <c r="A23" s="12"/>
      <c r="B23" s="47"/>
      <c r="C23" s="87"/>
      <c r="D23" s="88"/>
      <c r="E23" s="148"/>
    </row>
    <row r="24" spans="1:10" s="62" customFormat="1" ht="12" customHeight="1">
      <c r="A24" s="12">
        <v>9</v>
      </c>
      <c r="B24" s="47" t="str">
        <f>'Chemical Dosing Bunded'!C8</f>
        <v>CHEMICAL DOSING BUNDED AREA</v>
      </c>
      <c r="C24" s="87">
        <f>'Chemical Dosing Bunded'!G335</f>
        <v>1423482.3399999999</v>
      </c>
      <c r="D24" s="88"/>
      <c r="E24" s="148">
        <f t="shared" si="0"/>
        <v>1423482.3399999999</v>
      </c>
    </row>
    <row r="25" spans="1:10" s="62" customFormat="1" ht="12" customHeight="1">
      <c r="A25" s="12"/>
      <c r="B25" s="47"/>
      <c r="C25" s="87"/>
      <c r="D25" s="88"/>
      <c r="E25" s="148"/>
    </row>
    <row r="26" spans="1:10" s="62" customFormat="1" ht="12" customHeight="1">
      <c r="A26" s="12">
        <v>10</v>
      </c>
      <c r="B26" s="47" t="str">
        <f>'S1 Tank Bunded '!C8</f>
        <v>S1 TANK BUNDED AREA</v>
      </c>
      <c r="C26" s="87">
        <f>'S1 Tank Bunded '!G335</f>
        <v>1356883.3399999999</v>
      </c>
      <c r="D26" s="88"/>
      <c r="E26" s="148">
        <f t="shared" si="0"/>
        <v>1356883.3399999999</v>
      </c>
    </row>
    <row r="27" spans="1:10" s="62" customFormat="1" ht="12" customHeight="1">
      <c r="A27" s="12"/>
      <c r="B27" s="47"/>
      <c r="C27" s="87"/>
      <c r="D27" s="88"/>
      <c r="E27" s="148"/>
      <c r="F27" s="89"/>
      <c r="G27" s="89"/>
      <c r="H27" s="89"/>
      <c r="I27" s="89"/>
      <c r="J27" s="89"/>
    </row>
    <row r="28" spans="1:10" s="62" customFormat="1" ht="12.6" customHeight="1">
      <c r="A28" s="12">
        <v>11</v>
      </c>
      <c r="B28" s="47" t="str">
        <f>'Lime System Bunded'!C8</f>
        <v>LIME SYSTEM BUNDED AREA</v>
      </c>
      <c r="C28" s="87">
        <f>'Lime System Bunded'!G335</f>
        <v>970131.84</v>
      </c>
      <c r="D28" s="88"/>
      <c r="E28" s="148">
        <f t="shared" si="0"/>
        <v>970131.84</v>
      </c>
    </row>
    <row r="29" spans="1:10" s="62" customFormat="1" ht="13.5" customHeight="1">
      <c r="A29" s="12"/>
      <c r="B29" s="47"/>
      <c r="C29" s="87"/>
      <c r="D29" s="88"/>
      <c r="E29" s="148"/>
    </row>
    <row r="30" spans="1:10" s="62" customFormat="1" ht="13.5" customHeight="1">
      <c r="A30" s="12">
        <v>12</v>
      </c>
      <c r="B30" s="47" t="str">
        <f>'Mixed Slurry Bunded'!C8</f>
        <v>MIXED SLURRY BUNDED AREA</v>
      </c>
      <c r="C30" s="87">
        <f>'Mixed Slurry Bunded'!G335</f>
        <v>3650323.7</v>
      </c>
      <c r="D30" s="88"/>
      <c r="E30" s="148">
        <f t="shared" si="0"/>
        <v>3650323.7</v>
      </c>
    </row>
    <row r="31" spans="1:10" s="62" customFormat="1" ht="13.5" customHeight="1">
      <c r="A31" s="12"/>
      <c r="B31" s="47"/>
      <c r="C31" s="87"/>
      <c r="D31" s="88"/>
      <c r="E31" s="148"/>
    </row>
    <row r="32" spans="1:10" s="62" customFormat="1" ht="13.5" customHeight="1">
      <c r="A32" s="12">
        <v>13</v>
      </c>
      <c r="B32" s="47" t="str">
        <f>'Centrifuge Bunded'!C8</f>
        <v>CENTRIFUGE BUNDED AREA</v>
      </c>
      <c r="C32" s="87">
        <f>'Centrifuge Bunded'!G335</f>
        <v>916393.7</v>
      </c>
      <c r="D32" s="88"/>
      <c r="E32" s="148">
        <f t="shared" si="0"/>
        <v>916393.7</v>
      </c>
    </row>
    <row r="33" spans="1:5" s="62" customFormat="1" ht="13.5" customHeight="1">
      <c r="A33" s="12"/>
      <c r="B33" s="47"/>
      <c r="C33" s="87"/>
      <c r="D33" s="88"/>
      <c r="E33" s="148"/>
    </row>
    <row r="34" spans="1:5" s="62" customFormat="1" ht="13.5" customHeight="1">
      <c r="A34" s="12">
        <v>14</v>
      </c>
      <c r="B34" s="47" t="str">
        <f>'Stockpile and Crane'!C8</f>
        <v>STOCKPILE AND CRANE HARDSTANDS</v>
      </c>
      <c r="C34" s="87">
        <f>'Stockpile and Crane'!G335</f>
        <v>2890482</v>
      </c>
      <c r="D34" s="88"/>
      <c r="E34" s="148">
        <f t="shared" si="0"/>
        <v>2890482</v>
      </c>
    </row>
    <row r="35" spans="1:5" s="62" customFormat="1" ht="13.5" customHeight="1">
      <c r="A35" s="12"/>
      <c r="B35" s="47"/>
      <c r="C35" s="87"/>
      <c r="D35" s="88"/>
      <c r="E35" s="148"/>
    </row>
    <row r="36" spans="1:5" s="62" customFormat="1" ht="13.5" customHeight="1">
      <c r="A36" s="12">
        <v>15</v>
      </c>
      <c r="B36" s="47" t="str">
        <f>'Stage 1 &amp; 2 Clarifiers'!C8</f>
        <v>STAGE 1 AND STAGE 2 CLARIFIERS</v>
      </c>
      <c r="C36" s="87">
        <f>'Stage 1 &amp; 2 Clarifiers'!G332</f>
        <v>10174877.85</v>
      </c>
      <c r="D36" s="88"/>
      <c r="E36" s="148">
        <f t="shared" si="0"/>
        <v>10174877.85</v>
      </c>
    </row>
    <row r="37" spans="1:5" s="62" customFormat="1" ht="13.5" customHeight="1">
      <c r="A37" s="12"/>
      <c r="B37" s="47"/>
      <c r="C37" s="87"/>
      <c r="D37" s="88"/>
      <c r="E37" s="148"/>
    </row>
    <row r="38" spans="1:5" s="62" customFormat="1" ht="13.5" customHeight="1">
      <c r="A38" s="12">
        <v>16</v>
      </c>
      <c r="B38" s="47" t="str">
        <f>'Brine Treatment Plant'!C8</f>
        <v>BRINE TREATMENT PLANT</v>
      </c>
      <c r="C38" s="87">
        <f>'Brine Treatment Plant'!G332</f>
        <v>4798867.0250000004</v>
      </c>
      <c r="D38" s="88"/>
      <c r="E38" s="148">
        <f t="shared" si="0"/>
        <v>4798867.0250000004</v>
      </c>
    </row>
    <row r="39" spans="1:5" s="62" customFormat="1" ht="13.5" customHeight="1">
      <c r="A39" s="12"/>
      <c r="B39" s="46"/>
      <c r="C39" s="87"/>
      <c r="D39" s="88"/>
      <c r="E39" s="148"/>
    </row>
    <row r="40" spans="1:5" s="62" customFormat="1" ht="13.5" customHeight="1">
      <c r="A40" s="12">
        <v>17</v>
      </c>
      <c r="B40" s="47" t="str">
        <f>'Transformer Bunded'!C8</f>
        <v>TRANSFORMER BUNDED AREA</v>
      </c>
      <c r="C40" s="87">
        <f>'Transformer Bunded'!G335</f>
        <v>1194035.3399999999</v>
      </c>
      <c r="D40" s="88"/>
      <c r="E40" s="148">
        <f t="shared" si="0"/>
        <v>1194035.3399999999</v>
      </c>
    </row>
    <row r="41" spans="1:5" s="62" customFormat="1" ht="13.5" customHeight="1">
      <c r="A41" s="12"/>
      <c r="B41" s="46"/>
      <c r="C41" s="87"/>
      <c r="D41" s="88"/>
      <c r="E41" s="148"/>
    </row>
    <row r="42" spans="1:5" s="62" customFormat="1" ht="13.5" customHeight="1">
      <c r="A42" s="12">
        <v>18</v>
      </c>
      <c r="B42" s="47" t="str">
        <f>'Weigh Bridge'!C8</f>
        <v>WEIGH BRIDGE</v>
      </c>
      <c r="C42" s="87">
        <f>'Weigh Bridge'!G327</f>
        <v>1254351.25</v>
      </c>
      <c r="D42" s="88"/>
      <c r="E42" s="148">
        <f t="shared" si="0"/>
        <v>1254351.25</v>
      </c>
    </row>
    <row r="43" spans="1:5" s="62" customFormat="1" ht="13.5" customHeight="1">
      <c r="A43" s="12"/>
      <c r="B43" s="46"/>
      <c r="C43" s="87"/>
      <c r="D43" s="88"/>
      <c r="E43" s="148"/>
    </row>
    <row r="44" spans="1:5" s="62" customFormat="1" ht="13.5" customHeight="1">
      <c r="A44" s="12">
        <v>19</v>
      </c>
      <c r="B44" s="47" t="str">
        <f>'Piperacks &amp; Stairs'!C8</f>
        <v>PIPERACKS AND STAIRCASES</v>
      </c>
      <c r="C44" s="87">
        <f>'Piperacks &amp; Stairs'!G335</f>
        <v>3604311</v>
      </c>
      <c r="D44" s="88"/>
      <c r="E44" s="148">
        <f t="shared" si="0"/>
        <v>3604311</v>
      </c>
    </row>
    <row r="45" spans="1:5" s="62" customFormat="1" ht="13.5" customHeight="1">
      <c r="A45" s="12"/>
      <c r="B45" s="46"/>
      <c r="C45" s="87"/>
      <c r="D45" s="88"/>
      <c r="E45" s="148"/>
    </row>
    <row r="46" spans="1:5" s="62" customFormat="1" ht="13.5" customHeight="1">
      <c r="A46" s="12">
        <v>20</v>
      </c>
      <c r="B46" s="133" t="str">
        <f>Gatehouse!C8</f>
        <v>GATEHOUSE</v>
      </c>
      <c r="C46" s="87">
        <f>Gatehouse!G50</f>
        <v>432000</v>
      </c>
      <c r="D46" s="88"/>
      <c r="E46" s="148">
        <f t="shared" si="0"/>
        <v>432000</v>
      </c>
    </row>
    <row r="47" spans="1:5" s="62" customFormat="1" ht="13.5" customHeight="1">
      <c r="A47" s="12"/>
      <c r="B47" s="46"/>
      <c r="C47" s="87"/>
      <c r="D47" s="88"/>
      <c r="E47" s="148"/>
    </row>
    <row r="48" spans="1:5" s="62" customFormat="1" ht="13.5" customHeight="1">
      <c r="A48" s="12">
        <v>21</v>
      </c>
      <c r="B48" s="47" t="str">
        <f>'Changehouse and ablutions'!C8</f>
        <v>CHANGEHOUSE AND ABLUTIONS</v>
      </c>
      <c r="C48" s="87">
        <f>'Changehouse and ablutions'!G50</f>
        <v>3186000</v>
      </c>
      <c r="D48" s="88"/>
      <c r="E48" s="148">
        <f t="shared" si="0"/>
        <v>3186000</v>
      </c>
    </row>
    <row r="49" spans="1:6" s="62" customFormat="1" ht="13.5" customHeight="1">
      <c r="A49" s="12"/>
      <c r="B49" s="46"/>
      <c r="C49" s="87"/>
      <c r="D49" s="88"/>
      <c r="E49" s="148"/>
    </row>
    <row r="50" spans="1:6" s="62" customFormat="1" ht="13.5" customHeight="1">
      <c r="A50" s="12">
        <v>22</v>
      </c>
      <c r="B50" s="47" t="str">
        <f>Offices!C8</f>
        <v>OFFICE BUILDING</v>
      </c>
      <c r="C50" s="87">
        <f>Offices!G50</f>
        <v>2816000</v>
      </c>
      <c r="D50" s="88"/>
      <c r="E50" s="148">
        <f t="shared" si="0"/>
        <v>2816000</v>
      </c>
    </row>
    <row r="51" spans="1:6" s="62" customFormat="1" ht="13.5" customHeight="1">
      <c r="A51" s="12"/>
      <c r="B51" s="47"/>
      <c r="C51" s="87"/>
      <c r="D51" s="88"/>
      <c r="E51" s="148"/>
    </row>
    <row r="52" spans="1:6" s="62" customFormat="1" ht="13.5" customHeight="1">
      <c r="A52" s="12">
        <v>23</v>
      </c>
      <c r="B52" s="47" t="str">
        <f>'Compressed Air'!C8</f>
        <v>COMPRESSED AIR BUILDING</v>
      </c>
      <c r="C52" s="87">
        <f>'Compressed Air'!G50</f>
        <v>1410000</v>
      </c>
      <c r="D52" s="88"/>
      <c r="E52" s="148">
        <f t="shared" si="0"/>
        <v>1410000</v>
      </c>
    </row>
    <row r="53" spans="1:6" s="62" customFormat="1" ht="13.5" customHeight="1">
      <c r="A53" s="12"/>
      <c r="B53" s="47"/>
      <c r="C53" s="87"/>
      <c r="D53" s="88"/>
      <c r="E53" s="148"/>
    </row>
    <row r="54" spans="1:6" s="62" customFormat="1" ht="13.5" customHeight="1">
      <c r="A54" s="12">
        <v>24</v>
      </c>
      <c r="B54" s="47" t="str">
        <f>'MCC1 Building'!C8</f>
        <v>MCC 1 BUILDING</v>
      </c>
      <c r="C54" s="87">
        <f>'MCC1 Building'!G50</f>
        <v>2688000</v>
      </c>
      <c r="D54" s="88"/>
      <c r="E54" s="148">
        <f t="shared" si="0"/>
        <v>2688000</v>
      </c>
      <c r="F54" s="148">
        <f>SUM(E10:E54)</f>
        <v>54299418.164999992</v>
      </c>
    </row>
    <row r="55" spans="1:6" ht="12.75" customHeight="1">
      <c r="A55" s="72"/>
      <c r="B55" s="47"/>
      <c r="C55" s="77"/>
    </row>
    <row r="56" spans="1:6" ht="12.75" customHeight="1">
      <c r="A56" s="159" t="s">
        <v>107</v>
      </c>
      <c r="B56" s="159"/>
      <c r="C56" s="78">
        <f>SUM(C8:C55)</f>
        <v>73304214.522750005</v>
      </c>
    </row>
  </sheetData>
  <mergeCells count="1">
    <mergeCell ref="A56:B56"/>
  </mergeCells>
  <pageMargins left="0.70866141732283472" right="0" top="0.74803149606299213" bottom="0.74803149606299213" header="0.39370078740157483" footer="0.39370078740157483"/>
  <pageSetup paperSize="9" scale="99" orientation="portrait" r:id="rId1"/>
  <headerFooter>
    <oddFooter xml:space="preserve">&amp;R&amp;"Arial,Regular"&amp;8Page 6.&amp;P+5 </oddFooter>
  </headerFooter>
  <ignoredErrors>
    <ignoredError sqref="C56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24</vt:i4>
      </vt:variant>
    </vt:vector>
  </HeadingPairs>
  <TitlesOfParts>
    <vt:vector size="49" baseType="lpstr">
      <vt:lpstr>P&amp;G</vt:lpstr>
      <vt:lpstr>RO Building</vt:lpstr>
      <vt:lpstr>Chemical Store</vt:lpstr>
      <vt:lpstr>Workshop</vt:lpstr>
      <vt:lpstr>MCC2 Foundations</vt:lpstr>
      <vt:lpstr>Ozone Foundations</vt:lpstr>
      <vt:lpstr>Water Tanks Foundations</vt:lpstr>
      <vt:lpstr>Sulpheric Tank Bunded </vt:lpstr>
      <vt:lpstr>Chemical Dosing Bunded</vt:lpstr>
      <vt:lpstr>S1 Tank Bunded </vt:lpstr>
      <vt:lpstr>Lime System Bunded</vt:lpstr>
      <vt:lpstr>Mixed Slurry Bunded</vt:lpstr>
      <vt:lpstr>Centrifuge Bunded</vt:lpstr>
      <vt:lpstr>Stockpile and Crane</vt:lpstr>
      <vt:lpstr>Stage 1 &amp; 2 Clarifiers</vt:lpstr>
      <vt:lpstr>Brine Treatment Plant</vt:lpstr>
      <vt:lpstr>Transformer Bunded</vt:lpstr>
      <vt:lpstr>Weigh Bridge</vt:lpstr>
      <vt:lpstr>Piperacks &amp; Stairs</vt:lpstr>
      <vt:lpstr>Gatehouse</vt:lpstr>
      <vt:lpstr>Changehouse and ablutions</vt:lpstr>
      <vt:lpstr>Offices</vt:lpstr>
      <vt:lpstr>Compressed Air</vt:lpstr>
      <vt:lpstr>MCC1 Building</vt:lpstr>
      <vt:lpstr>Summary</vt:lpstr>
      <vt:lpstr>'Brine Treatment Plant'!Print_Area</vt:lpstr>
      <vt:lpstr>'Centrifuge Bunded'!Print_Area</vt:lpstr>
      <vt:lpstr>'Changehouse and ablutions'!Print_Area</vt:lpstr>
      <vt:lpstr>'Chemical Dosing Bunded'!Print_Area</vt:lpstr>
      <vt:lpstr>'Chemical Store'!Print_Area</vt:lpstr>
      <vt:lpstr>'Compressed Air'!Print_Area</vt:lpstr>
      <vt:lpstr>Gatehouse!Print_Area</vt:lpstr>
      <vt:lpstr>'Lime System Bunded'!Print_Area</vt:lpstr>
      <vt:lpstr>'MCC1 Building'!Print_Area</vt:lpstr>
      <vt:lpstr>'MCC2 Foundations'!Print_Area</vt:lpstr>
      <vt:lpstr>'Mixed Slurry Bunded'!Print_Area</vt:lpstr>
      <vt:lpstr>Offices!Print_Area</vt:lpstr>
      <vt:lpstr>'Ozone Foundations'!Print_Area</vt:lpstr>
      <vt:lpstr>'Piperacks &amp; Stairs'!Print_Area</vt:lpstr>
      <vt:lpstr>'RO Building'!Print_Area</vt:lpstr>
      <vt:lpstr>'S1 Tank Bunded '!Print_Area</vt:lpstr>
      <vt:lpstr>'Stage 1 &amp; 2 Clarifiers'!Print_Area</vt:lpstr>
      <vt:lpstr>'Stockpile and Crane'!Print_Area</vt:lpstr>
      <vt:lpstr>'Sulpheric Tank Bunded '!Print_Area</vt:lpstr>
      <vt:lpstr>Summary!Print_Area</vt:lpstr>
      <vt:lpstr>'Transformer Bunded'!Print_Area</vt:lpstr>
      <vt:lpstr>'Water Tanks Foundations'!Print_Area</vt:lpstr>
      <vt:lpstr>'Weigh Bridge'!Print_Area</vt:lpstr>
      <vt:lpstr>Workshop!Print_Area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Watermeyer</dc:creator>
  <cp:lastModifiedBy>Floris Jordaan</cp:lastModifiedBy>
  <cp:lastPrinted>2022-12-14T10:05:34Z</cp:lastPrinted>
  <dcterms:created xsi:type="dcterms:W3CDTF">2014-07-20T16:20:16Z</dcterms:created>
  <dcterms:modified xsi:type="dcterms:W3CDTF">2023-09-14T13:24:30Z</dcterms:modified>
</cp:coreProperties>
</file>